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cangdan\"/>
    </mc:Choice>
  </mc:AlternateContent>
  <bookViews>
    <workbookView xWindow="0" yWindow="0" windowWidth="15600" windowHeight="9015" tabRatio="698"/>
  </bookViews>
  <sheets>
    <sheet name="原始数据" sheetId="74" r:id="rId1"/>
    <sheet name="报舱数据" sheetId="102" state="hidden" r:id="rId2"/>
    <sheet name="进口舱单" sheetId="103" r:id="rId3"/>
    <sheet name="新增报告" sheetId="104" r:id="rId4"/>
    <sheet name="删除报告" sheetId="105" r:id="rId5"/>
    <sheet name="多途舱单删除申报" sheetId="107" state="hidden" r:id="rId6"/>
    <sheet name="CUST_ID" sheetId="108" state="hidden" r:id="rId7"/>
    <sheet name="舱单删除" sheetId="106" state="hidden" r:id="rId8"/>
    <sheet name="航次参数" sheetId="76" state="hidden" r:id="rId9"/>
    <sheet name="记录备份" sheetId="86" state="hidden" r:id="rId10"/>
    <sheet name="原始图片" sheetId="95" r:id="rId11"/>
  </sheets>
  <functionGroups builtInGroupCount="18"/>
  <externalReferences>
    <externalReference r:id="rId12"/>
    <externalReference r:id="rId13"/>
  </externalReferences>
  <definedNames>
    <definedName name="_xlnm._FilterDatabase" localSheetId="7" hidden="1">舱单删除!$A$5:$A$15</definedName>
    <definedName name="_xlnm._FilterDatabase" localSheetId="8" hidden="1">航次参数!$A$1:$T$5</definedName>
    <definedName name="_xlnm._FilterDatabase" localSheetId="9" hidden="1">记录备份!$C$1:$EQ$632</definedName>
    <definedName name="CODE_TYPE" localSheetId="2">[1]CODE_TYPE!$A$1:$A$147</definedName>
    <definedName name="CURRENCY_TYPE" localSheetId="2">[1]CURRENCY_TYPE!$A$1:$A$17</definedName>
    <definedName name="_xlnm.Print_Area" localSheetId="2">进口舱单!$A$1:$H$177</definedName>
    <definedName name="_xlnm.Print_Area" localSheetId="4">删除报告!$A$1:$K$37</definedName>
    <definedName name="_xlnm.Print_Area" localSheetId="3">新增报告!$A$1:$K$37</definedName>
    <definedName name="_xlnm.Print_Area" localSheetId="10">原始图片!$B$6:$X$46</definedName>
    <definedName name="包装类型">#REF!</definedName>
    <definedName name="过境口岸">#REF!</definedName>
    <definedName name="货物通关代码">#REF!</definedName>
    <definedName name="金额类型">#REF!</definedName>
    <definedName name="威威认为">#REF!</definedName>
    <definedName name="运输条款">#REF!</definedName>
  </definedNames>
  <calcPr calcId="162913"/>
</workbook>
</file>

<file path=xl/calcChain.xml><?xml version="1.0" encoding="utf-8"?>
<calcChain xmlns="http://schemas.openxmlformats.org/spreadsheetml/2006/main">
  <c r="G81" i="74" l="1"/>
  <c r="F81" i="74"/>
  <c r="E81" i="74"/>
  <c r="D81" i="74"/>
  <c r="C81" i="74"/>
  <c r="G80" i="74"/>
  <c r="F80" i="74"/>
  <c r="E80" i="74"/>
  <c r="D80" i="74"/>
  <c r="C80" i="74"/>
  <c r="G79" i="74"/>
  <c r="F79" i="74"/>
  <c r="E79" i="74"/>
  <c r="D79" i="74"/>
  <c r="C79" i="74"/>
  <c r="G78" i="74"/>
  <c r="F78" i="74"/>
  <c r="E78" i="74"/>
  <c r="D78" i="74"/>
  <c r="C78" i="74"/>
  <c r="G77" i="74"/>
  <c r="F77" i="74"/>
  <c r="E77" i="74"/>
  <c r="D77" i="74"/>
  <c r="C77" i="74"/>
  <c r="G76" i="74"/>
  <c r="F76" i="74"/>
  <c r="E76" i="74"/>
  <c r="D76" i="74"/>
  <c r="C76" i="74"/>
  <c r="G75" i="74"/>
  <c r="F75" i="74"/>
  <c r="E75" i="74"/>
  <c r="D75" i="74"/>
  <c r="C75" i="74"/>
  <c r="G74" i="74"/>
  <c r="F74" i="74"/>
  <c r="E74" i="74"/>
  <c r="D74" i="74"/>
  <c r="C74" i="74"/>
  <c r="G73" i="74"/>
  <c r="F73" i="74"/>
  <c r="E73" i="74"/>
  <c r="D73" i="74"/>
  <c r="C73" i="74"/>
  <c r="G72" i="74"/>
  <c r="F72" i="74"/>
  <c r="E72" i="74"/>
  <c r="D72" i="74"/>
  <c r="C72" i="74"/>
  <c r="G71" i="74"/>
  <c r="F71" i="74"/>
  <c r="E71" i="74"/>
  <c r="D71" i="74"/>
  <c r="C71" i="74"/>
  <c r="G70" i="74"/>
  <c r="F70" i="74"/>
  <c r="E70" i="74"/>
  <c r="D70" i="74"/>
  <c r="C70" i="74"/>
  <c r="G69" i="74"/>
  <c r="F69" i="74"/>
  <c r="E69" i="74"/>
  <c r="D69" i="74"/>
  <c r="C69" i="74"/>
  <c r="G68" i="74"/>
  <c r="F68" i="74"/>
  <c r="E68" i="74"/>
  <c r="D68" i="74"/>
  <c r="C68" i="74"/>
  <c r="G67" i="74"/>
  <c r="F67" i="74"/>
  <c r="E67" i="74"/>
  <c r="D67" i="74"/>
  <c r="C67" i="74"/>
  <c r="G66" i="74"/>
  <c r="F66" i="74"/>
  <c r="E66" i="74"/>
  <c r="D66" i="74"/>
  <c r="C66" i="74"/>
  <c r="G65" i="74"/>
  <c r="F65" i="74"/>
  <c r="E65" i="74"/>
  <c r="D65" i="74"/>
  <c r="C65" i="74"/>
  <c r="G64" i="74"/>
  <c r="F64" i="74"/>
  <c r="E64" i="74"/>
  <c r="D64" i="74"/>
  <c r="C64" i="74"/>
  <c r="G63" i="74"/>
  <c r="F63" i="74"/>
  <c r="E63" i="74"/>
  <c r="D63" i="74"/>
  <c r="C63" i="74"/>
  <c r="G62" i="74"/>
  <c r="F62" i="74"/>
  <c r="E62" i="74"/>
  <c r="D62" i="74"/>
  <c r="C62" i="74"/>
  <c r="G61" i="74"/>
  <c r="F61" i="74"/>
  <c r="E61" i="74"/>
  <c r="D61" i="74"/>
  <c r="C61" i="74"/>
  <c r="G60" i="74"/>
  <c r="F60" i="74"/>
  <c r="E60" i="74"/>
  <c r="D60" i="74"/>
  <c r="C60" i="74"/>
  <c r="G59" i="74"/>
  <c r="F59" i="74"/>
  <c r="E59" i="74"/>
  <c r="D59" i="74"/>
  <c r="C59" i="74"/>
  <c r="G58" i="74"/>
  <c r="F58" i="74"/>
  <c r="E58" i="74"/>
  <c r="D58" i="74"/>
  <c r="C58" i="74"/>
  <c r="G57" i="74"/>
  <c r="F57" i="74"/>
  <c r="E57" i="74"/>
  <c r="D57" i="74"/>
  <c r="C57" i="74"/>
  <c r="G56" i="74"/>
  <c r="F56" i="74"/>
  <c r="E56" i="74"/>
  <c r="D56" i="74"/>
  <c r="C56" i="74"/>
  <c r="G55" i="74"/>
  <c r="F55" i="74"/>
  <c r="E55" i="74"/>
  <c r="D55" i="74"/>
  <c r="C55" i="74"/>
  <c r="G54" i="74"/>
  <c r="F54" i="74"/>
  <c r="E54" i="74"/>
  <c r="D54" i="74"/>
  <c r="C54" i="74"/>
  <c r="G53" i="74"/>
  <c r="F53" i="74"/>
  <c r="E53" i="74"/>
  <c r="D53" i="74"/>
  <c r="C53" i="74"/>
  <c r="G52" i="74"/>
  <c r="F52" i="74"/>
  <c r="E52" i="74"/>
  <c r="D52" i="74"/>
  <c r="C52" i="74"/>
  <c r="G51" i="74"/>
  <c r="F51" i="74"/>
  <c r="E51" i="74"/>
  <c r="D51" i="74"/>
  <c r="C51" i="74"/>
  <c r="G50" i="74"/>
  <c r="F50" i="74"/>
  <c r="E50" i="74"/>
  <c r="D50" i="74"/>
  <c r="C50" i="74"/>
  <c r="G49" i="74"/>
  <c r="F49" i="74"/>
  <c r="E49" i="74"/>
  <c r="D49" i="74"/>
  <c r="C49" i="74"/>
  <c r="G48" i="74"/>
  <c r="F48" i="74"/>
  <c r="E48" i="74"/>
  <c r="D48" i="74"/>
  <c r="C48" i="74"/>
  <c r="G47" i="74"/>
  <c r="F47" i="74"/>
  <c r="E47" i="74"/>
  <c r="D47" i="74"/>
  <c r="C47" i="74"/>
  <c r="G46" i="74"/>
  <c r="F46" i="74"/>
  <c r="E46" i="74"/>
  <c r="D46" i="74"/>
  <c r="C46" i="74"/>
  <c r="G45" i="74"/>
  <c r="F45" i="74"/>
  <c r="E45" i="74"/>
  <c r="D45" i="74"/>
  <c r="C45" i="74"/>
  <c r="G44" i="74"/>
  <c r="F44" i="74"/>
  <c r="E44" i="74"/>
  <c r="D44" i="74"/>
  <c r="C44" i="74"/>
  <c r="G43" i="74"/>
  <c r="F43" i="74"/>
  <c r="E43" i="74"/>
  <c r="D43" i="74"/>
  <c r="C43" i="74"/>
  <c r="G42" i="74"/>
  <c r="F42" i="74"/>
  <c r="E42" i="74"/>
  <c r="D42" i="74"/>
  <c r="C42" i="74"/>
  <c r="G41" i="74"/>
  <c r="F41" i="74"/>
  <c r="E41" i="74"/>
  <c r="D41" i="74"/>
  <c r="C41" i="74"/>
  <c r="G40" i="74"/>
  <c r="F40" i="74"/>
  <c r="E40" i="74"/>
  <c r="D40" i="74"/>
  <c r="C40" i="74"/>
  <c r="G39" i="74"/>
  <c r="F39" i="74"/>
  <c r="E39" i="74"/>
  <c r="D39" i="74"/>
  <c r="C39" i="74"/>
  <c r="G38" i="74"/>
  <c r="F38" i="74"/>
  <c r="E38" i="74"/>
  <c r="D38" i="74"/>
  <c r="C38" i="74"/>
  <c r="G37" i="74"/>
  <c r="F37" i="74"/>
  <c r="E37" i="74"/>
  <c r="D37" i="74"/>
  <c r="C37" i="74"/>
  <c r="G36" i="74"/>
  <c r="F36" i="74"/>
  <c r="E36" i="74"/>
  <c r="D36" i="74"/>
  <c r="C36" i="74"/>
  <c r="G35" i="74"/>
  <c r="F35" i="74"/>
  <c r="E35" i="74"/>
  <c r="D35" i="74"/>
  <c r="C35" i="74"/>
  <c r="G34" i="74"/>
  <c r="F34" i="74"/>
  <c r="E34" i="74"/>
  <c r="D34" i="74"/>
  <c r="C34" i="74"/>
  <c r="G33" i="74"/>
  <c r="F33" i="74"/>
  <c r="E33" i="74"/>
  <c r="D33" i="74"/>
  <c r="C33" i="74"/>
  <c r="G32" i="74"/>
  <c r="F32" i="74"/>
  <c r="E32" i="74"/>
  <c r="D32" i="74"/>
  <c r="C32" i="74"/>
  <c r="G31" i="74"/>
  <c r="F31" i="74"/>
  <c r="E31" i="74"/>
  <c r="D31" i="74"/>
  <c r="C31" i="74"/>
  <c r="G30" i="74"/>
  <c r="F30" i="74"/>
  <c r="E30" i="74"/>
  <c r="D30" i="74"/>
  <c r="C30" i="74"/>
  <c r="G29" i="74"/>
  <c r="F29" i="74"/>
  <c r="E29" i="74"/>
  <c r="D29" i="74"/>
  <c r="C29" i="74"/>
  <c r="G28" i="74"/>
  <c r="F28" i="74"/>
  <c r="E28" i="74"/>
  <c r="D28" i="74"/>
  <c r="C28" i="74"/>
  <c r="G27" i="74"/>
  <c r="F27" i="74"/>
  <c r="E27" i="74"/>
  <c r="D27" i="74"/>
  <c r="C27" i="74"/>
  <c r="G26" i="74"/>
  <c r="F26" i="74"/>
  <c r="E26" i="74"/>
  <c r="D26" i="74"/>
  <c r="C26" i="74"/>
  <c r="G25" i="74"/>
  <c r="F25" i="74"/>
  <c r="E25" i="74"/>
  <c r="D25" i="74"/>
  <c r="C25" i="74"/>
  <c r="G24" i="74"/>
  <c r="F24" i="74"/>
  <c r="E24" i="74"/>
  <c r="D24" i="74"/>
  <c r="C24" i="74"/>
  <c r="G23" i="74"/>
  <c r="F23" i="74"/>
  <c r="E23" i="74"/>
  <c r="D23" i="74"/>
  <c r="C23" i="74"/>
  <c r="G22" i="74"/>
  <c r="F22" i="74"/>
  <c r="E22" i="74"/>
  <c r="D22" i="74"/>
  <c r="C22" i="74"/>
  <c r="G21" i="74"/>
  <c r="F21" i="74"/>
  <c r="E21" i="74"/>
  <c r="D21" i="74"/>
  <c r="C21" i="74"/>
  <c r="G20" i="74"/>
  <c r="F20" i="74"/>
  <c r="E20" i="74"/>
  <c r="D20" i="74"/>
  <c r="C20" i="74"/>
  <c r="G19" i="74"/>
  <c r="F19" i="74"/>
  <c r="E19" i="74"/>
  <c r="D19" i="74"/>
  <c r="C19" i="74"/>
  <c r="G18" i="74"/>
  <c r="F18" i="74"/>
  <c r="E18" i="74"/>
  <c r="D18" i="74"/>
  <c r="C18" i="74"/>
  <c r="G17" i="74"/>
  <c r="F17" i="74"/>
  <c r="E17" i="74"/>
  <c r="D17" i="74"/>
  <c r="C17" i="74"/>
  <c r="G16" i="74"/>
  <c r="F16" i="74"/>
  <c r="E16" i="74"/>
  <c r="D16" i="74"/>
  <c r="C16" i="74"/>
  <c r="G15" i="74"/>
  <c r="F15" i="74"/>
  <c r="E15" i="74"/>
  <c r="D15" i="74"/>
  <c r="C15" i="74"/>
  <c r="G14" i="74"/>
  <c r="F14" i="74"/>
  <c r="E14" i="74"/>
  <c r="D14" i="74"/>
  <c r="C14" i="74"/>
  <c r="G13" i="74"/>
  <c r="F13" i="74"/>
  <c r="E13" i="74"/>
  <c r="D13" i="74"/>
  <c r="C13" i="74"/>
  <c r="G12" i="74"/>
  <c r="F12" i="74"/>
  <c r="E12" i="74"/>
  <c r="D12" i="74"/>
  <c r="C12" i="74"/>
  <c r="G11" i="74"/>
  <c r="F11" i="74"/>
  <c r="E11" i="74"/>
  <c r="D11" i="74"/>
  <c r="C11" i="74"/>
  <c r="G10" i="74"/>
  <c r="F10" i="74"/>
  <c r="E10" i="74"/>
  <c r="D10" i="74"/>
  <c r="C10" i="74"/>
  <c r="G9" i="74"/>
  <c r="F9" i="74"/>
  <c r="E9" i="74"/>
  <c r="D9" i="74"/>
  <c r="C9" i="74"/>
  <c r="G8" i="74"/>
  <c r="F8" i="74"/>
  <c r="E8" i="74"/>
  <c r="D8" i="74"/>
  <c r="C8" i="74"/>
  <c r="G7" i="74"/>
  <c r="F7" i="74"/>
  <c r="E7" i="74"/>
  <c r="D7" i="74"/>
  <c r="C7" i="74"/>
  <c r="G6" i="74"/>
  <c r="F6" i="74"/>
  <c r="E6" i="74"/>
  <c r="D6" i="74"/>
  <c r="C6" i="74"/>
  <c r="G5" i="74"/>
  <c r="F5" i="74"/>
  <c r="E5" i="74"/>
  <c r="D5" i="74"/>
  <c r="C5" i="74"/>
  <c r="G4" i="74"/>
  <c r="F4" i="74"/>
  <c r="E4" i="74"/>
  <c r="D4" i="74"/>
  <c r="C4" i="74"/>
  <c r="G3" i="74"/>
  <c r="F3" i="74"/>
  <c r="E3" i="74"/>
  <c r="D3" i="74"/>
  <c r="C3" i="74"/>
  <c r="G2" i="74"/>
  <c r="F2" i="74"/>
  <c r="E2" i="74"/>
  <c r="D2" i="74"/>
  <c r="C2" i="74"/>
  <c r="F82" i="74" l="1"/>
  <c r="F83" i="74"/>
  <c r="D82" i="74" l="1"/>
  <c r="D83" i="74"/>
  <c r="A27" i="105" l="1"/>
  <c r="A27" i="104"/>
  <c r="E83" i="74" l="1"/>
  <c r="C82" i="74" l="1"/>
  <c r="C83" i="74"/>
  <c r="G83" i="74"/>
  <c r="A15" i="95" l="1"/>
  <c r="A14" i="95"/>
  <c r="A13" i="95"/>
  <c r="A12" i="95"/>
  <c r="A11" i="95"/>
  <c r="A10" i="95"/>
  <c r="A9" i="95"/>
  <c r="A8" i="95"/>
  <c r="A7" i="95"/>
  <c r="A6" i="95"/>
  <c r="A5" i="95"/>
  <c r="A4" i="95"/>
  <c r="A3" i="95"/>
  <c r="B2" i="106" l="1"/>
  <c r="A6" i="106"/>
  <c r="B6" i="106" s="1"/>
  <c r="A7" i="106"/>
  <c r="B7" i="106" s="1"/>
  <c r="A8" i="106"/>
  <c r="B8" i="106" s="1"/>
  <c r="A9" i="106"/>
  <c r="B9" i="106" s="1"/>
  <c r="A10" i="106"/>
  <c r="B10" i="106" s="1"/>
  <c r="A11" i="106"/>
  <c r="B11" i="106" s="1"/>
  <c r="A12" i="106"/>
  <c r="B12" i="106" s="1"/>
  <c r="A13" i="106"/>
  <c r="B13" i="106" s="1"/>
  <c r="A14" i="106"/>
  <c r="B14" i="106" s="1"/>
  <c r="A15" i="106"/>
  <c r="B15" i="106" s="1"/>
  <c r="A16" i="106"/>
  <c r="B16" i="106" s="1"/>
  <c r="A17" i="106"/>
  <c r="B17" i="106" s="1"/>
  <c r="A18" i="106"/>
  <c r="B18" i="106" s="1"/>
  <c r="A19" i="106"/>
  <c r="B19" i="106" s="1"/>
  <c r="A20" i="106"/>
  <c r="B20" i="106" s="1"/>
  <c r="A21" i="106"/>
  <c r="B21" i="106" s="1"/>
  <c r="A22" i="106"/>
  <c r="B22" i="106" s="1"/>
  <c r="A23" i="106"/>
  <c r="B23" i="106" s="1"/>
  <c r="A24" i="106"/>
  <c r="B24" i="106" s="1"/>
  <c r="A25" i="106"/>
  <c r="B25" i="106" s="1"/>
  <c r="A26" i="106"/>
  <c r="B26" i="106" s="1"/>
  <c r="K3" i="105"/>
  <c r="AB11" i="105"/>
  <c r="AC11" i="105"/>
  <c r="AE11" i="105"/>
  <c r="AG11" i="105"/>
  <c r="C12" i="105"/>
  <c r="AB12" i="105"/>
  <c r="AC12" i="105"/>
  <c r="AE12" i="105"/>
  <c r="D12" i="105" s="1"/>
  <c r="AG12" i="105"/>
  <c r="J12" i="105" s="1"/>
  <c r="C13" i="105"/>
  <c r="S13" i="105"/>
  <c r="AB13" i="105"/>
  <c r="AC13" i="105"/>
  <c r="AE13" i="105"/>
  <c r="D13" i="105" s="1"/>
  <c r="AG13" i="105"/>
  <c r="J13" i="105" s="1"/>
  <c r="C14" i="105"/>
  <c r="AB14" i="105"/>
  <c r="AC14" i="105"/>
  <c r="AE14" i="105"/>
  <c r="D14" i="105" s="1"/>
  <c r="AG14" i="105"/>
  <c r="J14" i="105" s="1"/>
  <c r="C15" i="105"/>
  <c r="AB15" i="105"/>
  <c r="AC15" i="105"/>
  <c r="A15" i="105" s="1"/>
  <c r="AE15" i="105"/>
  <c r="D15" i="105" s="1"/>
  <c r="AG15" i="105"/>
  <c r="J15" i="105" s="1"/>
  <c r="C16" i="105"/>
  <c r="S16" i="105"/>
  <c r="AB16" i="105"/>
  <c r="AC16" i="105"/>
  <c r="AE16" i="105"/>
  <c r="D16" i="105" s="1"/>
  <c r="AG16" i="105"/>
  <c r="J16" i="105" s="1"/>
  <c r="A17" i="105"/>
  <c r="C17" i="105"/>
  <c r="D17" i="105"/>
  <c r="J17" i="105"/>
  <c r="S17" i="105"/>
  <c r="AB17" i="105"/>
  <c r="AC17" i="105"/>
  <c r="AE17" i="105"/>
  <c r="AG17" i="105"/>
  <c r="A18" i="105"/>
  <c r="C18" i="105"/>
  <c r="D18" i="105"/>
  <c r="J18" i="105"/>
  <c r="S18" i="105"/>
  <c r="AB18" i="105"/>
  <c r="AC18" i="105"/>
  <c r="AE18" i="105"/>
  <c r="AG18" i="105"/>
  <c r="A19" i="105"/>
  <c r="C19" i="105"/>
  <c r="D19" i="105"/>
  <c r="J19" i="105"/>
  <c r="S19" i="105"/>
  <c r="AB19" i="105"/>
  <c r="AC19" i="105"/>
  <c r="AE19" i="105"/>
  <c r="AG19" i="105"/>
  <c r="A20" i="105"/>
  <c r="C20" i="105"/>
  <c r="D20" i="105"/>
  <c r="J20" i="105"/>
  <c r="S20" i="105"/>
  <c r="AB20" i="105"/>
  <c r="AC20" i="105"/>
  <c r="AE20" i="105"/>
  <c r="AG20" i="105"/>
  <c r="A21" i="105"/>
  <c r="C21" i="105"/>
  <c r="D21" i="105"/>
  <c r="J21" i="105"/>
  <c r="S21" i="105"/>
  <c r="AB21" i="105"/>
  <c r="AC21" i="105"/>
  <c r="AE21" i="105"/>
  <c r="AG21" i="105"/>
  <c r="A22" i="105"/>
  <c r="C22" i="105"/>
  <c r="D22" i="105"/>
  <c r="J22" i="105"/>
  <c r="S22" i="105"/>
  <c r="AB22" i="105"/>
  <c r="AC22" i="105"/>
  <c r="AE22" i="105"/>
  <c r="AG22" i="105"/>
  <c r="A23" i="105"/>
  <c r="C23" i="105"/>
  <c r="D23" i="105"/>
  <c r="J23" i="105"/>
  <c r="S23" i="105"/>
  <c r="AB23" i="105"/>
  <c r="AC23" i="105"/>
  <c r="AE23" i="105"/>
  <c r="AG23" i="105"/>
  <c r="A24" i="105"/>
  <c r="C24" i="105"/>
  <c r="D24" i="105"/>
  <c r="J24" i="105"/>
  <c r="S24" i="105"/>
  <c r="AB24" i="105"/>
  <c r="AC24" i="105"/>
  <c r="AE24" i="105"/>
  <c r="AG24" i="105"/>
  <c r="A25" i="105"/>
  <c r="C25" i="105"/>
  <c r="D25" i="105"/>
  <c r="J25" i="105"/>
  <c r="S25" i="105"/>
  <c r="AB25" i="105"/>
  <c r="AC25" i="105"/>
  <c r="AE25" i="105"/>
  <c r="AG25" i="105"/>
  <c r="A26" i="105"/>
  <c r="C26" i="105"/>
  <c r="D26" i="105"/>
  <c r="J26" i="105"/>
  <c r="S26" i="105"/>
  <c r="AB26" i="105"/>
  <c r="AC26" i="105"/>
  <c r="AE26" i="105"/>
  <c r="AG26" i="105"/>
  <c r="S27" i="105"/>
  <c r="AB27" i="105"/>
  <c r="AC27" i="105"/>
  <c r="AE27" i="105"/>
  <c r="AG27" i="105"/>
  <c r="L28" i="105"/>
  <c r="AB28" i="105"/>
  <c r="AC28" i="105"/>
  <c r="AE28" i="105"/>
  <c r="AG28" i="105"/>
  <c r="L29" i="105"/>
  <c r="AB29" i="105"/>
  <c r="AC29" i="105"/>
  <c r="AE29" i="105"/>
  <c r="AG29" i="105"/>
  <c r="L30" i="105"/>
  <c r="AB30" i="105"/>
  <c r="AC30" i="105"/>
  <c r="AE30" i="105"/>
  <c r="AG30" i="105"/>
  <c r="L31" i="105"/>
  <c r="B32" i="105"/>
  <c r="K3" i="104"/>
  <c r="AB11" i="104"/>
  <c r="AC11" i="104"/>
  <c r="AE11" i="104"/>
  <c r="AG11" i="104"/>
  <c r="C12" i="104"/>
  <c r="AB12" i="104"/>
  <c r="AC12" i="104"/>
  <c r="AE12" i="104"/>
  <c r="D12" i="104" s="1"/>
  <c r="AG12" i="104"/>
  <c r="J12" i="104" s="1"/>
  <c r="C13" i="104"/>
  <c r="S13" i="104"/>
  <c r="AB13" i="104"/>
  <c r="AC13" i="104"/>
  <c r="AE13" i="104"/>
  <c r="D13" i="104" s="1"/>
  <c r="AG13" i="104"/>
  <c r="J13" i="104" s="1"/>
  <c r="C14" i="104"/>
  <c r="AB14" i="104"/>
  <c r="AC14" i="104"/>
  <c r="AE14" i="104"/>
  <c r="D14" i="104" s="1"/>
  <c r="AG14" i="104"/>
  <c r="J14" i="104" s="1"/>
  <c r="C15" i="104"/>
  <c r="AB15" i="104"/>
  <c r="AC15" i="104"/>
  <c r="AE15" i="104"/>
  <c r="D15" i="104" s="1"/>
  <c r="AG15" i="104"/>
  <c r="J15" i="104" s="1"/>
  <c r="C16" i="104"/>
  <c r="S16" i="104"/>
  <c r="AB16" i="104"/>
  <c r="AC16" i="104"/>
  <c r="AE16" i="104"/>
  <c r="D16" i="104" s="1"/>
  <c r="AG16" i="104"/>
  <c r="J16" i="104" s="1"/>
  <c r="A17" i="104"/>
  <c r="C17" i="104"/>
  <c r="D17" i="104"/>
  <c r="J17" i="104"/>
  <c r="S17" i="104"/>
  <c r="AB17" i="104"/>
  <c r="AC17" i="104"/>
  <c r="AE17" i="104"/>
  <c r="AG17" i="104"/>
  <c r="A18" i="104"/>
  <c r="C18" i="104"/>
  <c r="D18" i="104"/>
  <c r="J18" i="104"/>
  <c r="S18" i="104"/>
  <c r="AB18" i="104"/>
  <c r="AC18" i="104"/>
  <c r="AE18" i="104"/>
  <c r="AG18" i="104"/>
  <c r="A19" i="104"/>
  <c r="C19" i="104"/>
  <c r="D19" i="104"/>
  <c r="J19" i="104"/>
  <c r="S19" i="104"/>
  <c r="AB19" i="104"/>
  <c r="AC19" i="104"/>
  <c r="AE19" i="104"/>
  <c r="AG19" i="104"/>
  <c r="A20" i="104"/>
  <c r="C20" i="104"/>
  <c r="D20" i="104"/>
  <c r="J20" i="104"/>
  <c r="S20" i="104"/>
  <c r="AB20" i="104"/>
  <c r="AC20" i="104"/>
  <c r="AE20" i="104"/>
  <c r="AG20" i="104"/>
  <c r="A21" i="104"/>
  <c r="C21" i="104"/>
  <c r="D21" i="104"/>
  <c r="J21" i="104"/>
  <c r="S21" i="104"/>
  <c r="AB21" i="104"/>
  <c r="AC21" i="104"/>
  <c r="AE21" i="104"/>
  <c r="AG21" i="104"/>
  <c r="A22" i="104"/>
  <c r="C22" i="104"/>
  <c r="D22" i="104"/>
  <c r="J22" i="104"/>
  <c r="S22" i="104"/>
  <c r="AB22" i="104"/>
  <c r="AC22" i="104"/>
  <c r="AE22" i="104"/>
  <c r="AG22" i="104"/>
  <c r="A23" i="104"/>
  <c r="C23" i="104"/>
  <c r="D23" i="104"/>
  <c r="J23" i="104"/>
  <c r="S23" i="104"/>
  <c r="AB23" i="104"/>
  <c r="AC23" i="104"/>
  <c r="AE23" i="104"/>
  <c r="AG23" i="104"/>
  <c r="A24" i="104"/>
  <c r="C24" i="104"/>
  <c r="D24" i="104"/>
  <c r="J24" i="104"/>
  <c r="S24" i="104"/>
  <c r="AB24" i="104"/>
  <c r="AC24" i="104"/>
  <c r="AE24" i="104"/>
  <c r="AG24" i="104"/>
  <c r="A25" i="104"/>
  <c r="C25" i="104"/>
  <c r="D25" i="104"/>
  <c r="J25" i="104"/>
  <c r="S25" i="104"/>
  <c r="AB25" i="104"/>
  <c r="AC25" i="104"/>
  <c r="AE25" i="104"/>
  <c r="AG25" i="104"/>
  <c r="A26" i="104"/>
  <c r="C26" i="104"/>
  <c r="D26" i="104"/>
  <c r="J26" i="104"/>
  <c r="S26" i="104"/>
  <c r="AB26" i="104"/>
  <c r="AC26" i="104"/>
  <c r="AE26" i="104"/>
  <c r="AG26" i="104"/>
  <c r="S27" i="104"/>
  <c r="AB27" i="104"/>
  <c r="AC27" i="104"/>
  <c r="AE27" i="104"/>
  <c r="AG27" i="104"/>
  <c r="L28" i="104"/>
  <c r="AB28" i="104"/>
  <c r="AC28" i="104"/>
  <c r="AE28" i="104"/>
  <c r="AG28" i="104"/>
  <c r="L29" i="104"/>
  <c r="AB29" i="104"/>
  <c r="AC29" i="104"/>
  <c r="AE29" i="104"/>
  <c r="AG29" i="104"/>
  <c r="L30" i="104"/>
  <c r="AB30" i="104"/>
  <c r="AC30" i="104"/>
  <c r="AE30" i="104"/>
  <c r="AG30" i="104"/>
  <c r="L31" i="104"/>
  <c r="B32" i="104"/>
  <c r="B2" i="103"/>
  <c r="H3" i="103"/>
  <c r="A7" i="103"/>
  <c r="B7" i="103"/>
  <c r="D7" i="103"/>
  <c r="F7" i="103"/>
  <c r="G7" i="103"/>
  <c r="H7" i="103"/>
  <c r="A8" i="103"/>
  <c r="B8" i="103"/>
  <c r="D8" i="103"/>
  <c r="F8" i="103"/>
  <c r="G8" i="103"/>
  <c r="H8" i="103"/>
  <c r="A9" i="103"/>
  <c r="B9" i="103"/>
  <c r="D9" i="103"/>
  <c r="F9" i="103"/>
  <c r="G9" i="103"/>
  <c r="H9" i="103"/>
  <c r="A10" i="103"/>
  <c r="B10" i="103"/>
  <c r="D10" i="103"/>
  <c r="F10" i="103"/>
  <c r="G10" i="103"/>
  <c r="H10" i="103"/>
  <c r="A11" i="103"/>
  <c r="B11" i="103"/>
  <c r="D11" i="103"/>
  <c r="F11" i="103"/>
  <c r="G11" i="103"/>
  <c r="H11" i="103"/>
  <c r="A12" i="103"/>
  <c r="B12" i="103"/>
  <c r="D12" i="103"/>
  <c r="F12" i="103"/>
  <c r="G12" i="103"/>
  <c r="H12" i="103"/>
  <c r="A13" i="103"/>
  <c r="B13" i="103"/>
  <c r="D13" i="103"/>
  <c r="F13" i="103"/>
  <c r="G13" i="103"/>
  <c r="H13" i="103"/>
  <c r="A14" i="103"/>
  <c r="B14" i="103"/>
  <c r="D14" i="103"/>
  <c r="F14" i="103"/>
  <c r="G14" i="103"/>
  <c r="H14" i="103"/>
  <c r="A15" i="103"/>
  <c r="B15" i="103"/>
  <c r="D15" i="103"/>
  <c r="F15" i="103"/>
  <c r="G15" i="103"/>
  <c r="H15" i="103"/>
  <c r="A16" i="103"/>
  <c r="B16" i="103"/>
  <c r="D16" i="103"/>
  <c r="F16" i="103"/>
  <c r="G16" i="103"/>
  <c r="H16" i="103"/>
  <c r="A17" i="103"/>
  <c r="B17" i="103"/>
  <c r="D17" i="103"/>
  <c r="F17" i="103"/>
  <c r="G17" i="103"/>
  <c r="H17" i="103"/>
  <c r="A18" i="103"/>
  <c r="B18" i="103"/>
  <c r="D18" i="103"/>
  <c r="F18" i="103"/>
  <c r="G18" i="103"/>
  <c r="H18" i="103"/>
  <c r="A19" i="103"/>
  <c r="B19" i="103"/>
  <c r="D19" i="103"/>
  <c r="F19" i="103"/>
  <c r="G19" i="103"/>
  <c r="H19" i="103"/>
  <c r="A20" i="103"/>
  <c r="B20" i="103"/>
  <c r="D20" i="103"/>
  <c r="F20" i="103"/>
  <c r="G20" i="103"/>
  <c r="H20" i="103"/>
  <c r="A21" i="103"/>
  <c r="B21" i="103"/>
  <c r="D21" i="103"/>
  <c r="F21" i="103"/>
  <c r="G21" i="103"/>
  <c r="H21" i="103"/>
  <c r="A22" i="103"/>
  <c r="B22" i="103"/>
  <c r="D22" i="103"/>
  <c r="F22" i="103"/>
  <c r="G22" i="103"/>
  <c r="H22" i="103"/>
  <c r="A23" i="103"/>
  <c r="B23" i="103"/>
  <c r="D23" i="103"/>
  <c r="F23" i="103"/>
  <c r="G23" i="103"/>
  <c r="H23" i="103"/>
  <c r="A24" i="103"/>
  <c r="B24" i="103"/>
  <c r="D24" i="103"/>
  <c r="F24" i="103"/>
  <c r="G24" i="103"/>
  <c r="H24" i="103"/>
  <c r="A25" i="103"/>
  <c r="B25" i="103"/>
  <c r="D25" i="103"/>
  <c r="F25" i="103"/>
  <c r="G25" i="103"/>
  <c r="H25" i="103"/>
  <c r="A26" i="103"/>
  <c r="B26" i="103"/>
  <c r="D26" i="103"/>
  <c r="F26" i="103"/>
  <c r="G26" i="103"/>
  <c r="H26" i="103"/>
  <c r="A27" i="103"/>
  <c r="B27" i="103"/>
  <c r="D27" i="103"/>
  <c r="F27" i="103"/>
  <c r="G27" i="103"/>
  <c r="H27" i="103"/>
  <c r="A28" i="103"/>
  <c r="B28" i="103"/>
  <c r="D28" i="103"/>
  <c r="F28" i="103"/>
  <c r="G28" i="103"/>
  <c r="H28" i="103"/>
  <c r="A29" i="103"/>
  <c r="B29" i="103"/>
  <c r="D29" i="103"/>
  <c r="F29" i="103"/>
  <c r="G29" i="103"/>
  <c r="H29" i="103"/>
  <c r="A30" i="103"/>
  <c r="B30" i="103"/>
  <c r="D30" i="103"/>
  <c r="F30" i="103"/>
  <c r="G30" i="103"/>
  <c r="H30" i="103"/>
  <c r="A31" i="103"/>
  <c r="B31" i="103"/>
  <c r="D31" i="103"/>
  <c r="F31" i="103"/>
  <c r="G31" i="103"/>
  <c r="H31" i="103"/>
  <c r="A32" i="103"/>
  <c r="B32" i="103"/>
  <c r="D32" i="103"/>
  <c r="F32" i="103"/>
  <c r="G32" i="103"/>
  <c r="H32" i="103"/>
  <c r="A33" i="103"/>
  <c r="B33" i="103"/>
  <c r="D33" i="103"/>
  <c r="F33" i="103"/>
  <c r="G33" i="103"/>
  <c r="H33" i="103"/>
  <c r="A34" i="103"/>
  <c r="B34" i="103"/>
  <c r="D34" i="103"/>
  <c r="F34" i="103"/>
  <c r="G34" i="103"/>
  <c r="H34" i="103"/>
  <c r="A35" i="103"/>
  <c r="B35" i="103"/>
  <c r="D35" i="103"/>
  <c r="F35" i="103"/>
  <c r="G35" i="103"/>
  <c r="H35" i="103"/>
  <c r="A36" i="103"/>
  <c r="B36" i="103"/>
  <c r="D36" i="103"/>
  <c r="F36" i="103"/>
  <c r="G36" i="103"/>
  <c r="H36" i="103"/>
  <c r="A37" i="103"/>
  <c r="B37" i="103"/>
  <c r="D37" i="103"/>
  <c r="F37" i="103"/>
  <c r="G37" i="103"/>
  <c r="H37" i="103"/>
  <c r="A38" i="103"/>
  <c r="B38" i="103"/>
  <c r="D38" i="103"/>
  <c r="F38" i="103"/>
  <c r="G38" i="103"/>
  <c r="H38" i="103"/>
  <c r="A39" i="103"/>
  <c r="B39" i="103"/>
  <c r="D39" i="103"/>
  <c r="F39" i="103"/>
  <c r="G39" i="103"/>
  <c r="H39" i="103"/>
  <c r="A40" i="103"/>
  <c r="B40" i="103"/>
  <c r="D40" i="103"/>
  <c r="F40" i="103"/>
  <c r="G40" i="103"/>
  <c r="H40" i="103"/>
  <c r="A41" i="103"/>
  <c r="B41" i="103"/>
  <c r="D41" i="103"/>
  <c r="F41" i="103"/>
  <c r="G41" i="103"/>
  <c r="H41" i="103"/>
  <c r="A42" i="103"/>
  <c r="B42" i="103"/>
  <c r="D42" i="103"/>
  <c r="F42" i="103"/>
  <c r="G42" i="103"/>
  <c r="H42" i="103"/>
  <c r="A43" i="103"/>
  <c r="B43" i="103"/>
  <c r="D43" i="103"/>
  <c r="F43" i="103"/>
  <c r="G43" i="103"/>
  <c r="H43" i="103"/>
  <c r="A44" i="103"/>
  <c r="B44" i="103"/>
  <c r="D44" i="103"/>
  <c r="F44" i="103"/>
  <c r="G44" i="103"/>
  <c r="H44" i="103"/>
  <c r="A45" i="103"/>
  <c r="B45" i="103"/>
  <c r="D45" i="103"/>
  <c r="F45" i="103"/>
  <c r="G45" i="103"/>
  <c r="H45" i="103"/>
  <c r="A46" i="103"/>
  <c r="B46" i="103"/>
  <c r="D46" i="103"/>
  <c r="F46" i="103"/>
  <c r="G46" i="103"/>
  <c r="H46" i="103"/>
  <c r="A47" i="103"/>
  <c r="B47" i="103"/>
  <c r="D47" i="103"/>
  <c r="F47" i="103"/>
  <c r="G47" i="103"/>
  <c r="H47" i="103"/>
  <c r="A48" i="103"/>
  <c r="B48" i="103"/>
  <c r="D48" i="103"/>
  <c r="F48" i="103"/>
  <c r="G48" i="103"/>
  <c r="H48" i="103"/>
  <c r="A49" i="103"/>
  <c r="B49" i="103"/>
  <c r="D49" i="103"/>
  <c r="F49" i="103"/>
  <c r="G49" i="103"/>
  <c r="H49" i="103"/>
  <c r="A50" i="103"/>
  <c r="B50" i="103"/>
  <c r="D50" i="103"/>
  <c r="F50" i="103"/>
  <c r="G50" i="103"/>
  <c r="H50" i="103"/>
  <c r="A51" i="103"/>
  <c r="B51" i="103"/>
  <c r="D51" i="103"/>
  <c r="F51" i="103"/>
  <c r="G51" i="103"/>
  <c r="H51" i="103"/>
  <c r="A52" i="103"/>
  <c r="B52" i="103"/>
  <c r="D52" i="103"/>
  <c r="F52" i="103"/>
  <c r="G52" i="103"/>
  <c r="H52" i="103"/>
  <c r="A53" i="103"/>
  <c r="B53" i="103"/>
  <c r="D53" i="103"/>
  <c r="F53" i="103"/>
  <c r="G53" i="103"/>
  <c r="H53" i="103"/>
  <c r="A54" i="103"/>
  <c r="B54" i="103"/>
  <c r="D54" i="103"/>
  <c r="F54" i="103"/>
  <c r="G54" i="103"/>
  <c r="H54" i="103"/>
  <c r="A55" i="103"/>
  <c r="B55" i="103"/>
  <c r="D55" i="103"/>
  <c r="F55" i="103"/>
  <c r="G55" i="103"/>
  <c r="H55" i="103"/>
  <c r="A56" i="103"/>
  <c r="B56" i="103"/>
  <c r="D56" i="103"/>
  <c r="F56" i="103"/>
  <c r="G56" i="103"/>
  <c r="H56" i="103"/>
  <c r="A57" i="103"/>
  <c r="B57" i="103"/>
  <c r="D57" i="103"/>
  <c r="F57" i="103"/>
  <c r="G57" i="103"/>
  <c r="H57" i="103"/>
  <c r="A58" i="103"/>
  <c r="B58" i="103"/>
  <c r="D58" i="103"/>
  <c r="F58" i="103"/>
  <c r="G58" i="103"/>
  <c r="H58" i="103"/>
  <c r="A59" i="103"/>
  <c r="B59" i="103"/>
  <c r="D59" i="103"/>
  <c r="F59" i="103"/>
  <c r="G59" i="103"/>
  <c r="H59" i="103"/>
  <c r="A60" i="103"/>
  <c r="B60" i="103"/>
  <c r="D60" i="103"/>
  <c r="F60" i="103"/>
  <c r="G60" i="103"/>
  <c r="H60" i="103"/>
  <c r="A61" i="103"/>
  <c r="B61" i="103"/>
  <c r="D61" i="103"/>
  <c r="F61" i="103"/>
  <c r="G61" i="103"/>
  <c r="H61" i="103"/>
  <c r="A62" i="103"/>
  <c r="B62" i="103"/>
  <c r="D62" i="103"/>
  <c r="F62" i="103"/>
  <c r="G62" i="103"/>
  <c r="H62" i="103"/>
  <c r="A63" i="103"/>
  <c r="B63" i="103"/>
  <c r="D63" i="103"/>
  <c r="F63" i="103"/>
  <c r="G63" i="103"/>
  <c r="H63" i="103"/>
  <c r="A64" i="103"/>
  <c r="B64" i="103"/>
  <c r="D64" i="103"/>
  <c r="F64" i="103"/>
  <c r="G64" i="103"/>
  <c r="H64" i="103"/>
  <c r="A65" i="103"/>
  <c r="B65" i="103"/>
  <c r="D65" i="103"/>
  <c r="F65" i="103"/>
  <c r="G65" i="103"/>
  <c r="H65" i="103"/>
  <c r="A66" i="103"/>
  <c r="B66" i="103"/>
  <c r="D66" i="103"/>
  <c r="F66" i="103"/>
  <c r="G66" i="103"/>
  <c r="H66" i="103"/>
  <c r="A67" i="103"/>
  <c r="B67" i="103"/>
  <c r="D67" i="103"/>
  <c r="F67" i="103"/>
  <c r="G67" i="103"/>
  <c r="H67" i="103"/>
  <c r="A68" i="103"/>
  <c r="B68" i="103"/>
  <c r="D68" i="103"/>
  <c r="F68" i="103"/>
  <c r="G68" i="103"/>
  <c r="H68" i="103"/>
  <c r="A69" i="103"/>
  <c r="B69" i="103"/>
  <c r="D69" i="103"/>
  <c r="F69" i="103"/>
  <c r="G69" i="103"/>
  <c r="H69" i="103"/>
  <c r="A70" i="103"/>
  <c r="B70" i="103"/>
  <c r="D70" i="103"/>
  <c r="F70" i="103"/>
  <c r="G70" i="103"/>
  <c r="H70" i="103"/>
  <c r="A71" i="103"/>
  <c r="B71" i="103"/>
  <c r="D71" i="103"/>
  <c r="F71" i="103"/>
  <c r="G71" i="103"/>
  <c r="H71" i="103"/>
  <c r="A72" i="103"/>
  <c r="B72" i="103"/>
  <c r="D72" i="103"/>
  <c r="F72" i="103"/>
  <c r="G72" i="103"/>
  <c r="H72" i="103"/>
  <c r="A73" i="103"/>
  <c r="B73" i="103"/>
  <c r="D73" i="103"/>
  <c r="F73" i="103"/>
  <c r="G73" i="103"/>
  <c r="H73" i="103"/>
  <c r="A74" i="103"/>
  <c r="B74" i="103"/>
  <c r="D74" i="103"/>
  <c r="F74" i="103"/>
  <c r="G74" i="103"/>
  <c r="H74" i="103"/>
  <c r="A75" i="103"/>
  <c r="B75" i="103"/>
  <c r="D75" i="103"/>
  <c r="F75" i="103"/>
  <c r="G75" i="103"/>
  <c r="H75" i="103"/>
  <c r="A76" i="103"/>
  <c r="B76" i="103"/>
  <c r="D76" i="103"/>
  <c r="F76" i="103"/>
  <c r="G76" i="103"/>
  <c r="H76" i="103"/>
  <c r="A77" i="103"/>
  <c r="B77" i="103"/>
  <c r="D77" i="103"/>
  <c r="F77" i="103"/>
  <c r="G77" i="103"/>
  <c r="H77" i="103"/>
  <c r="A78" i="103"/>
  <c r="B78" i="103"/>
  <c r="D78" i="103"/>
  <c r="F78" i="103"/>
  <c r="G78" i="103"/>
  <c r="H78" i="103"/>
  <c r="A79" i="103"/>
  <c r="B79" i="103"/>
  <c r="D79" i="103"/>
  <c r="F79" i="103"/>
  <c r="G79" i="103"/>
  <c r="H79" i="103"/>
  <c r="A80" i="103"/>
  <c r="B80" i="103"/>
  <c r="D80" i="103"/>
  <c r="F80" i="103"/>
  <c r="G80" i="103"/>
  <c r="H80" i="103"/>
  <c r="A81" i="103"/>
  <c r="B81" i="103"/>
  <c r="D81" i="103"/>
  <c r="F81" i="103"/>
  <c r="G81" i="103"/>
  <c r="H81" i="103"/>
  <c r="A82" i="103"/>
  <c r="B82" i="103"/>
  <c r="D82" i="103"/>
  <c r="F82" i="103"/>
  <c r="G82" i="103"/>
  <c r="H82" i="103"/>
  <c r="A83" i="103"/>
  <c r="B83" i="103"/>
  <c r="D83" i="103"/>
  <c r="F83" i="103"/>
  <c r="G83" i="103"/>
  <c r="H83" i="103"/>
  <c r="A84" i="103"/>
  <c r="B84" i="103"/>
  <c r="D84" i="103"/>
  <c r="F84" i="103"/>
  <c r="G84" i="103"/>
  <c r="H84" i="103"/>
  <c r="A85" i="103"/>
  <c r="B85" i="103"/>
  <c r="D85" i="103"/>
  <c r="F85" i="103"/>
  <c r="G85" i="103"/>
  <c r="H85" i="103"/>
  <c r="A86" i="103"/>
  <c r="B86" i="103"/>
  <c r="D86" i="103"/>
  <c r="F86" i="103"/>
  <c r="G86" i="103"/>
  <c r="H86" i="103"/>
  <c r="A87" i="103"/>
  <c r="B87" i="103"/>
  <c r="D87" i="103"/>
  <c r="F87" i="103"/>
  <c r="G87" i="103"/>
  <c r="H87" i="103"/>
  <c r="A90" i="103"/>
  <c r="B90" i="103"/>
  <c r="A91" i="103"/>
  <c r="A92" i="103"/>
  <c r="A93" i="103"/>
  <c r="A94" i="103"/>
  <c r="A95" i="103"/>
  <c r="B95" i="103" s="1"/>
  <c r="A96" i="103"/>
  <c r="B96" i="103" s="1"/>
  <c r="A97" i="103"/>
  <c r="B97" i="103" s="1"/>
  <c r="A98" i="103"/>
  <c r="B98" i="103" s="1"/>
  <c r="A99" i="103"/>
  <c r="B99" i="103" s="1"/>
  <c r="A100" i="103"/>
  <c r="B100" i="103" s="1"/>
  <c r="A101" i="103"/>
  <c r="B101" i="103" s="1"/>
  <c r="A102" i="103"/>
  <c r="B102" i="103" s="1"/>
  <c r="A103" i="103"/>
  <c r="B103" i="103" s="1"/>
  <c r="A104" i="103"/>
  <c r="B104" i="103" s="1"/>
  <c r="A105" i="103"/>
  <c r="B105" i="103" s="1"/>
  <c r="A106" i="103"/>
  <c r="B106" i="103" s="1"/>
  <c r="A107" i="103"/>
  <c r="B107" i="103" s="1"/>
  <c r="A108" i="103"/>
  <c r="B108" i="103" s="1"/>
  <c r="A109" i="103"/>
  <c r="B109" i="103" s="1"/>
  <c r="A110" i="103"/>
  <c r="B110" i="103" s="1"/>
  <c r="A111" i="103"/>
  <c r="B111" i="103" s="1"/>
  <c r="A112" i="103"/>
  <c r="B112" i="103" s="1"/>
  <c r="A113" i="103"/>
  <c r="B113" i="103" s="1"/>
  <c r="A114" i="103"/>
  <c r="B114" i="103" s="1"/>
  <c r="A115" i="103"/>
  <c r="B115" i="103" s="1"/>
  <c r="A116" i="103"/>
  <c r="B116" i="103" s="1"/>
  <c r="A117" i="103"/>
  <c r="B117" i="103" s="1"/>
  <c r="A118" i="103"/>
  <c r="B118" i="103" s="1"/>
  <c r="A119" i="103"/>
  <c r="B119" i="103" s="1"/>
  <c r="A120" i="103"/>
  <c r="B120" i="103" s="1"/>
  <c r="A121" i="103"/>
  <c r="B121" i="103" s="1"/>
  <c r="A122" i="103"/>
  <c r="B122" i="103" s="1"/>
  <c r="A123" i="103"/>
  <c r="B123" i="103" s="1"/>
  <c r="A124" i="103"/>
  <c r="B124" i="103" s="1"/>
  <c r="A125" i="103"/>
  <c r="B125" i="103" s="1"/>
  <c r="A126" i="103"/>
  <c r="B126" i="103" s="1"/>
  <c r="A127" i="103"/>
  <c r="B127" i="103" s="1"/>
  <c r="A128" i="103"/>
  <c r="B128" i="103"/>
  <c r="A129" i="103"/>
  <c r="B129" i="103"/>
  <c r="A130" i="103"/>
  <c r="B130" i="103" s="1"/>
  <c r="A131" i="103"/>
  <c r="B131" i="103"/>
  <c r="A132" i="103"/>
  <c r="B132" i="103"/>
  <c r="A133" i="103"/>
  <c r="B133" i="103" s="1"/>
  <c r="A134" i="103"/>
  <c r="B134" i="103"/>
  <c r="A135" i="103"/>
  <c r="B135" i="103"/>
  <c r="A136" i="103"/>
  <c r="B136" i="103" s="1"/>
  <c r="A137" i="103"/>
  <c r="B137" i="103"/>
  <c r="A138" i="103"/>
  <c r="B138" i="103"/>
  <c r="A139" i="103"/>
  <c r="B139" i="103" s="1"/>
  <c r="A140" i="103"/>
  <c r="B140" i="103"/>
  <c r="A141" i="103"/>
  <c r="B141" i="103"/>
  <c r="A142" i="103"/>
  <c r="B142" i="103" s="1"/>
  <c r="A143" i="103"/>
  <c r="B143" i="103"/>
  <c r="A144" i="103"/>
  <c r="B144" i="103"/>
  <c r="A145" i="103"/>
  <c r="B145" i="103" s="1"/>
  <c r="A146" i="103"/>
  <c r="B146" i="103"/>
  <c r="A147" i="103"/>
  <c r="B147" i="103"/>
  <c r="A148" i="103"/>
  <c r="B148" i="103" s="1"/>
  <c r="A149" i="103"/>
  <c r="B149" i="103"/>
  <c r="A150" i="103"/>
  <c r="B150" i="103"/>
  <c r="A151" i="103"/>
  <c r="B151" i="103" s="1"/>
  <c r="A152" i="103"/>
  <c r="B152" i="103"/>
  <c r="A153" i="103"/>
  <c r="B153" i="103"/>
  <c r="A154" i="103"/>
  <c r="B154" i="103" s="1"/>
  <c r="A155" i="103"/>
  <c r="B155" i="103"/>
  <c r="A156" i="103"/>
  <c r="B156" i="103"/>
  <c r="A157" i="103"/>
  <c r="B157" i="103" s="1"/>
  <c r="A158" i="103"/>
  <c r="B158" i="103"/>
  <c r="A159" i="103"/>
  <c r="B159" i="103"/>
  <c r="A160" i="103"/>
  <c r="B160" i="103" s="1"/>
  <c r="A161" i="103"/>
  <c r="B161" i="103"/>
  <c r="A162" i="103"/>
  <c r="B162" i="103"/>
  <c r="A163" i="103"/>
  <c r="B163" i="103" s="1"/>
  <c r="A164" i="103"/>
  <c r="B164" i="103"/>
  <c r="A165" i="103"/>
  <c r="B165" i="103"/>
  <c r="A166" i="103"/>
  <c r="B166" i="103" s="1"/>
  <c r="A167" i="103"/>
  <c r="B167" i="103"/>
  <c r="A168" i="103"/>
  <c r="B168" i="103"/>
  <c r="A169" i="103"/>
  <c r="B169" i="103" s="1"/>
  <c r="A170" i="103"/>
  <c r="B170" i="103"/>
  <c r="A173" i="103"/>
  <c r="B173" i="103"/>
  <c r="C173" i="103"/>
  <c r="D173" i="103"/>
  <c r="A174" i="103"/>
  <c r="B174" i="103"/>
  <c r="C174" i="103"/>
  <c r="D174" i="103"/>
  <c r="A175" i="103"/>
  <c r="B175" i="103"/>
  <c r="C175" i="103"/>
  <c r="D175" i="103"/>
  <c r="A176" i="103"/>
  <c r="B176" i="103"/>
  <c r="C176" i="103"/>
  <c r="D176" i="103"/>
  <c r="A177" i="103"/>
  <c r="B177" i="103"/>
  <c r="C177" i="103"/>
  <c r="D177" i="103"/>
  <c r="A178" i="103"/>
  <c r="B178" i="103"/>
  <c r="C178" i="103"/>
  <c r="D178" i="103"/>
  <c r="A179" i="103"/>
  <c r="B179" i="103"/>
  <c r="C179" i="103"/>
  <c r="D179" i="103"/>
  <c r="A180" i="103"/>
  <c r="B180" i="103"/>
  <c r="C180" i="103"/>
  <c r="D180" i="103"/>
  <c r="A181" i="103"/>
  <c r="B181" i="103"/>
  <c r="C181" i="103"/>
  <c r="D181" i="103"/>
  <c r="A182" i="103"/>
  <c r="B182" i="103"/>
  <c r="C182" i="103"/>
  <c r="D182" i="103"/>
  <c r="A183" i="103"/>
  <c r="B183" i="103"/>
  <c r="C183" i="103"/>
  <c r="D183" i="103"/>
  <c r="A184" i="103"/>
  <c r="B184" i="103"/>
  <c r="C184" i="103"/>
  <c r="D184" i="103"/>
  <c r="A185" i="103"/>
  <c r="B185" i="103"/>
  <c r="C185" i="103"/>
  <c r="D185" i="103"/>
  <c r="A186" i="103"/>
  <c r="B186" i="103"/>
  <c r="C186" i="103"/>
  <c r="D186" i="103"/>
  <c r="A187" i="103"/>
  <c r="B187" i="103"/>
  <c r="C187" i="103"/>
  <c r="D187" i="103"/>
  <c r="A188" i="103"/>
  <c r="B188" i="103"/>
  <c r="C188" i="103"/>
  <c r="D188" i="103"/>
  <c r="A189" i="103"/>
  <c r="B189" i="103"/>
  <c r="C189" i="103"/>
  <c r="D189" i="103"/>
  <c r="A190" i="103"/>
  <c r="B190" i="103"/>
  <c r="C190" i="103"/>
  <c r="D190" i="103"/>
  <c r="A191" i="103"/>
  <c r="B191" i="103"/>
  <c r="C191" i="103"/>
  <c r="D191" i="103"/>
  <c r="A192" i="103"/>
  <c r="B192" i="103"/>
  <c r="C192" i="103"/>
  <c r="D192" i="103"/>
  <c r="A193" i="103"/>
  <c r="B193" i="103"/>
  <c r="C193" i="103"/>
  <c r="D193" i="103"/>
  <c r="A194" i="103"/>
  <c r="B194" i="103"/>
  <c r="C194" i="103"/>
  <c r="D194" i="103"/>
  <c r="A195" i="103"/>
  <c r="B195" i="103"/>
  <c r="C195" i="103"/>
  <c r="D195" i="103"/>
  <c r="A196" i="103"/>
  <c r="B196" i="103"/>
  <c r="C196" i="103"/>
  <c r="D196" i="103"/>
  <c r="A197" i="103"/>
  <c r="B197" i="103"/>
  <c r="C197" i="103"/>
  <c r="D197" i="103"/>
  <c r="A198" i="103"/>
  <c r="B198" i="103"/>
  <c r="C198" i="103"/>
  <c r="D198" i="103"/>
  <c r="A199" i="103"/>
  <c r="B199" i="103"/>
  <c r="C199" i="103"/>
  <c r="D199" i="103"/>
  <c r="A200" i="103"/>
  <c r="B200" i="103"/>
  <c r="C200" i="103"/>
  <c r="D200" i="103"/>
  <c r="A201" i="103"/>
  <c r="B201" i="103"/>
  <c r="C201" i="103"/>
  <c r="D201" i="103"/>
  <c r="A202" i="103"/>
  <c r="B202" i="103"/>
  <c r="C202" i="103"/>
  <c r="D202" i="103"/>
  <c r="A203" i="103"/>
  <c r="B203" i="103"/>
  <c r="C203" i="103"/>
  <c r="D203" i="103"/>
  <c r="A204" i="103"/>
  <c r="B204" i="103"/>
  <c r="C204" i="103"/>
  <c r="D204" i="103"/>
  <c r="A205" i="103"/>
  <c r="B205" i="103"/>
  <c r="C205" i="103"/>
  <c r="D205" i="103"/>
  <c r="A206" i="103"/>
  <c r="B206" i="103"/>
  <c r="C206" i="103"/>
  <c r="D206" i="103"/>
  <c r="A207" i="103"/>
  <c r="B207" i="103"/>
  <c r="C207" i="103"/>
  <c r="D207" i="103"/>
  <c r="A208" i="103"/>
  <c r="B208" i="103"/>
  <c r="C208" i="103"/>
  <c r="D208" i="103"/>
  <c r="A209" i="103"/>
  <c r="B209" i="103"/>
  <c r="C209" i="103"/>
  <c r="D209" i="103"/>
  <c r="A210" i="103"/>
  <c r="B210" i="103"/>
  <c r="C210" i="103"/>
  <c r="D210" i="103"/>
  <c r="A211" i="103"/>
  <c r="B211" i="103"/>
  <c r="C211" i="103"/>
  <c r="D211" i="103"/>
  <c r="A212" i="103"/>
  <c r="B212" i="103"/>
  <c r="C212" i="103"/>
  <c r="D212" i="103"/>
  <c r="A213" i="103"/>
  <c r="B213" i="103"/>
  <c r="C213" i="103"/>
  <c r="D213" i="103"/>
  <c r="A214" i="103"/>
  <c r="B214" i="103"/>
  <c r="C214" i="103"/>
  <c r="D214" i="103"/>
  <c r="A215" i="103"/>
  <c r="B215" i="103"/>
  <c r="C215" i="103"/>
  <c r="D215" i="103"/>
  <c r="A216" i="103"/>
  <c r="B216" i="103"/>
  <c r="C216" i="103"/>
  <c r="D216" i="103"/>
  <c r="A217" i="103"/>
  <c r="B217" i="103"/>
  <c r="C217" i="103"/>
  <c r="D217" i="103"/>
  <c r="A218" i="103"/>
  <c r="B218" i="103"/>
  <c r="C218" i="103"/>
  <c r="D218" i="103"/>
  <c r="A219" i="103"/>
  <c r="B219" i="103"/>
  <c r="C219" i="103"/>
  <c r="D219" i="103"/>
  <c r="A220" i="103"/>
  <c r="B220" i="103"/>
  <c r="C220" i="103"/>
  <c r="D220" i="103"/>
  <c r="A221" i="103"/>
  <c r="B221" i="103"/>
  <c r="C221" i="103"/>
  <c r="D221" i="103"/>
  <c r="A222" i="103"/>
  <c r="B222" i="103"/>
  <c r="C222" i="103"/>
  <c r="D222" i="103"/>
  <c r="A223" i="103"/>
  <c r="B223" i="103"/>
  <c r="C223" i="103"/>
  <c r="D223" i="103"/>
  <c r="A224" i="103"/>
  <c r="B224" i="103"/>
  <c r="C224" i="103"/>
  <c r="D224" i="103"/>
  <c r="A225" i="103"/>
  <c r="B225" i="103"/>
  <c r="C225" i="103"/>
  <c r="D225" i="103"/>
  <c r="A226" i="103"/>
  <c r="B226" i="103"/>
  <c r="C226" i="103"/>
  <c r="D226" i="103"/>
  <c r="A227" i="103"/>
  <c r="B227" i="103"/>
  <c r="C227" i="103"/>
  <c r="D227" i="103"/>
  <c r="A228" i="103"/>
  <c r="B228" i="103"/>
  <c r="C228" i="103"/>
  <c r="D228" i="103"/>
  <c r="A229" i="103"/>
  <c r="B229" i="103"/>
  <c r="C229" i="103"/>
  <c r="D229" i="103"/>
  <c r="A230" i="103"/>
  <c r="B230" i="103"/>
  <c r="C230" i="103"/>
  <c r="D230" i="103"/>
  <c r="A231" i="103"/>
  <c r="B231" i="103"/>
  <c r="C231" i="103"/>
  <c r="D231" i="103"/>
  <c r="A232" i="103"/>
  <c r="B232" i="103"/>
  <c r="C232" i="103"/>
  <c r="D232" i="103"/>
  <c r="A233" i="103"/>
  <c r="B233" i="103"/>
  <c r="C233" i="103"/>
  <c r="D233" i="103"/>
  <c r="A234" i="103"/>
  <c r="B234" i="103"/>
  <c r="C234" i="103"/>
  <c r="D234" i="103"/>
  <c r="A235" i="103"/>
  <c r="B235" i="103"/>
  <c r="C235" i="103"/>
  <c r="D235" i="103"/>
  <c r="A236" i="103"/>
  <c r="B236" i="103"/>
  <c r="C236" i="103"/>
  <c r="D236" i="103"/>
  <c r="A237" i="103"/>
  <c r="B237" i="103"/>
  <c r="C237" i="103"/>
  <c r="D237" i="103"/>
  <c r="A238" i="103"/>
  <c r="B238" i="103"/>
  <c r="C238" i="103"/>
  <c r="D238" i="103"/>
  <c r="A239" i="103"/>
  <c r="B239" i="103"/>
  <c r="C239" i="103"/>
  <c r="D239" i="103"/>
  <c r="A240" i="103"/>
  <c r="B240" i="103"/>
  <c r="C240" i="103"/>
  <c r="D240" i="103"/>
  <c r="A241" i="103"/>
  <c r="B241" i="103"/>
  <c r="C241" i="103"/>
  <c r="D241" i="103"/>
  <c r="A242" i="103"/>
  <c r="B242" i="103"/>
  <c r="C242" i="103"/>
  <c r="D242" i="103"/>
  <c r="A243" i="103"/>
  <c r="B243" i="103"/>
  <c r="C243" i="103"/>
  <c r="D243" i="103"/>
  <c r="A244" i="103"/>
  <c r="B244" i="103"/>
  <c r="C244" i="103"/>
  <c r="D244" i="103"/>
  <c r="A245" i="103"/>
  <c r="B245" i="103"/>
  <c r="C245" i="103"/>
  <c r="D245" i="103"/>
  <c r="A246" i="103"/>
  <c r="B246" i="103"/>
  <c r="C246" i="103"/>
  <c r="D246" i="103"/>
  <c r="A247" i="103"/>
  <c r="B247" i="103"/>
  <c r="C247" i="103"/>
  <c r="D247" i="103"/>
  <c r="A248" i="103"/>
  <c r="B248" i="103"/>
  <c r="C248" i="103"/>
  <c r="D248" i="103"/>
  <c r="A249" i="103"/>
  <c r="B249" i="103"/>
  <c r="C249" i="103"/>
  <c r="D249" i="103"/>
  <c r="A250" i="103"/>
  <c r="B250" i="103"/>
  <c r="C250" i="103"/>
  <c r="D250" i="103"/>
  <c r="A251" i="103"/>
  <c r="B251" i="103"/>
  <c r="C251" i="103"/>
  <c r="D251" i="103"/>
  <c r="A252" i="103"/>
  <c r="B252" i="103"/>
  <c r="C252" i="103"/>
  <c r="D252" i="103"/>
  <c r="A253" i="103"/>
  <c r="B253" i="103"/>
  <c r="C253" i="103"/>
  <c r="D253" i="103"/>
  <c r="B31" i="104"/>
  <c r="B31" i="105"/>
  <c r="A16" i="105" l="1"/>
  <c r="A16" i="104"/>
  <c r="A14" i="105"/>
  <c r="A15" i="104"/>
  <c r="A14" i="104"/>
  <c r="A13" i="104"/>
  <c r="A12" i="104"/>
  <c r="A13" i="105"/>
  <c r="B91" i="103"/>
  <c r="B92" i="103" s="1"/>
  <c r="B93" i="103" s="1"/>
  <c r="B94" i="103" s="1"/>
  <c r="L3" i="105"/>
  <c r="L2" i="105"/>
  <c r="L2" i="104"/>
  <c r="L3" i="104"/>
  <c r="A12" i="105"/>
  <c r="G82" i="74" l="1"/>
  <c r="E82" i="74"/>
</calcChain>
</file>

<file path=xl/comments1.xml><?xml version="1.0" encoding="utf-8"?>
<comments xmlns="http://schemas.openxmlformats.org/spreadsheetml/2006/main">
  <authors>
    <author>作者</author>
  </authors>
  <commentList>
    <comment ref="G1" authorId="0" shapeId="0">
      <text>
        <r>
          <rPr>
            <b/>
            <sz val="10"/>
            <color indexed="81"/>
            <rFont val="宋体"/>
            <family val="3"/>
            <charset val="134"/>
          </rPr>
          <t>更改
原因
代码</t>
        </r>
      </text>
    </comment>
    <comment ref="B2" authorId="0" shapeId="0">
      <text>
        <r>
          <rPr>
            <b/>
            <sz val="9"/>
            <color indexed="81"/>
            <rFont val="宋体"/>
            <family val="3"/>
            <charset val="134"/>
          </rPr>
          <t>货物运输批次号：由13位数字构成，不允许有空格隔开，原始舱单是1字头，预配舱单是5字头。</t>
        </r>
        <r>
          <rPr>
            <sz val="9"/>
            <color indexed="81"/>
            <rFont val="宋体"/>
            <family val="3"/>
            <charset val="134"/>
          </rPr>
          <t xml:space="preserve">
</t>
        </r>
      </text>
    </comment>
  </commentList>
</comments>
</file>

<file path=xl/comments2.xml><?xml version="1.0" encoding="utf-8"?>
<comments xmlns="http://schemas.openxmlformats.org/spreadsheetml/2006/main">
  <authors>
    <author>作者</author>
  </authors>
  <commentList>
    <comment ref="G1" authorId="0" shapeId="0">
      <text>
        <r>
          <rPr>
            <b/>
            <sz val="10"/>
            <color indexed="81"/>
            <rFont val="宋体"/>
            <family val="3"/>
            <charset val="134"/>
          </rPr>
          <t>更改
原因
代码</t>
        </r>
      </text>
    </comment>
    <comment ref="B2" authorId="0" shapeId="0">
      <text>
        <r>
          <rPr>
            <b/>
            <sz val="9"/>
            <color indexed="81"/>
            <rFont val="宋体"/>
            <family val="3"/>
            <charset val="134"/>
          </rPr>
          <t>货物运输批次号：由13位数字构成，不允许有空格隔开，原始舱单是1字头，预配舱单是5字头。</t>
        </r>
        <r>
          <rPr>
            <sz val="9"/>
            <color indexed="81"/>
            <rFont val="宋体"/>
            <family val="3"/>
            <charset val="134"/>
          </rPr>
          <t xml:space="preserve">
</t>
        </r>
      </text>
    </comment>
  </commentList>
</comments>
</file>

<file path=xl/sharedStrings.xml><?xml version="1.0" encoding="utf-8"?>
<sst xmlns="http://schemas.openxmlformats.org/spreadsheetml/2006/main" count="46588" uniqueCount="8535">
  <si>
    <t>重量</t>
  </si>
  <si>
    <t>件数</t>
  </si>
  <si>
    <t>商品编号</t>
  </si>
  <si>
    <t>5301皇岗口岸</t>
  </si>
  <si>
    <t>3公路运输</t>
  </si>
  <si>
    <t>到达卸货地时间</t>
  </si>
  <si>
    <t>RD09 跨境快速通关</t>
  </si>
  <si>
    <t>CNY人民币</t>
  </si>
  <si>
    <t>CT 纸板箱</t>
  </si>
  <si>
    <t>已校验</t>
  </si>
  <si>
    <t>CN</t>
  </si>
  <si>
    <t>CNY</t>
  </si>
  <si>
    <t>否</t>
  </si>
  <si>
    <t>运单号</t>
  </si>
  <si>
    <t>航班号</t>
  </si>
  <si>
    <t>航班日期</t>
  </si>
  <si>
    <t>运单进出口类型</t>
  </si>
  <si>
    <t>运单类型</t>
  </si>
  <si>
    <t>货币代码</t>
  </si>
  <si>
    <t>货物价值</t>
  </si>
  <si>
    <t>发件地</t>
  </si>
  <si>
    <t>收件地</t>
  </si>
  <si>
    <t>客户帐号</t>
  </si>
  <si>
    <t>发件人账号</t>
  </si>
  <si>
    <t>收件人账号</t>
  </si>
  <si>
    <t>发件人公司名</t>
  </si>
  <si>
    <t>发件人国家</t>
  </si>
  <si>
    <t>发件人国家名</t>
  </si>
  <si>
    <t>发件人地址第一行</t>
  </si>
  <si>
    <t>发件人地址第二行</t>
  </si>
  <si>
    <t>发件人地址第三行</t>
  </si>
  <si>
    <t>发件人城市</t>
  </si>
  <si>
    <t>发件地中文名</t>
  </si>
  <si>
    <t>发件人邮编</t>
  </si>
  <si>
    <t>发件人电话</t>
  </si>
  <si>
    <t>发件人联系人</t>
  </si>
  <si>
    <t>收件人公司名</t>
  </si>
  <si>
    <t>收件人地址第一行</t>
  </si>
  <si>
    <t>收件人地址第二行</t>
  </si>
  <si>
    <t>收件人地址第三行</t>
  </si>
  <si>
    <t>收件人城市</t>
  </si>
  <si>
    <t>收件地中文名</t>
  </si>
  <si>
    <t>收件人邮编</t>
  </si>
  <si>
    <t>收件人电话</t>
  </si>
  <si>
    <t>收件人联系人</t>
  </si>
  <si>
    <t>是否通过海关备案</t>
  </si>
  <si>
    <t>货品名称</t>
  </si>
  <si>
    <t>经营单位编码</t>
  </si>
  <si>
    <t>经营单位名称</t>
  </si>
  <si>
    <t>规格型号</t>
  </si>
  <si>
    <t>舱单申报使用企业代码</t>
  </si>
  <si>
    <t>报关单申报使用企业代码</t>
  </si>
  <si>
    <t>关税</t>
  </si>
  <si>
    <t>增值税</t>
  </si>
  <si>
    <t>消费税</t>
  </si>
  <si>
    <t>实征反补贴税款</t>
  </si>
  <si>
    <t>总税额</t>
  </si>
  <si>
    <t>海关审核备注</t>
  </si>
  <si>
    <t>小件单位</t>
  </si>
  <si>
    <t>袋号</t>
  </si>
  <si>
    <t>运单用户自定义1</t>
  </si>
  <si>
    <t>运单用户自定义2</t>
  </si>
  <si>
    <t>运单用户自定义3</t>
  </si>
  <si>
    <t>TNT包号</t>
  </si>
  <si>
    <t>报关单编号</t>
  </si>
  <si>
    <t>创建人</t>
  </si>
  <si>
    <t>创建日期</t>
  </si>
  <si>
    <t>内陆航班日期</t>
  </si>
  <si>
    <t>导出币别</t>
  </si>
  <si>
    <t>导出价值</t>
  </si>
  <si>
    <t>打印币别</t>
  </si>
  <si>
    <t>打印价值</t>
  </si>
  <si>
    <t>三免数据匹配时间</t>
  </si>
  <si>
    <t>派送指令</t>
  </si>
  <si>
    <t>进口到付标记</t>
  </si>
  <si>
    <t>RAS标记</t>
  </si>
  <si>
    <t>是否海关重点设查</t>
  </si>
  <si>
    <t>是否化工品</t>
  </si>
  <si>
    <t>化工品编号</t>
  </si>
  <si>
    <t>起运站点</t>
  </si>
  <si>
    <t>实征废旧基金</t>
  </si>
  <si>
    <t>陆牌</t>
    <phoneticPr fontId="1" type="noConversion"/>
  </si>
  <si>
    <t>港牌</t>
    <phoneticPr fontId="1" type="noConversion"/>
  </si>
  <si>
    <t>E锁NO.</t>
    <phoneticPr fontId="1" type="noConversion"/>
  </si>
  <si>
    <t>黄本NO.</t>
    <phoneticPr fontId="1" type="noConversion"/>
  </si>
  <si>
    <t>司机</t>
    <phoneticPr fontId="1" type="noConversion"/>
  </si>
  <si>
    <t>卡号</t>
    <phoneticPr fontId="1" type="noConversion"/>
  </si>
  <si>
    <t>密码</t>
    <phoneticPr fontId="1" type="noConversion"/>
  </si>
  <si>
    <t>电话</t>
    <phoneticPr fontId="1" type="noConversion"/>
  </si>
  <si>
    <t>无</t>
  </si>
  <si>
    <t>海关接收NewEDI回执状态</t>
  </si>
  <si>
    <t>海关审核NewEDI回执状态</t>
  </si>
  <si>
    <t>实征行邮税反倾销税额</t>
  </si>
  <si>
    <t>一般贸易</t>
  </si>
  <si>
    <t>未上传</t>
  </si>
  <si>
    <t>修改标志</t>
  </si>
  <si>
    <t>新重量</t>
  </si>
  <si>
    <t>新件数</t>
  </si>
  <si>
    <t>新舱单日期</t>
  </si>
  <si>
    <t>新品名</t>
  </si>
  <si>
    <t>是否</t>
  </si>
  <si>
    <t>车牌号</t>
  </si>
  <si>
    <t>进口件</t>
  </si>
  <si>
    <t>TNT</t>
  </si>
  <si>
    <t>HKG</t>
  </si>
  <si>
    <t>有图片</t>
  </si>
  <si>
    <t>总运单号</t>
  </si>
  <si>
    <t>5301 皇岗口岸</t>
  </si>
  <si>
    <t>海关接收回执日期</t>
  </si>
  <si>
    <t>海关审核日期</t>
  </si>
  <si>
    <t>海关接收回执状态</t>
  </si>
  <si>
    <t>海关验放指令</t>
  </si>
  <si>
    <t>检验检疫验放指令</t>
  </si>
  <si>
    <t>运单校验状态</t>
  </si>
  <si>
    <t>发件人公司名原</t>
  </si>
  <si>
    <t>发件人省州</t>
  </si>
  <si>
    <t>收件人公司名原</t>
  </si>
  <si>
    <t>收件人省州</t>
  </si>
  <si>
    <t>货品名称原</t>
  </si>
  <si>
    <t>小件数</t>
  </si>
  <si>
    <t>内陆航班号</t>
  </si>
  <si>
    <t>三免数据最后发送时间</t>
  </si>
  <si>
    <t>检验检疫类型</t>
  </si>
  <si>
    <t>业务分类</t>
  </si>
  <si>
    <t>贸易方式</t>
  </si>
  <si>
    <t>收件人代码</t>
  </si>
  <si>
    <t>收件人联系电话</t>
  </si>
  <si>
    <t>收件人国籍</t>
  </si>
  <si>
    <t>收件人国籍代码</t>
  </si>
  <si>
    <t>收件人证件类型</t>
  </si>
  <si>
    <t>收件人证件号</t>
  </si>
  <si>
    <t>发件人代码</t>
  </si>
  <si>
    <t>发件人国籍</t>
  </si>
  <si>
    <t>发件人国籍代码</t>
  </si>
  <si>
    <t>发件人证件类型</t>
  </si>
  <si>
    <t>发件人证件号</t>
  </si>
  <si>
    <t>审查号</t>
  </si>
  <si>
    <t>情况说明</t>
  </si>
  <si>
    <t>证件照片或扫描件</t>
  </si>
  <si>
    <t>退运申请</t>
  </si>
  <si>
    <t>销毁申请</t>
  </si>
  <si>
    <t>其他单证</t>
  </si>
  <si>
    <t>护照通行证</t>
  </si>
  <si>
    <t>出生医学证明</t>
  </si>
  <si>
    <t>许可证证书类</t>
  </si>
  <si>
    <t>其他证明材料</t>
  </si>
  <si>
    <t>声明类</t>
  </si>
  <si>
    <t>报关单</t>
  </si>
  <si>
    <t>分运行李单</t>
  </si>
  <si>
    <t>预留12</t>
  </si>
  <si>
    <t>预留13</t>
  </si>
  <si>
    <t>检验检疫联系单</t>
  </si>
  <si>
    <t>海关图片上传</t>
  </si>
  <si>
    <t>PACS图片获取</t>
  </si>
  <si>
    <t>备注</t>
  </si>
  <si>
    <t>处理结果</t>
  </si>
  <si>
    <t>英文经停城市</t>
  </si>
  <si>
    <t>是否含木质包装</t>
  </si>
  <si>
    <t>是否为旧物品</t>
  </si>
  <si>
    <t>是否为低温运输</t>
  </si>
  <si>
    <t>F8</t>
  </si>
  <si>
    <t>91440300MA5DCETH5Q</t>
  </si>
  <si>
    <t>深圳市汇景鸿贸易有限公司</t>
  </si>
  <si>
    <t>中心入库成功</t>
  </si>
  <si>
    <t>粤ZDF52港</t>
  </si>
  <si>
    <t>H438KKF</t>
  </si>
  <si>
    <t>N</t>
  </si>
  <si>
    <t>报告备注</t>
  </si>
  <si>
    <t>时间戳</t>
  </si>
  <si>
    <t>收件人国家地区</t>
  </si>
  <si>
    <t>收发货人统一社会信用代码</t>
  </si>
  <si>
    <t>货主单位统一社会信用代码</t>
  </si>
  <si>
    <t>收件人社会统一信用代码</t>
  </si>
  <si>
    <t>Bagging ID</t>
  </si>
  <si>
    <t>产品代码</t>
  </si>
  <si>
    <t>F142</t>
  </si>
  <si>
    <t>F145</t>
  </si>
  <si>
    <t xml:space="preserve">    由于一科退单“转普货报关”报关，现向贵关申请新增舱单正式报关。请予以批准！</t>
  </si>
  <si>
    <t xml:space="preserve">    由于我司清关系统获取重量错误，导入公路舱单数据不正确。现向海关提出删除舱单修改后重发。给海关工作带来不便深表歉意，盼请予以批准!</t>
  </si>
  <si>
    <t>C1</t>
  </si>
  <si>
    <t>15N</t>
  </si>
  <si>
    <t>C2</t>
  </si>
  <si>
    <t>SZ1</t>
  </si>
  <si>
    <t>NK</t>
  </si>
  <si>
    <t>GB</t>
  </si>
  <si>
    <t>英国</t>
  </si>
  <si>
    <t>SHENZHEN-BAOAN</t>
  </si>
  <si>
    <t>宝安</t>
  </si>
  <si>
    <t>GUANGDONG</t>
  </si>
  <si>
    <t>48N</t>
  </si>
  <si>
    <t>S</t>
  </si>
  <si>
    <t>DG1</t>
  </si>
  <si>
    <t>东莞</t>
  </si>
  <si>
    <t>SHENZHEN, CHINA</t>
  </si>
  <si>
    <t>SHENZHEN</t>
  </si>
  <si>
    <t>A</t>
  </si>
  <si>
    <t>HKD</t>
  </si>
  <si>
    <t>新增、修改、追加成功</t>
  </si>
  <si>
    <t>文件</t>
  </si>
  <si>
    <t>15D</t>
  </si>
  <si>
    <t>FUO</t>
  </si>
  <si>
    <t>高明</t>
  </si>
  <si>
    <t>时间戳</t>
    <phoneticPr fontId="1" type="noConversion"/>
  </si>
  <si>
    <t>文件货样</t>
  </si>
  <si>
    <t>DOCUMENT</t>
  </si>
  <si>
    <t>.</t>
  </si>
  <si>
    <t>134473237</t>
  </si>
  <si>
    <t>转人工审核</t>
  </si>
  <si>
    <t>CCU</t>
  </si>
  <si>
    <t>CA3</t>
  </si>
  <si>
    <t>KRISHNA TISSUES PVT LTD.</t>
  </si>
  <si>
    <t>IN</t>
  </si>
  <si>
    <t>印度</t>
  </si>
  <si>
    <t>BD - 33, GROUND FLOOR</t>
  </si>
  <si>
    <t>SECTOR - 1 , SALT LAKE</t>
  </si>
  <si>
    <t>KOLKATA</t>
  </si>
  <si>
    <t>加尔各答</t>
  </si>
  <si>
    <t>WEST BENGAL</t>
  </si>
  <si>
    <t>VIDYA JAISWAL</t>
  </si>
  <si>
    <t>MITSUBISHI CORPORATION (GUANGZHOU) LTD.</t>
  </si>
  <si>
    <t>28TH FLOOR, CITIC PLAZA, 233</t>
  </si>
  <si>
    <t>TIANHE NORTH ROAD</t>
  </si>
  <si>
    <t>GUANGZHOU-YUEXIU</t>
  </si>
  <si>
    <t>广州</t>
  </si>
  <si>
    <t>MS. REGINA SZE</t>
  </si>
  <si>
    <t>DOCUMENTS</t>
  </si>
  <si>
    <t>未获取</t>
  </si>
  <si>
    <t>134478631</t>
  </si>
  <si>
    <t>SUNDA INATERNATIONAL</t>
  </si>
  <si>
    <t>46/F, CITIC PLAZA NO. 233</t>
  </si>
  <si>
    <t>GUANGZHOU-TIANHE</t>
  </si>
  <si>
    <t>MS. LISA</t>
  </si>
  <si>
    <t>134494753</t>
  </si>
  <si>
    <t>HAINAN TIANJIAN ANTI- FORGERY SCIENCE &amp; TECHNOLOGY</t>
  </si>
  <si>
    <t>NO. 19, XINGHAI ROAD NATIONAL</t>
  </si>
  <si>
    <t>HIGH- TECH INDUSTRIAL</t>
  </si>
  <si>
    <t>DEVELOPMENT ZONE, HAINAN,</t>
  </si>
  <si>
    <t>HAIKOU</t>
  </si>
  <si>
    <t>HAINAN</t>
  </si>
  <si>
    <t>MS. LI FENG</t>
  </si>
  <si>
    <t>ENVELOPE DOCUMENTS</t>
  </si>
  <si>
    <t>HZ1</t>
  </si>
  <si>
    <t>HUIZHOU SONGHONG INDUSTRY CO., LTD</t>
  </si>
  <si>
    <t>HENGYU 4 ROAD, SANDONG</t>
  </si>
  <si>
    <t>INDUSTRIAL ZONE,</t>
  </si>
  <si>
    <t>HUIZHOU</t>
  </si>
  <si>
    <t>惠州</t>
  </si>
  <si>
    <t>MS, HEFEI CHEN</t>
  </si>
  <si>
    <t>134530566</t>
  </si>
  <si>
    <t>KMG</t>
  </si>
  <si>
    <t>GUANGXI MING YANG IMPORT AND EXPORT TRADE CO., LTD</t>
  </si>
  <si>
    <t>NO. 36 MINGYANG RD.</t>
  </si>
  <si>
    <t>JIANGNAN DIST., NANNING,</t>
  </si>
  <si>
    <t>GUANGXI</t>
  </si>
  <si>
    <t>YONGNING</t>
  </si>
  <si>
    <t>邕宁</t>
  </si>
  <si>
    <t>MS. WING LI</t>
  </si>
  <si>
    <t>HAN</t>
  </si>
  <si>
    <t>CONG TY TNHH SEA HORSE VIET   NAM</t>
  </si>
  <si>
    <t>VN</t>
  </si>
  <si>
    <t>越南</t>
  </si>
  <si>
    <t>SO 119, DUONG SO 6, KHU DO THI</t>
  </si>
  <si>
    <t>CONG NGHIEP VA DICH VU VSIP HA</t>
  </si>
  <si>
    <t>XA LAP LE</t>
  </si>
  <si>
    <t>THUY NGUYEN</t>
  </si>
  <si>
    <t>河内</t>
  </si>
  <si>
    <t>THANH PHO HAI PHONG</t>
  </si>
  <si>
    <t>MANNA  BUI</t>
  </si>
  <si>
    <t>XIONGYU LOGISTICS CO., LTD</t>
  </si>
  <si>
    <t>312A, ZHU TA LOU OF LIN HAI</t>
  </si>
  <si>
    <t>ROAD, NANSHAN DISTRICT</t>
  </si>
  <si>
    <t>SHENZHEN-NANSHAN</t>
  </si>
  <si>
    <t>深圳</t>
  </si>
  <si>
    <t>MR.HONG</t>
  </si>
  <si>
    <t>135318534</t>
  </si>
  <si>
    <t>CT3</t>
  </si>
  <si>
    <t>CONG TY CO PHAN SP VIET NAM</t>
  </si>
  <si>
    <t>SO 6, HEM 52, NGO 169 DUONG</t>
  </si>
  <si>
    <t>HOANG MAI,PHUONG HOANG VAN THU</t>
  </si>
  <si>
    <t>HOANG MAI</t>
  </si>
  <si>
    <t>THANH PHO HA NOI</t>
  </si>
  <si>
    <t>THUY NGUY?N</t>
  </si>
  <si>
    <t>SU YANG</t>
  </si>
  <si>
    <t>ROOM901,UNIT 2,BUILDING 5,</t>
  </si>
  <si>
    <t>NO.599 LIDU ROAD,CHENGDU CITY</t>
  </si>
  <si>
    <t>CHENGDU METRO</t>
  </si>
  <si>
    <t>成都</t>
  </si>
  <si>
    <t>SICHUAN</t>
  </si>
  <si>
    <t>OAB</t>
  </si>
  <si>
    <t>R.I. COLLECTIONS</t>
  </si>
  <si>
    <t>PEETAL NAGRI</t>
  </si>
  <si>
    <t>RAMPUR ROAD</t>
  </si>
  <si>
    <t>MORADABAD</t>
  </si>
  <si>
    <t>莫拉达巴德</t>
  </si>
  <si>
    <t>UTTAR PRADESH</t>
  </si>
  <si>
    <t>GUANGZHOU THOHO HOME DECOR</t>
  </si>
  <si>
    <t>CO. LTD. , BLDG. A12 LIANSHENG</t>
  </si>
  <si>
    <t>INDUSTRIAL ZONE SOUTH PU YAN</t>
  </si>
  <si>
    <t>SHA ROAD LUOPU ST.</t>
  </si>
  <si>
    <t>GUANGZHOU-PANYU</t>
  </si>
  <si>
    <t>番禺</t>
  </si>
  <si>
    <t>M.ALLIE</t>
  </si>
  <si>
    <t>MRU</t>
  </si>
  <si>
    <t>MAURITIUS PORTS AUTHORITY</t>
  </si>
  <si>
    <t>MU</t>
  </si>
  <si>
    <t>毛里求斯</t>
  </si>
  <si>
    <t>H. RAMNARAIN BLDG</t>
  </si>
  <si>
    <t>MER ROUGE</t>
  </si>
  <si>
    <t>PORT LOUIS</t>
  </si>
  <si>
    <t>路易港</t>
  </si>
  <si>
    <t>MISS O RAJAGOPALL</t>
  </si>
  <si>
    <t>GUIZHOU TRANSPORTATION PLANNING SURVEY</t>
  </si>
  <si>
    <t>100 YANGGUAN RD JINYANG SCI</t>
  </si>
  <si>
    <t>TECH INDUSTRIAL PARK NATIONAL</t>
  </si>
  <si>
    <t>HIGH TECH AREA</t>
  </si>
  <si>
    <t>GUIZHOU-CHANGSHUN</t>
  </si>
  <si>
    <t>长顺</t>
  </si>
  <si>
    <t>GUIZHOU</t>
  </si>
  <si>
    <t>CHIEF EXECUTIVE OFFICE</t>
  </si>
  <si>
    <t>USD</t>
  </si>
  <si>
    <t>BH5</t>
  </si>
  <si>
    <t>SYSCON TRADING &amp; MECHANICAL SERVICES CO</t>
  </si>
  <si>
    <t>BH</t>
  </si>
  <si>
    <t>巴林</t>
  </si>
  <si>
    <t>FLAT 27, BLG 705, RD 1525</t>
  </si>
  <si>
    <t>BLK 315 PO BOX 5278</t>
  </si>
  <si>
    <t>MANAMA</t>
  </si>
  <si>
    <t>S. R. SHAH</t>
  </si>
  <si>
    <t>GLOBAL BORA HOTEL AMENITIES CO. LTD</t>
  </si>
  <si>
    <t>UNIT 3302, 3 LUOSHENG BUILDING</t>
  </si>
  <si>
    <t>24 LUOPU STREET, JIUJIANG TOWN</t>
  </si>
  <si>
    <t>FOSHAN CITY, GUANGDONG</t>
  </si>
  <si>
    <t>FOSHAN</t>
  </si>
  <si>
    <t>MS. LIDIA</t>
  </si>
  <si>
    <t>COATED PAPER</t>
  </si>
  <si>
    <t>纸托盘2个(带盖子/无牌无规格无型号)货样</t>
  </si>
  <si>
    <t>SUB</t>
  </si>
  <si>
    <t>SINAR MULIA INDAH, PT</t>
  </si>
  <si>
    <t>ID</t>
  </si>
  <si>
    <t>印度尼西亚</t>
  </si>
  <si>
    <t>JL. DUPAK 63, RUKO MUTIARA B</t>
  </si>
  <si>
    <t>NO. 7 KEL. GUNDIH KEC. BUBUTAN</t>
  </si>
  <si>
    <t>SURABAYA</t>
  </si>
  <si>
    <t>泗水</t>
  </si>
  <si>
    <t>MARRY &amp; FELICIA</t>
  </si>
  <si>
    <t>SHENZHEN ANHEDA PLASTIC PRODUCTS, CO., LTD</t>
  </si>
  <si>
    <t>NO. 2, ROW 4 XINFA INDUSTRIAL</t>
  </si>
  <si>
    <t>ZONE SHAJING ROAD, BAO AN</t>
  </si>
  <si>
    <t>DISTRICT, SHENZHEN, CHINA</t>
  </si>
  <si>
    <t>86-075523270202</t>
  </si>
  <si>
    <t>KATHERINE</t>
  </si>
  <si>
    <t>SAMPLE HDPE SHEET</t>
  </si>
  <si>
    <t>塑胶海绵片1个(无牌无规格无型号)货样</t>
  </si>
  <si>
    <t>284016504</t>
  </si>
  <si>
    <t>TLV</t>
  </si>
  <si>
    <t>IDANIM TECHNOLOGIES LTD</t>
  </si>
  <si>
    <t>IL</t>
  </si>
  <si>
    <t>以色列</t>
  </si>
  <si>
    <t>5, MOSHE HESS STREET</t>
  </si>
  <si>
    <t>2ND FLOOR</t>
  </si>
  <si>
    <t>LOD</t>
  </si>
  <si>
    <t>亚未科</t>
  </si>
  <si>
    <t>CENTRAL DISTRICT</t>
  </si>
  <si>
    <t>EYAL  SADI</t>
  </si>
  <si>
    <t>SHENZHEN AN BI CHANG PACKAGING MATERIAL CO.,LTD</t>
  </si>
  <si>
    <t>NO.46,DAKENG ROAD,TONGLE COMMU</t>
  </si>
  <si>
    <t>KEVIN</t>
  </si>
  <si>
    <t>SAMPLES FOR ADHESIVE TAPE</t>
  </si>
  <si>
    <t>胶带1个(无牌无规格无型号)货样</t>
  </si>
  <si>
    <t>AU</t>
  </si>
  <si>
    <t>澳大利亚</t>
  </si>
  <si>
    <t>DONGGUAN-DONGGUAN</t>
  </si>
  <si>
    <t>GBP</t>
  </si>
  <si>
    <t>TW</t>
  </si>
  <si>
    <t>20190902000000</t>
  </si>
  <si>
    <t>5.314201995e+017</t>
  </si>
  <si>
    <t>0</t>
  </si>
  <si>
    <t>-8.6156592838e+012</t>
  </si>
  <si>
    <t>5.314201991e+017</t>
  </si>
  <si>
    <t>134497953</t>
  </si>
  <si>
    <t>-8.6139026237e+012</t>
  </si>
  <si>
    <t>-8.6135188009e+012</t>
  </si>
  <si>
    <t>-8.6134343804e+012</t>
  </si>
  <si>
    <t>-8.6138029309e+012</t>
  </si>
  <si>
    <t>135314815</t>
  </si>
  <si>
    <t>-13714320398</t>
  </si>
  <si>
    <t>134912891</t>
  </si>
  <si>
    <t>塑胶海绵片货样</t>
  </si>
  <si>
    <t>135315158</t>
  </si>
  <si>
    <t>24</t>
  </si>
  <si>
    <t>3921909090</t>
  </si>
  <si>
    <t>纸托盘货样</t>
  </si>
  <si>
    <t>134567115</t>
  </si>
  <si>
    <t>20</t>
  </si>
  <si>
    <t>-8.6139277039e+012</t>
  </si>
  <si>
    <t>48239090</t>
  </si>
  <si>
    <t>768939299</t>
  </si>
  <si>
    <t>8.6139851108e+012</t>
  </si>
  <si>
    <t>347198732</t>
  </si>
  <si>
    <t>-8.6131200616e+012</t>
  </si>
  <si>
    <t>-8.6135588948e+012</t>
  </si>
  <si>
    <t>QWQ</t>
  </si>
  <si>
    <t>20190902195709</t>
  </si>
  <si>
    <t>胶带货样</t>
  </si>
  <si>
    <t>-13602631891</t>
  </si>
  <si>
    <t>3919909090</t>
  </si>
  <si>
    <t>20190902195718</t>
  </si>
  <si>
    <t>20190902195900</t>
  </si>
  <si>
    <t>283435493</t>
  </si>
  <si>
    <t>粤ZDF57港I</t>
  </si>
  <si>
    <t>OOL</t>
  </si>
  <si>
    <t>OZONE 1 PTY LTD</t>
  </si>
  <si>
    <t>OZONE  PTY LTD</t>
  </si>
  <si>
    <t>89 SPENCER RD</t>
  </si>
  <si>
    <t>NERANG</t>
  </si>
  <si>
    <t>戈尔德科斯特</t>
  </si>
  <si>
    <t>QUEENSLAND</t>
  </si>
  <si>
    <t>ORDERS@BRAUERINDUSTRIE</t>
  </si>
  <si>
    <t>PA INTERNATIONAL CHINA LIMITED</t>
  </si>
  <si>
    <t>403, BUSINESS CENTER,</t>
  </si>
  <si>
    <t>JINGDUHUI HOTEL, CHANGAN</t>
  </si>
  <si>
    <t>0086-769-81551002</t>
  </si>
  <si>
    <t>JENNY</t>
  </si>
  <si>
    <t>OZONE SWIM SYSTEMS ( FOR POOLS)</t>
  </si>
  <si>
    <t>游泳池污水处理系统用工业电源1个(无牌无规格无型号)货样</t>
  </si>
  <si>
    <t>已上传</t>
  </si>
  <si>
    <t>285710014</t>
  </si>
  <si>
    <t>退单</t>
  </si>
  <si>
    <t>TPY</t>
  </si>
  <si>
    <t>CIC COMPONENTS CORP</t>
  </si>
  <si>
    <t>中国台湾</t>
  </si>
  <si>
    <t>2F NO 3 LANE 130</t>
  </si>
  <si>
    <t>MING CHUAN RD.,</t>
  </si>
  <si>
    <t>(REGULAR RP/A/C.20256407,*AU*)</t>
  </si>
  <si>
    <t>NEW TAIPEI,HSIN TIEN</t>
  </si>
  <si>
    <t>台北</t>
  </si>
  <si>
    <t>JULIE  LIN</t>
  </si>
  <si>
    <t>MULDA ELECTRONICS CO., LTD</t>
  </si>
  <si>
    <t>UNIT B509, ZHONGRUN BULG</t>
  </si>
  <si>
    <t>NANYOU RD, NANSHAN</t>
  </si>
  <si>
    <t>86-755-26423122</t>
  </si>
  <si>
    <t>PURCHASE DEPT.</t>
  </si>
  <si>
    <t>WASHER,LED:</t>
  </si>
  <si>
    <t>铁制垫圈10100个(型号:6J50-K01)/发光二极管2530个(无牌规格:5MM无型号)货样</t>
  </si>
  <si>
    <t>转普货报关</t>
  </si>
  <si>
    <t>G382WKH</t>
  </si>
  <si>
    <t>502074702</t>
  </si>
  <si>
    <t>粤ZDF52港I</t>
  </si>
  <si>
    <t>LXL</t>
  </si>
  <si>
    <t>WORLD OPTIONS LTD</t>
  </si>
  <si>
    <t>UNIT 1, PETRE COURT</t>
  </si>
  <si>
    <t>CLAYTON LE MOORS</t>
  </si>
  <si>
    <t>ACCRINGTON</t>
  </si>
  <si>
    <t>利物浦</t>
  </si>
  <si>
    <t>LANCASHIRE</t>
  </si>
  <si>
    <t>BB5 5HY</t>
  </si>
  <si>
    <t>STEWART BUTLER</t>
  </si>
  <si>
    <t>EMI TECHNOLOGY CO LTD</t>
  </si>
  <si>
    <t>1TH VILLAGE TANTOU SONGGANG</t>
  </si>
  <si>
    <t>SONGGANG TOWN</t>
  </si>
  <si>
    <t>BAOAN DISTRICT</t>
  </si>
  <si>
    <t>WENDY</t>
  </si>
  <si>
    <t>FAIRCHILD MODEL</t>
  </si>
  <si>
    <t>压力调节器5个(无牌无规格型号:10 10262 2-150PSI/10BP 10263BPJ)货样</t>
  </si>
  <si>
    <t>20190829000000</t>
  </si>
  <si>
    <t>游泳池污水处理系统用工业电源货样</t>
  </si>
  <si>
    <t>粤ZDF57港</t>
  </si>
  <si>
    <t>4211</t>
  </si>
  <si>
    <t>20190904133413</t>
  </si>
  <si>
    <t>20190831000000</t>
  </si>
  <si>
    <t>铁制垫圈货样</t>
  </si>
  <si>
    <t>23141</t>
  </si>
  <si>
    <t>20190904133607</t>
  </si>
  <si>
    <t>撒打算</t>
  </si>
  <si>
    <t>20190826000000</t>
  </si>
  <si>
    <t>压力调节器货样</t>
  </si>
  <si>
    <t>15820423665</t>
  </si>
  <si>
    <t>20190904133926</t>
  </si>
  <si>
    <t>20190904142115</t>
  </si>
  <si>
    <t>865771518</t>
  </si>
  <si>
    <t>D</t>
  </si>
  <si>
    <t>NW7</t>
  </si>
  <si>
    <t>CSX</t>
  </si>
  <si>
    <t>POS SERVICE HOLLAND B.V.</t>
  </si>
  <si>
    <t>NL</t>
  </si>
  <si>
    <t>荷兰</t>
  </si>
  <si>
    <t>STICHTSE KADE 47 C</t>
  </si>
  <si>
    <t>ANKEVEEN</t>
  </si>
  <si>
    <t>尼沃海恩</t>
  </si>
  <si>
    <t>NOORD-HOLLAND</t>
  </si>
  <si>
    <t>1244 NV</t>
  </si>
  <si>
    <t>BAS POS</t>
  </si>
  <si>
    <t>CHANGSHA YUMING AUTO ELECTRIC LIABILITY COMPANY</t>
  </si>
  <si>
    <t>HONG KAI QIAO VILLAGE,CHA TING</t>
  </si>
  <si>
    <t>CHANGSHA-WANGCHENG</t>
  </si>
  <si>
    <t>望城</t>
  </si>
  <si>
    <t>HUNAN</t>
  </si>
  <si>
    <t>00867318-8252996</t>
  </si>
  <si>
    <t>AUTOMOTIVE MATERIAL</t>
  </si>
  <si>
    <t>汽车配件24千克货样</t>
  </si>
  <si>
    <t>T111LAX</t>
  </si>
  <si>
    <t>20190812000000</t>
  </si>
  <si>
    <t>汽车配件货样</t>
  </si>
  <si>
    <t>20190904155330</t>
  </si>
  <si>
    <t>20190904155501</t>
  </si>
  <si>
    <t>132741046</t>
  </si>
  <si>
    <t>63A</t>
  </si>
  <si>
    <t>LABORATOIRE SONIAM</t>
  </si>
  <si>
    <t>FR</t>
  </si>
  <si>
    <t>法国</t>
  </si>
  <si>
    <t>ZAC DE LA NOVIALLE</t>
  </si>
  <si>
    <t>ALLEE DU MONTEL</t>
  </si>
  <si>
    <t>LA ROCHE BLANCHE</t>
  </si>
  <si>
    <t>安德洛特蒙特利特</t>
  </si>
  <si>
    <t>ANDREA RODRIGUEZ</t>
  </si>
  <si>
    <t>广州市奥雪化工有限公司</t>
  </si>
  <si>
    <t>GUANGZHOU OWNSNOW CHEMICAL CO. LTD</t>
  </si>
  <si>
    <t>30TH FLOOR TOWER 4</t>
  </si>
  <si>
    <t>DONG-JUN PLAZA,836</t>
  </si>
  <si>
    <t>DONGFENG ROAD EAST</t>
  </si>
  <si>
    <t>GUANGZHOU</t>
  </si>
  <si>
    <t>020-37654919</t>
  </si>
  <si>
    <t>xiao jie_he</t>
  </si>
  <si>
    <t>COSMETICS</t>
  </si>
  <si>
    <t>化妆品原料:白花春黄菊花混合物(液体)2瓶等品名详见清单(SONIAM牌/无型号/规格:500克/瓶)(自扣)货样</t>
  </si>
  <si>
    <t>R</t>
  </si>
  <si>
    <t>HK</t>
  </si>
  <si>
    <t>141178376</t>
  </si>
  <si>
    <t>EUR</t>
  </si>
  <si>
    <t>92A</t>
  </si>
  <si>
    <t>CREASSENCE</t>
  </si>
  <si>
    <t>1 CHEMIN PRUNAY</t>
  </si>
  <si>
    <t>LOUVECIENNES</t>
  </si>
  <si>
    <t xml:space="preserve">加登库尔特 </t>
  </si>
  <si>
    <t>JOURDET</t>
  </si>
  <si>
    <t>广州市飞科贸易有限公司</t>
  </si>
  <si>
    <t>HAN YUN LU 471 HAO LING HUI A</t>
  </si>
  <si>
    <t>ZUO 504 FANG</t>
  </si>
  <si>
    <t>GUANGZHOU-BAIYUN</t>
  </si>
  <si>
    <t>020-37414506</t>
  </si>
  <si>
    <t>Ms Li Vivian_Ms Li Vivian</t>
  </si>
  <si>
    <t>5 UNITS X 7.5ML OIL SAMPLE</t>
  </si>
  <si>
    <t>91440111093659911M</t>
  </si>
  <si>
    <t>无图片</t>
  </si>
  <si>
    <t>GUANG ZHOU SHI FEI KE MAO YI YOU XIAN GONG SI</t>
  </si>
  <si>
    <t>香精混合物0.13千克(日用化妆品原料添加/creassence牌/无型号/无规格)(自扣)货样</t>
  </si>
  <si>
    <t>CAR</t>
  </si>
  <si>
    <t>GROUP LLOYD</t>
  </si>
  <si>
    <t>LANGLANDS</t>
  </si>
  <si>
    <t>PALLET HILL</t>
  </si>
  <si>
    <t>PENRITH</t>
  </si>
  <si>
    <t>卡莱尔</t>
  </si>
  <si>
    <t>CUMBRIA</t>
  </si>
  <si>
    <t>CA11 0BY</t>
  </si>
  <si>
    <t>KATIE  MASON</t>
  </si>
  <si>
    <t>FOSHAN NANHAI XINYUAN HELMETS CO., LTD.</t>
  </si>
  <si>
    <t>HUANG JI ROAD</t>
  </si>
  <si>
    <t>NANHAI JIUJIANG TOWN</t>
  </si>
  <si>
    <t>FOSHAN CITY</t>
  </si>
  <si>
    <t>NANHAI</t>
  </si>
  <si>
    <t>南海</t>
  </si>
  <si>
    <t>MS. AMY HUANG</t>
  </si>
  <si>
    <t>PINLOCK PINS</t>
  </si>
  <si>
    <t>铁针1670个(无牌无规格无型号)货样</t>
  </si>
  <si>
    <t>20190904000000</t>
  </si>
  <si>
    <t>化妆品原料:白花春黄菊花混合物(液体)货样</t>
  </si>
  <si>
    <t>3029131</t>
  </si>
  <si>
    <t>63670</t>
  </si>
  <si>
    <t>9.1440104766e+017</t>
  </si>
  <si>
    <t>20190905135936</t>
  </si>
  <si>
    <t>20190806000000</t>
  </si>
  <si>
    <t>香精混合物货样</t>
  </si>
  <si>
    <t>3079624</t>
  </si>
  <si>
    <t>78430</t>
  </si>
  <si>
    <t>20190905140134</t>
  </si>
  <si>
    <t>20190824000000</t>
  </si>
  <si>
    <t>铁针货样</t>
  </si>
  <si>
    <t>281605914</t>
  </si>
  <si>
    <t>-81862984</t>
  </si>
  <si>
    <t>20190905140325</t>
  </si>
  <si>
    <t>321594125</t>
  </si>
  <si>
    <t>832397109</t>
  </si>
  <si>
    <t>ZA4</t>
  </si>
  <si>
    <t>SMARTEX, S.R.O.</t>
  </si>
  <si>
    <t>CZ</t>
  </si>
  <si>
    <t>捷克共和国</t>
  </si>
  <si>
    <t>NA VYSPE 251/6</t>
  </si>
  <si>
    <t>PRAHA</t>
  </si>
  <si>
    <t>兹林</t>
  </si>
  <si>
    <t>147 00</t>
  </si>
  <si>
    <t>ALEXANDR MICHALJANIC</t>
  </si>
  <si>
    <t>ACUWAY MOLDS LIMITED</t>
  </si>
  <si>
    <t>NO. 6TH, SONGGANG AVE</t>
  </si>
  <si>
    <t>BAO AN DISTRICT</t>
  </si>
  <si>
    <t>MR. WILLIAM YA</t>
  </si>
  <si>
    <t>PLASTIC GRANULATE</t>
  </si>
  <si>
    <t>塑胶粒200千克货样</t>
  </si>
  <si>
    <t>48F</t>
  </si>
  <si>
    <t>624105404</t>
  </si>
  <si>
    <t>MZ1</t>
  </si>
  <si>
    <t>STONEX SRL</t>
  </si>
  <si>
    <t>IT</t>
  </si>
  <si>
    <t>意大利</t>
  </si>
  <si>
    <t>VIA CIMABUE 39</t>
  </si>
  <si>
    <t>LISSONE</t>
  </si>
  <si>
    <t>蒙扎</t>
  </si>
  <si>
    <t>MB</t>
  </si>
  <si>
    <t>ANDREA BIANCHI</t>
  </si>
  <si>
    <t>GUANGZHOU SITUOLI SURVEYING TECHNOLOGY</t>
  </si>
  <si>
    <t>N 601 6/F BUILDING C</t>
  </si>
  <si>
    <t>N7 CAI PIN ROAD, SCIENCE CITY</t>
  </si>
  <si>
    <t>LUO GANG DISTRICT</t>
  </si>
  <si>
    <t>MR.</t>
  </si>
  <si>
    <t>EXTERNAL RADIO</t>
  </si>
  <si>
    <t>外置数传电台(定位仪配件)1个(Pacific Rest牌无规格型号ADL VANTAGE PRO)货样</t>
  </si>
  <si>
    <t>粤ZDF57港i</t>
  </si>
  <si>
    <t>BK4</t>
  </si>
  <si>
    <t>湖南寐家居科技有限公司</t>
  </si>
  <si>
    <t>HUNAN MINE HOME-TEXTILE TECHNOLOGY CO., LTD</t>
  </si>
  <si>
    <t>NO.168, GUYUAN ROAD, LUGU INDU</t>
  </si>
  <si>
    <t>STRIAL PARK, HIGH-TECHNIQUE DE</t>
  </si>
  <si>
    <t>VELOPMENT ZONE, CHANGSHA</t>
  </si>
  <si>
    <t>CHANGSHA-YUELU</t>
  </si>
  <si>
    <t>0731-82847939</t>
  </si>
  <si>
    <t>SUN</t>
  </si>
  <si>
    <t>HUNAN MINE HOME-TEXTILE TECHNO</t>
  </si>
  <si>
    <t>长沙</t>
  </si>
  <si>
    <t>CANDLES&amp;DIFFUSERS</t>
  </si>
  <si>
    <t>香氛挥发液16个货样(正式报关)货样</t>
  </si>
  <si>
    <t>625096173</t>
  </si>
  <si>
    <t>ALFA PLASTIC SAS DI FIORATTI  P. &amp; C.</t>
  </si>
  <si>
    <t>VIA DELLA VALLE 39</t>
  </si>
  <si>
    <t>CARATE BRIANZA</t>
  </si>
  <si>
    <t>RITA SIMONA FIORATTI</t>
  </si>
  <si>
    <t>CHENG-TUO SHENZEN TRADE   DEVELOPMENT</t>
  </si>
  <si>
    <t>ROOM 1016 A - ZHONGAI BLD. 54</t>
  </si>
  <si>
    <t>LONGZHU 7 ROAD</t>
  </si>
  <si>
    <t>NANSHAN</t>
  </si>
  <si>
    <t>0755-26995055</t>
  </si>
  <si>
    <t>NA_LI</t>
  </si>
  <si>
    <t>THERMOSTATS</t>
  </si>
  <si>
    <t>恒温器100个(无牌无规格无型号)货样</t>
  </si>
  <si>
    <t>JHB</t>
  </si>
  <si>
    <t>AGRICODE GREEN SDN BHD</t>
  </si>
  <si>
    <t>MY</t>
  </si>
  <si>
    <t>马来西亚</t>
  </si>
  <si>
    <t>PLOT 14, JLN PERIND 1,</t>
  </si>
  <si>
    <t>KAW PERIND SENAI 1,</t>
  </si>
  <si>
    <t>SENAI</t>
  </si>
  <si>
    <t>新山</t>
  </si>
  <si>
    <t>AGRICODE  GREEN</t>
  </si>
  <si>
    <t>肇庆市肇立方贸易有限公司</t>
  </si>
  <si>
    <t>ZHAOQING Z CUBE TRADING CO LTD</t>
  </si>
  <si>
    <t>ROOM 2006, BUILDING 2, PHASE 1</t>
  </si>
  <si>
    <t>MINJIE PLAZA, XINAN 3 ROAD</t>
  </si>
  <si>
    <t>DUANZHOU DIS, ZHAOQING CITY</t>
  </si>
  <si>
    <t>ZHAOQING-DUANZHOU</t>
  </si>
  <si>
    <t>肇庆</t>
  </si>
  <si>
    <t>086-0758-2228656</t>
  </si>
  <si>
    <t>FENG YUE</t>
  </si>
  <si>
    <t>CRUDE METHYL  ESTER</t>
  </si>
  <si>
    <t>脂肪酸甲酯1瓶(用于柴油精炼提纯/无牌/无型号/无规格)(自扣)货样</t>
  </si>
  <si>
    <t>恒温器货样</t>
  </si>
  <si>
    <t>339651</t>
  </si>
  <si>
    <t>128082</t>
  </si>
  <si>
    <t>20841</t>
  </si>
  <si>
    <t>362903539</t>
  </si>
  <si>
    <t>518000</t>
  </si>
  <si>
    <t>4453163191</t>
  </si>
  <si>
    <t>20190906135636</t>
  </si>
  <si>
    <t>外置数传电台(定位仪配件)货样</t>
  </si>
  <si>
    <t>563218</t>
  </si>
  <si>
    <t>20851</t>
  </si>
  <si>
    <t>-39039278300</t>
  </si>
  <si>
    <t>510663</t>
  </si>
  <si>
    <t>8.6203881913e+011</t>
  </si>
  <si>
    <t>20190906135805</t>
  </si>
  <si>
    <t>20190823000000</t>
  </si>
  <si>
    <t>脂肪酸甲酯货样</t>
  </si>
  <si>
    <t>279057133</t>
  </si>
  <si>
    <t>232470</t>
  </si>
  <si>
    <t>81400</t>
  </si>
  <si>
    <t>6075981981</t>
  </si>
  <si>
    <t>526040</t>
  </si>
  <si>
    <t>20190906140013</t>
  </si>
  <si>
    <t>20190905000000</t>
  </si>
  <si>
    <t>香氛挥发液货样</t>
  </si>
  <si>
    <t>122521</t>
  </si>
  <si>
    <t>410205</t>
  </si>
  <si>
    <t>73182847939</t>
  </si>
  <si>
    <t>20190906140105</t>
  </si>
  <si>
    <t>塑胶粒货样</t>
  </si>
  <si>
    <t>105214</t>
  </si>
  <si>
    <t>739547778</t>
  </si>
  <si>
    <t>518105</t>
  </si>
  <si>
    <t>86013532795</t>
  </si>
  <si>
    <t>20190906140245</t>
  </si>
  <si>
    <t>624029107</t>
  </si>
  <si>
    <t>QPA</t>
  </si>
  <si>
    <t>PRO.D.AC. INTERNATIONAL SRL</t>
  </si>
  <si>
    <t>VIA NICOLINI PADRE 22</t>
  </si>
  <si>
    <t>CITTADELLA</t>
  </si>
  <si>
    <t>帕多瓦</t>
  </si>
  <si>
    <t>PD</t>
  </si>
  <si>
    <t>ANNA MIAZZO</t>
  </si>
  <si>
    <t>GUANGDONG WAIYUN IMP. EXP. CO.LTD.</t>
  </si>
  <si>
    <t>ROOM 2505-2507,NORTH TOWER,YUE</t>
  </si>
  <si>
    <t>CITY PLAZA,DONG FENG ZHONG RD</t>
  </si>
  <si>
    <t>MR. KELVIN</t>
  </si>
  <si>
    <t>AQUARIUM ACCESSORIES</t>
  </si>
  <si>
    <t>七彩神仙鱼维他命补充液5瓶/水质稳定剂5瓶/龙鱼维他命补充液5瓶货样(正式报关)货样</t>
  </si>
  <si>
    <t>七彩神仙鱼维他命补充液货样</t>
  </si>
  <si>
    <t>20190906142313</t>
  </si>
  <si>
    <t>726735003</t>
  </si>
  <si>
    <t>MW7</t>
  </si>
  <si>
    <t>SMTTECH LLC</t>
  </si>
  <si>
    <t>RU</t>
  </si>
  <si>
    <t>俄罗斯联邦</t>
  </si>
  <si>
    <t>2ND KOTLYAKOVSKY PER.,1, BLD3</t>
  </si>
  <si>
    <t>MOSCOW</t>
  </si>
  <si>
    <t>莫斯科</t>
  </si>
  <si>
    <t>ARSENIY DROZDOV</t>
  </si>
  <si>
    <t>1 CLICK SMT TECHNOLOGY CO, LIMITED</t>
  </si>
  <si>
    <t>ROOM 204 &amp; 206,BUILDING A,NO.2</t>
  </si>
  <si>
    <t>FACTORY ZONE,SCIENCE&amp;TECHNOLOG</t>
  </si>
  <si>
    <t>INDUSTRY ZONE,DALINGSHAN TOWN</t>
  </si>
  <si>
    <t>DONGGUAN</t>
  </si>
  <si>
    <t>SOPHIA</t>
  </si>
  <si>
    <t>DEVICE</t>
  </si>
  <si>
    <t>线路板2个(带电子元器件/无牌无规格无型号)货样</t>
  </si>
  <si>
    <t>20190906000000</t>
  </si>
  <si>
    <t>线路板货样</t>
  </si>
  <si>
    <t>20190911141444</t>
  </si>
  <si>
    <t>423770215</t>
  </si>
  <si>
    <t>KW7</t>
  </si>
  <si>
    <t>TNT CO MAIL</t>
  </si>
  <si>
    <t>KW</t>
  </si>
  <si>
    <t>科威特</t>
  </si>
  <si>
    <t>KUWAIT HEAD OFF</t>
  </si>
  <si>
    <t>PLOT F18</t>
  </si>
  <si>
    <t>SHUWAIKH</t>
  </si>
  <si>
    <t>舒威克</t>
  </si>
  <si>
    <t>ANDREW. FERNANDES</t>
  </si>
  <si>
    <t>LED COLOURLIGHT TECHNOLOGY CO</t>
  </si>
  <si>
    <t>RM A,3F,BLOCK SECOND,HEPINGHEJ</t>
  </si>
  <si>
    <t>ING INDUSTRIAL ZONE,FUYONG STR</t>
  </si>
  <si>
    <t>1372-8976172</t>
  </si>
  <si>
    <t>WEIQI_LI</t>
  </si>
  <si>
    <t>METAL COINS</t>
  </si>
  <si>
    <t>铁币3千克(无牌无规格无型号)货样</t>
  </si>
  <si>
    <t>91440300326717167P</t>
  </si>
  <si>
    <t>20190908000000</t>
  </si>
  <si>
    <t>铁币货样</t>
  </si>
  <si>
    <t>20190911155252</t>
  </si>
  <si>
    <t>278626784</t>
  </si>
  <si>
    <t>PRG</t>
  </si>
  <si>
    <t>CK1</t>
  </si>
  <si>
    <t>CARGOMIND S.R.O.</t>
  </si>
  <si>
    <t>LAGLEROVE 1075/4</t>
  </si>
  <si>
    <t xml:space="preserve">布拉格 </t>
  </si>
  <si>
    <t>161 00</t>
  </si>
  <si>
    <t>FRANTISEK FK KOVARIK</t>
  </si>
  <si>
    <t>重庆杏夫人餐饮文化管理有限公司</t>
  </si>
  <si>
    <t>LADY GINKO CATERING</t>
  </si>
  <si>
    <t>NINI JIANG, UNIT 30-33, NO. 11</t>
  </si>
  <si>
    <t>CHONGQING</t>
  </si>
  <si>
    <t>重庆</t>
  </si>
  <si>
    <t>INITI</t>
  </si>
  <si>
    <t>EL. PARTS</t>
  </si>
  <si>
    <t>迷你游戏主机1个(Initi牌/型号: mini pc/规格:0.23*0.23*0.15m)(自扣)货样</t>
  </si>
  <si>
    <t>迷你游戏主机货样</t>
  </si>
  <si>
    <t>20190912161820</t>
  </si>
  <si>
    <t>322528065</t>
  </si>
  <si>
    <t>DUS</t>
  </si>
  <si>
    <t>EUCASHBOX LOGISTIK GMBH DZ03</t>
  </si>
  <si>
    <t>EUCASHBOX LOGISTIK GMBH DZ</t>
  </si>
  <si>
    <t>DE</t>
  </si>
  <si>
    <t>德意志联邦共和国</t>
  </si>
  <si>
    <t>HILDEGARDSTR. 5, 42897 REMSCHE</t>
  </si>
  <si>
    <t>ID, GERMANY</t>
  </si>
  <si>
    <t>REMSCHEID</t>
  </si>
  <si>
    <t>杜塞尔多夫</t>
  </si>
  <si>
    <t>NORDRHEIN-WESTFALEN</t>
  </si>
  <si>
    <t>HEMAN</t>
  </si>
  <si>
    <t>SZ BEITAI GUOJIHUODAI CO,LTD</t>
  </si>
  <si>
    <t>507,510/5F YINGDEFENGSHANGWUBL</t>
  </si>
  <si>
    <t>K 7AIMINGLU HUORUISHEQU</t>
  </si>
  <si>
    <t>0755-89473690</t>
  </si>
  <si>
    <t>huang_MS</t>
  </si>
  <si>
    <t>SPECTACLES, GOGGLES AND THE LIKE, CORRECTIVE, PROTECTIVE</t>
  </si>
  <si>
    <t>滑雪镜216个(无牌无规格无型号)货样</t>
  </si>
  <si>
    <t>9144030078922836XM</t>
  </si>
  <si>
    <t>502181057</t>
  </si>
  <si>
    <t>GRX</t>
  </si>
  <si>
    <t>MOMALENO S.L.</t>
  </si>
  <si>
    <t>ES</t>
  </si>
  <si>
    <t>西班牙</t>
  </si>
  <si>
    <t>VERNICA DE LA VIRGEN 1</t>
  </si>
  <si>
    <t>GRANADA</t>
  </si>
  <si>
    <t>格拉纳达</t>
  </si>
  <si>
    <t>MOMALENO SL</t>
  </si>
  <si>
    <t>GUANGZHOU GWAY GLOBAL TRADING CO., LTD</t>
  </si>
  <si>
    <t>JUBILEE BUSINESS CENTER, NO. 5</t>
  </si>
  <si>
    <t>RM1012 R &amp; F GOLDEN</t>
  </si>
  <si>
    <t>GUANGZHOU-HAIZHU</t>
  </si>
  <si>
    <t>LIAO MINGCHAO</t>
  </si>
  <si>
    <t>PHONE PARTS/PARTES DE MOVIL</t>
  </si>
  <si>
    <t>液晶显示屏124个(无牌规格:5寸无型号)货样</t>
  </si>
  <si>
    <t>20190917000000</t>
  </si>
  <si>
    <t>滑雪镜货样</t>
  </si>
  <si>
    <t>94602</t>
  </si>
  <si>
    <t>20190918140234</t>
  </si>
  <si>
    <t>液晶显示屏货样</t>
  </si>
  <si>
    <t>752747</t>
  </si>
  <si>
    <t>-8.6158000059e+12</t>
  </si>
  <si>
    <t>20190918140336</t>
  </si>
  <si>
    <t>706671706</t>
  </si>
  <si>
    <t>粤ZGS74港</t>
  </si>
  <si>
    <t>LGE</t>
  </si>
  <si>
    <t>ZUH</t>
  </si>
  <si>
    <t>RADIANT COLOR N.V.</t>
  </si>
  <si>
    <t>BE</t>
  </si>
  <si>
    <t>比利时</t>
  </si>
  <si>
    <t>EUROPARK 1046</t>
  </si>
  <si>
    <t>HOUTHALEN-HELCHTEREN</t>
  </si>
  <si>
    <t>烈日</t>
  </si>
  <si>
    <t>ROBBY BALLET</t>
  </si>
  <si>
    <t>ECKART ZHUHAI CO. LTD.</t>
  </si>
  <si>
    <t>JINWAN DISTRICT</t>
  </si>
  <si>
    <t>NO. 3 LANGYU ROAD</t>
  </si>
  <si>
    <t>NANSHUI TOWN</t>
  </si>
  <si>
    <t>ZHUHAI</t>
  </si>
  <si>
    <t>珠海</t>
  </si>
  <si>
    <t>ATT. BILLIE YANG</t>
  </si>
  <si>
    <t>FLUORESCENT BASES</t>
  </si>
  <si>
    <t>碱性染料24瓶(RADIANT牌/RBU型/规格:100g/瓶)(一科重报)货样</t>
  </si>
  <si>
    <t>碱性染料货样</t>
  </si>
  <si>
    <t>20190918151706</t>
  </si>
  <si>
    <t>287744962</t>
  </si>
  <si>
    <t>MLA</t>
  </si>
  <si>
    <t>BAS LTD</t>
  </si>
  <si>
    <t>MT</t>
  </si>
  <si>
    <t>马耳他</t>
  </si>
  <si>
    <t>AIR CARGO HOUSE</t>
  </si>
  <si>
    <t>25,GANNI VASSALLO STR.,</t>
  </si>
  <si>
    <t>LUQA</t>
  </si>
  <si>
    <t>马耳他岛</t>
  </si>
  <si>
    <t>LQA 1511</t>
  </si>
  <si>
    <t>CIARAN   O'CONNELL</t>
  </si>
  <si>
    <t>广州市毅龙钢构工程有限公司</t>
  </si>
  <si>
    <t>MS. LEILEI YANG</t>
  </si>
  <si>
    <t>401, BUILDING 21, HUAYUAN</t>
  </si>
  <si>
    <t>GUANGZHOU BIGUIYUAN</t>
  </si>
  <si>
    <t>LUOPU STREET, DASHI TOWN</t>
  </si>
  <si>
    <t>MS LEILEI YANG</t>
  </si>
  <si>
    <t>GLASS WARE</t>
  </si>
  <si>
    <t>玻璃器皿1个(无牌无规格无型号)货样</t>
  </si>
  <si>
    <t>20190910000000</t>
  </si>
  <si>
    <t>玻璃器皿货样</t>
  </si>
  <si>
    <t>20190918155837</t>
  </si>
  <si>
    <t>134532788</t>
  </si>
  <si>
    <t>BCM</t>
  </si>
  <si>
    <t>SMART DEAL S.R.L.</t>
  </si>
  <si>
    <t>RO</t>
  </si>
  <si>
    <t>罗马尼亚</t>
  </si>
  <si>
    <t>STR. AVIATORILOR NR.6A</t>
  </si>
  <si>
    <t>AP 6,JUD.BACAU</t>
  </si>
  <si>
    <t>J04 /1474 /2018</t>
  </si>
  <si>
    <t>BACAU</t>
  </si>
  <si>
    <t>巴克乌</t>
  </si>
  <si>
    <t>FLORIN GHIVNICI</t>
  </si>
  <si>
    <t>SHENZHEN WONLEX TECHNOLOGY CO LTD</t>
  </si>
  <si>
    <t>7 FLOOR B BUILDING,GANHUAXING</t>
  </si>
  <si>
    <t>FIFTH DISTRICT INDUSTRIAL PARK</t>
  </si>
  <si>
    <t>NO118 YONGFU ROAD QIAO TOU</t>
  </si>
  <si>
    <t>ABBY QIN</t>
  </si>
  <si>
    <t>SMART WATCH</t>
  </si>
  <si>
    <t>智能手表1个(无牌无规格无型号)货样</t>
  </si>
  <si>
    <t>智能手表货样</t>
  </si>
  <si>
    <t>20190919141215</t>
  </si>
  <si>
    <t>F145</t>
    <phoneticPr fontId="1" type="noConversion"/>
  </si>
  <si>
    <t>20190919144252</t>
  </si>
  <si>
    <t>984777290</t>
  </si>
  <si>
    <t>DRS</t>
  </si>
  <si>
    <t>DDoptics</t>
  </si>
  <si>
    <t>8, Sch nherrstra e</t>
  </si>
  <si>
    <t>Geb ude 10c</t>
  </si>
  <si>
    <t>CHEMNITZ</t>
  </si>
  <si>
    <t>德累斯顿</t>
  </si>
  <si>
    <t>SACHSEN</t>
  </si>
  <si>
    <t>0371-57383010</t>
  </si>
  <si>
    <t>BARTHEL</t>
  </si>
  <si>
    <t>CHONGQING VIEW-TEK OPTICAL CO. ,LTD</t>
  </si>
  <si>
    <t>NO.12,JINYUN RD,BEIBEIDIST,CHO</t>
  </si>
  <si>
    <t>NGQING,CN</t>
  </si>
  <si>
    <t>CHONGQING-SHAPINGBA</t>
  </si>
  <si>
    <t>023-86085138</t>
  </si>
  <si>
    <t>jie_peng</t>
  </si>
  <si>
    <t>BINOCULARS</t>
  </si>
  <si>
    <t>双筒望远镜25个(DDOPTICS牌规格8*33/10*33无型号)货样</t>
  </si>
  <si>
    <t>91500109561623208G</t>
  </si>
  <si>
    <t>20190914000000</t>
  </si>
  <si>
    <t>双筒望远镜货样</t>
  </si>
  <si>
    <t>20190923142618</t>
  </si>
  <si>
    <t>138772214</t>
  </si>
  <si>
    <t>粤ZCS21港I</t>
  </si>
  <si>
    <t>TSR</t>
  </si>
  <si>
    <t>DAI-TECH SRL</t>
  </si>
  <si>
    <t>STR. POPA SAPCA NR. 28</t>
  </si>
  <si>
    <t>J35 /1487 /2001</t>
  </si>
  <si>
    <t>TIMISOARA</t>
  </si>
  <si>
    <t>蒂米什瓦拉</t>
  </si>
  <si>
    <t>TIMIS</t>
  </si>
  <si>
    <t>RAUL ROSU</t>
  </si>
  <si>
    <t>CYBER  ENERGY (SHENZHEN), INC.</t>
  </si>
  <si>
    <t>2ND FLOOR A, XINGLONG RD NO. 3</t>
  </si>
  <si>
    <t>TONG FU YU IND PARK TANGXIAYON</t>
  </si>
  <si>
    <t>YULONG WANG</t>
  </si>
  <si>
    <t>PC POWER SOURCE</t>
  </si>
  <si>
    <t>不间断电源3个(NJOY牌规格:1000VA/2000VA/3000VA型号:PWUP-OL100AP-AZ01B/PWUP-OL200AP-AZ01B/PWUP-OL300AP-AZ01B)货样</t>
  </si>
  <si>
    <t>粤ZCS21港</t>
  </si>
  <si>
    <t>张令文</t>
  </si>
  <si>
    <t>粤ZHC39港</t>
  </si>
  <si>
    <t>张朋</t>
  </si>
  <si>
    <t>粤ZCN49港</t>
  </si>
  <si>
    <t>方庆华</t>
  </si>
  <si>
    <t>粤ZCN50港</t>
  </si>
  <si>
    <t>欧伟文</t>
  </si>
  <si>
    <t>严明杰</t>
  </si>
  <si>
    <t>李开林</t>
  </si>
  <si>
    <t>粤ZDF60港</t>
  </si>
  <si>
    <t>李德中</t>
  </si>
  <si>
    <t>粤ZBW77港</t>
  </si>
  <si>
    <t>陈志雄</t>
  </si>
  <si>
    <t>粤ZFA60港</t>
  </si>
  <si>
    <t>张阁</t>
  </si>
  <si>
    <t>粤ZED82港</t>
  </si>
  <si>
    <t>周伟中</t>
  </si>
  <si>
    <t>粤ZSE11港</t>
  </si>
  <si>
    <t>冯荣忠</t>
  </si>
  <si>
    <t>粤ZDB05港</t>
  </si>
  <si>
    <t>CNLS0000843545</t>
  </si>
  <si>
    <t>黎永生</t>
  </si>
  <si>
    <t>粤ZHQ97港</t>
  </si>
  <si>
    <t>凌孟秋</t>
  </si>
  <si>
    <t>SS8318</t>
  </si>
  <si>
    <t>TB5876</t>
  </si>
  <si>
    <t>TG7922</t>
  </si>
  <si>
    <t>MG9729</t>
  </si>
  <si>
    <t>RF9270</t>
  </si>
  <si>
    <t>RH6951</t>
  </si>
  <si>
    <t>MH7530</t>
  </si>
  <si>
    <t>SG9975</t>
  </si>
  <si>
    <t>TR9893</t>
  </si>
  <si>
    <t>MY6315</t>
  </si>
  <si>
    <t>KP6978</t>
  </si>
  <si>
    <t>TC9556</t>
  </si>
  <si>
    <t>UN2983</t>
  </si>
  <si>
    <t>LF7223</t>
  </si>
  <si>
    <t>20190920000000</t>
  </si>
  <si>
    <t>不间断电源货样</t>
  </si>
  <si>
    <t>20190923154349</t>
  </si>
  <si>
    <t>286665993</t>
  </si>
  <si>
    <t>BIE</t>
  </si>
  <si>
    <t>HITACHI AUTOMOTIVE SYSTEMS ESPELKAMP GMBH</t>
  </si>
  <si>
    <t>EUGEN-GERSTENMAIER-STR. 8</t>
  </si>
  <si>
    <t>ESPELKAMP</t>
  </si>
  <si>
    <t>比勒费尔德</t>
  </si>
  <si>
    <t>KLAUS TEGELER</t>
  </si>
  <si>
    <t>YIBIN TIANRUIDA AUTO PARTS CO. LTD</t>
  </si>
  <si>
    <t>JINSHAN ROAD,CHENGBEI</t>
  </si>
  <si>
    <t>NEW DISTRICT, YIBIN,</t>
  </si>
  <si>
    <t>YIBIN-YIBIN</t>
  </si>
  <si>
    <t>181-01067695</t>
  </si>
  <si>
    <t>xiao_lv</t>
  </si>
  <si>
    <t>废气再循环(EGR)装置3个(无牌无规格无型号)货样</t>
  </si>
  <si>
    <t>91110105MA003CW18M</t>
  </si>
  <si>
    <t>294010776</t>
  </si>
  <si>
    <t>DACHSER SE - ASL Niederlasung Dresden</t>
  </si>
  <si>
    <t>Wilhelmine-Reichard-Ring 3</t>
  </si>
  <si>
    <t>DRESDEN</t>
  </si>
  <si>
    <t>UTE  STARKE</t>
  </si>
  <si>
    <t>WING KAI ARTS &amp; CRAFTS LTD.</t>
  </si>
  <si>
    <t>LIAN TANG FACTORY SITE</t>
  </si>
  <si>
    <t>DING HU ZHAOGING CITY</t>
  </si>
  <si>
    <t>ZHAOQING-DINGHU</t>
  </si>
  <si>
    <t>ZHEN JIAN DONG</t>
  </si>
  <si>
    <t>WOODEN PARTS</t>
  </si>
  <si>
    <t>桦木制圣诞饰品26千克(无牌无规格无型号)货样</t>
  </si>
  <si>
    <t>467091256</t>
  </si>
  <si>
    <t>AUD</t>
  </si>
  <si>
    <t>EP2</t>
  </si>
  <si>
    <t>PEGASUS PRING GROUP</t>
  </si>
  <si>
    <t>BLDG B, 1A BESSEMER ST</t>
  </si>
  <si>
    <t>BLACKTOWN</t>
  </si>
  <si>
    <t xml:space="preserve">吉尔福德 </t>
  </si>
  <si>
    <t>NEW SOUTH WALES</t>
  </si>
  <si>
    <t>ROBYN KENNEDY</t>
  </si>
  <si>
    <t>MEHOW INNOVATIVE (SHENZHEN)CO.,LTD</t>
  </si>
  <si>
    <t>2/F, BLDG B,XINZHONGQIAO INDY</t>
  </si>
  <si>
    <t>PK,BAOLONG 6TH RD, BAOLONG IND</t>
  </si>
  <si>
    <t>CITY</t>
  </si>
  <si>
    <t>SHENZHEN-LONGGANG</t>
  </si>
  <si>
    <t>189-26793763</t>
  </si>
  <si>
    <t>yanmiao_sun</t>
  </si>
  <si>
    <t>LABEL REGULATORY INFO</t>
  </si>
  <si>
    <t>纸标签0.6千克货样</t>
  </si>
  <si>
    <t>NBE</t>
  </si>
  <si>
    <t>Transglobal Express</t>
  </si>
  <si>
    <t>Im Taubengrund   10</t>
  </si>
  <si>
    <t>KELSTERBACH</t>
  </si>
  <si>
    <t>纽伦堡</t>
  </si>
  <si>
    <t>HESSEN</t>
  </si>
  <si>
    <t>CUSTOMER SERVICES</t>
  </si>
  <si>
    <t>WE MOULD COMPANY LIMITED</t>
  </si>
  <si>
    <t>09A 2ND BUILDING</t>
  </si>
  <si>
    <t>HONGCHANG PARK, 49 DISTRICT</t>
  </si>
  <si>
    <t>ANDY CHAN</t>
  </si>
  <si>
    <t>PLASTIC MATERIAL</t>
  </si>
  <si>
    <t>PA66聚酯塑胶粒25千克(TECHNYL牌无规格型号:B 50H1)货样</t>
  </si>
  <si>
    <t>桦木制圣诞饰品货样</t>
  </si>
  <si>
    <t>73035003</t>
  </si>
  <si>
    <t>-8.6758261182e+11</t>
  </si>
  <si>
    <t>5.314201995e+17</t>
  </si>
  <si>
    <t>20190924132721</t>
  </si>
  <si>
    <t>PA货样</t>
  </si>
  <si>
    <t>505711377</t>
  </si>
  <si>
    <t>70576260</t>
  </si>
  <si>
    <t>8.6136921725e+12</t>
  </si>
  <si>
    <t>纸标签货样</t>
  </si>
  <si>
    <t>9.1440300559e+17</t>
  </si>
  <si>
    <t>20190924132955</t>
  </si>
  <si>
    <t>20190924133020</t>
  </si>
  <si>
    <t>废气再循环(EGR)装置货样</t>
  </si>
  <si>
    <t>73025431</t>
  </si>
  <si>
    <t>20190924134051</t>
  </si>
  <si>
    <t>176211016</t>
  </si>
  <si>
    <t>BE7</t>
  </si>
  <si>
    <t>Atotech Deutschland GmbH</t>
  </si>
  <si>
    <t>Erasmusstr. 20</t>
  </si>
  <si>
    <t>BERLIN</t>
  </si>
  <si>
    <t>柏林</t>
  </si>
  <si>
    <t>03034985-936</t>
  </si>
  <si>
    <t>HERR STASCHKE</t>
  </si>
  <si>
    <t>ATOTECH (CHINA) CHEMICAL LTD</t>
  </si>
  <si>
    <t>NO. 73, XINZHUANG 2-LU, YONGHE</t>
  </si>
  <si>
    <t>DISTRICT,GETDD</t>
  </si>
  <si>
    <t>3/F, TECHNICAL CENTER</t>
  </si>
  <si>
    <t>GUANGZHOU-ZENGCHENG</t>
  </si>
  <si>
    <t>增城</t>
  </si>
  <si>
    <t>MR.WICTOR WU</t>
  </si>
  <si>
    <t>PLAYFAIR BRONZE; CLEAR</t>
  </si>
  <si>
    <t>玫瑰金电镀添加剂1千克(无牌无规格无型号)货样</t>
  </si>
  <si>
    <t>玫瑰金电镀添加剂货样</t>
  </si>
  <si>
    <t>20190924135342</t>
  </si>
  <si>
    <t>290582854</t>
  </si>
  <si>
    <t>Keller &amp; Kalmbach GmbH</t>
  </si>
  <si>
    <t>An der Autobahn K 3</t>
  </si>
  <si>
    <t>HILPOLTSTEIN</t>
  </si>
  <si>
    <t>BAYERN</t>
  </si>
  <si>
    <t>CORINNA BUERZL</t>
  </si>
  <si>
    <t>LIUZHOU ZF MACHINERY CO. LTD</t>
  </si>
  <si>
    <t>143 HEPING ROAD</t>
  </si>
  <si>
    <t>LIUZHOU</t>
  </si>
  <si>
    <t>柳州</t>
  </si>
  <si>
    <t>DSFSD</t>
  </si>
  <si>
    <t>SPRING WASHERS AND OTHER LOCK WASHERS, OF IRON OR STEEL</t>
  </si>
  <si>
    <t>与291024366合并申报/挡圈350个(用于工程机械变速箱,限位作用/钢铁制/无牌/0730513672型/规格:135.9*3.15mm)(一科重报)货样</t>
  </si>
  <si>
    <t>291024366</t>
  </si>
  <si>
    <t>与290582854合并申报/挡圈250个(用于工程机械变速箱,限位作用/钢铁制/无牌/0730513684型/规格:156.6*2.1mm)(一科重报)货样</t>
  </si>
  <si>
    <t>GOT</t>
  </si>
  <si>
    <t>TALENT PLASTICS GISLAVED AB</t>
  </si>
  <si>
    <t>SE</t>
  </si>
  <si>
    <t>瑞典</t>
  </si>
  <si>
    <t>VERKSTADSGATAN 2</t>
  </si>
  <si>
    <t>GISLAVED</t>
  </si>
  <si>
    <t>哥德堡</t>
  </si>
  <si>
    <t>332 35</t>
  </si>
  <si>
    <t>46-371586174</t>
  </si>
  <si>
    <t>BO SJOR?N</t>
  </si>
  <si>
    <t>TOOLWORTH MOLD TECHNOLOGY CO</t>
  </si>
  <si>
    <t>NO 2 XIXIN RD</t>
  </si>
  <si>
    <t>SHATOU DISTRICT CHANGAN TOWN</t>
  </si>
  <si>
    <t>DONGGUAN CITY</t>
  </si>
  <si>
    <t>0086-13713088708</t>
  </si>
  <si>
    <t>SUSAN QIU</t>
  </si>
  <si>
    <t>MOULD PART</t>
  </si>
  <si>
    <t>模具用钢制模芯1个(无牌无规格无型号)货样</t>
  </si>
  <si>
    <t>20190912000000</t>
  </si>
  <si>
    <t>与货样</t>
  </si>
  <si>
    <t>91161</t>
  </si>
  <si>
    <t>91747830246</t>
  </si>
  <si>
    <t>12345678910</t>
  </si>
  <si>
    <t>20190924161038</t>
  </si>
  <si>
    <t>挡圈350个</t>
  </si>
  <si>
    <t>挡圈250个</t>
  </si>
  <si>
    <t>20190924161137</t>
  </si>
  <si>
    <t>模具用钢制模芯货样</t>
  </si>
  <si>
    <t>294059824</t>
  </si>
  <si>
    <t>20190924161237</t>
  </si>
  <si>
    <t>322793321</t>
  </si>
  <si>
    <t>SP8</t>
  </si>
  <si>
    <t>TM FILTERS B.V</t>
  </si>
  <si>
    <t>MAGAZIJNWEG 4</t>
  </si>
  <si>
    <t>ALPHEN AAN DEN RIJN</t>
  </si>
  <si>
    <t>阿姆斯特丹</t>
  </si>
  <si>
    <t>ZUID-HOLLAND</t>
  </si>
  <si>
    <t>2404 CE</t>
  </si>
  <si>
    <t>OSANOBU(NOBU)KAWABATA</t>
  </si>
  <si>
    <t>SHENYANG LANGLING ELECTRICAL A</t>
  </si>
  <si>
    <t>2437, 5,XINGHUA SOUTH ST,TIEXI</t>
  </si>
  <si>
    <t>DIST,SHENYANG,LIAONING</t>
  </si>
  <si>
    <t>SHENYANG-TIEXI</t>
  </si>
  <si>
    <t>沈阳</t>
  </si>
  <si>
    <t>LIAONING</t>
  </si>
  <si>
    <t>024-66757052</t>
  </si>
  <si>
    <t>JUNTAO_REN</t>
  </si>
  <si>
    <t>TME COALESCRING FILTER ELEMENT</t>
  </si>
  <si>
    <t>过滤器8个货样</t>
  </si>
  <si>
    <t>20190922000000</t>
  </si>
  <si>
    <t>20190925160941</t>
  </si>
  <si>
    <t>过滤器货样</t>
  </si>
  <si>
    <t>20190925160953</t>
  </si>
  <si>
    <t>136991424</t>
  </si>
  <si>
    <t>OSL</t>
  </si>
  <si>
    <t>SD1</t>
  </si>
  <si>
    <t>PAPIRKOMPANIET AS</t>
  </si>
  <si>
    <t>NO</t>
  </si>
  <si>
    <t>挪威</t>
  </si>
  <si>
    <t>STENSJ VEIEN 39-41</t>
  </si>
  <si>
    <t>OSLO</t>
  </si>
  <si>
    <t>奥斯陆</t>
  </si>
  <si>
    <t>SISSEL NICOLAISEN</t>
  </si>
  <si>
    <t>KINGSTAR DISPLAY STAND</t>
  </si>
  <si>
    <t>NO.5,4TH EAST ROAD,JIANG YI RD</t>
  </si>
  <si>
    <t>JIANG YI IND.ZONE,LELIU TOWN,</t>
  </si>
  <si>
    <t>SHUNDE DISTR, FOSHAN CITY</t>
  </si>
  <si>
    <t>SHUNDE</t>
  </si>
  <si>
    <t>顺德</t>
  </si>
  <si>
    <t>ANGELA</t>
  </si>
  <si>
    <t>KIDS JEWELRY</t>
  </si>
  <si>
    <t>儿童用锌合金首饰2个(无牌无规格无型号)货样</t>
  </si>
  <si>
    <t>288662404</t>
  </si>
  <si>
    <t>PJ2</t>
  </si>
  <si>
    <t>HALCYON TECHNOLOGY (M) SDN BHD</t>
  </si>
  <si>
    <t>BLOCK A-6-11,ATIVO PLAZA,</t>
  </si>
  <si>
    <t>NO.1,JLN PJU 9/1,D SARA AVE</t>
  </si>
  <si>
    <t>BANDAR SRI D'SARA,PJU 9,</t>
  </si>
  <si>
    <t>KUALA LUMPUR</t>
  </si>
  <si>
    <t>必打灵查亚</t>
  </si>
  <si>
    <t>JANICE  GOH</t>
  </si>
  <si>
    <t>成都邦普切削刀具股份有限公司</t>
  </si>
  <si>
    <t>CHENGDU BANGPU CUTTING TOOLS CO.,LTD</t>
  </si>
  <si>
    <t>NO.998,BAICAO ROAD,</t>
  </si>
  <si>
    <t>WESTERN ZONE</t>
  </si>
  <si>
    <t>OF HI-TECH DISTRICT</t>
  </si>
  <si>
    <t>CHENGDU</t>
  </si>
  <si>
    <t>郫县</t>
  </si>
  <si>
    <t>0086-18782933296</t>
  </si>
  <si>
    <t>MR KEVIN</t>
  </si>
  <si>
    <t>TESTING SAMPLE VPGT220516E-LH2BU180</t>
  </si>
  <si>
    <t>硬质合金刀片161个(金属切削用/无牌/型号详见清单/无规格)(一科重报)货样</t>
  </si>
  <si>
    <t>儿童用锌合金首饰货样</t>
  </si>
  <si>
    <t>-8.6757223823e+12</t>
  </si>
  <si>
    <t>20190925161131</t>
  </si>
  <si>
    <t>硬质合金刀片货样</t>
  </si>
  <si>
    <t>20190925161300</t>
  </si>
  <si>
    <t>20190925161543</t>
  </si>
  <si>
    <t>294923926</t>
  </si>
  <si>
    <t>ORK</t>
  </si>
  <si>
    <t>EXCELSYS TECHNOLOGY</t>
  </si>
  <si>
    <t>IE</t>
  </si>
  <si>
    <t>爱尔兰</t>
  </si>
  <si>
    <t>UNIT 27 EASTGATE DRIVE</t>
  </si>
  <si>
    <t>EASTGATE BUSINESS PARK</t>
  </si>
  <si>
    <t>LITTLE ISLAND</t>
  </si>
  <si>
    <t>CORK</t>
  </si>
  <si>
    <t>科克</t>
  </si>
  <si>
    <t>CO CORK</t>
  </si>
  <si>
    <t>COB</t>
  </si>
  <si>
    <t>DAVID  COLEMAN</t>
  </si>
  <si>
    <t>优仪半导体设备（上海）有限公司</t>
  </si>
  <si>
    <t>HAWK XU</t>
  </si>
  <si>
    <t>3RD FLOOR, BUILDING 1,</t>
  </si>
  <si>
    <t>GREAT WALL TECHNOLOGY</t>
  </si>
  <si>
    <t>HIGH-TECH PARK</t>
  </si>
  <si>
    <t>POWER SUPPLIES APPS ENG ACC</t>
  </si>
  <si>
    <t>医疗设备配件:电源模块4个(EXCELSYS牌无规格无型号)货样</t>
  </si>
  <si>
    <t>626477235</t>
  </si>
  <si>
    <t>IMV</t>
  </si>
  <si>
    <t>ITALIA D OC SRL</t>
  </si>
  <si>
    <t>STRADA STATALE CISA, 91</t>
  </si>
  <si>
    <t>BANCOLE</t>
  </si>
  <si>
    <t>PORTO MANTOVANO</t>
  </si>
  <si>
    <t>曼托瓦</t>
  </si>
  <si>
    <t>FABIO PARMA</t>
  </si>
  <si>
    <t>深圳市亿卓鸿服饰有限公司</t>
  </si>
  <si>
    <t>SHEN ZHEN SHI YI ZHUO HONG FU SHI YOU XIAN GONG SI</t>
  </si>
  <si>
    <t>THIRD FLOOR, BUILDING 271 A,</t>
  </si>
  <si>
    <t>LIANGBAI ROAD, EGONGLING</t>
  </si>
  <si>
    <t>XIAOWU</t>
  </si>
  <si>
    <t>LADIES JACKET</t>
  </si>
  <si>
    <t>外套1件(尼龙制/patrizia parma牌/HOX型/无规格)(自扣)货样</t>
  </si>
  <si>
    <t>20190919000000</t>
  </si>
  <si>
    <t>医疗设备配件:电源模块货样</t>
  </si>
  <si>
    <t>20190926140845</t>
  </si>
  <si>
    <t>20190923000000</t>
  </si>
  <si>
    <t>外套货样</t>
  </si>
  <si>
    <t>46047</t>
  </si>
  <si>
    <t>20190926141049</t>
  </si>
  <si>
    <t>20190926141319</t>
  </si>
  <si>
    <t>166998046</t>
  </si>
  <si>
    <t>LUG</t>
  </si>
  <si>
    <t>LUXURY GOODS INTERNATIONAL SA</t>
  </si>
  <si>
    <t>CH</t>
  </si>
  <si>
    <t>瑞士</t>
  </si>
  <si>
    <t>VIA INDUSTRIA 19</t>
  </si>
  <si>
    <t>SERVIZIO GENERALI</t>
  </si>
  <si>
    <t>CADEMPINO</t>
  </si>
  <si>
    <t>卢加诺</t>
  </si>
  <si>
    <t>TICINO</t>
  </si>
  <si>
    <t>BORTOLIN</t>
  </si>
  <si>
    <t>HUIZHOU COLORKING PRINTING PRODUCTS CO</t>
  </si>
  <si>
    <t>NEW DISTRICT,SHUIKOU TOWN</t>
  </si>
  <si>
    <t>EAST XINGDE ROAD 8</t>
  </si>
  <si>
    <t>DONGJIANG</t>
  </si>
  <si>
    <t>HUIZHOU-HUICHENG</t>
  </si>
  <si>
    <t>惠阳</t>
  </si>
  <si>
    <t>NANCY</t>
  </si>
  <si>
    <t>296916830</t>
  </si>
  <si>
    <t>SQ1</t>
  </si>
  <si>
    <t>KOSHIN KOGYO SINGAPORE PTE LTD</t>
  </si>
  <si>
    <t>SG</t>
  </si>
  <si>
    <t>新加坡</t>
  </si>
  <si>
    <t>1 PEMIMPIN DRIVE</t>
  </si>
  <si>
    <t>ONE PEMIMPIN</t>
  </si>
  <si>
    <t>SINGAPORE</t>
  </si>
  <si>
    <t>RUTH ONG</t>
  </si>
  <si>
    <t>CAPEL TECHNOLOGY CO., LTD.</t>
  </si>
  <si>
    <t>BLDG 22, NORTH YONGFA SCIENCE</t>
  </si>
  <si>
    <t>AND TECHNOLOGY PARK,HEYI</t>
  </si>
  <si>
    <t>VILLAGE,SHAJING TOWN,</t>
  </si>
  <si>
    <t>86-755366-0256</t>
  </si>
  <si>
    <t>MS LISA PANG</t>
  </si>
  <si>
    <t>ELECTRONIC COMPONENTS</t>
  </si>
  <si>
    <t>塑胶电子连接器4个(无牌无规格型号:PA70002-9197)货样</t>
  </si>
  <si>
    <t>20190921000000</t>
  </si>
  <si>
    <t>DOCUMENTS货样</t>
  </si>
  <si>
    <t>13152699856</t>
  </si>
  <si>
    <t>20190926145355</t>
  </si>
  <si>
    <t>ELECTRONIC COMPONENTS货样</t>
  </si>
  <si>
    <t>43658</t>
  </si>
  <si>
    <t>20190926145542</t>
  </si>
  <si>
    <t>塑胶电子连接器货样</t>
  </si>
  <si>
    <t>304551554</t>
  </si>
  <si>
    <t>BLL</t>
  </si>
  <si>
    <t>MEKOPRINT A/S</t>
  </si>
  <si>
    <t>DK</t>
  </si>
  <si>
    <t>丹麦</t>
  </si>
  <si>
    <t>HERMESVEJ 4</t>
  </si>
  <si>
    <t>STOVRING</t>
  </si>
  <si>
    <t>比伦</t>
  </si>
  <si>
    <t>DORTHE NIELSEN</t>
  </si>
  <si>
    <t>INPUT TECHNOLOGY COMPANY LTD.</t>
  </si>
  <si>
    <t>NO.1 ZENG TIAN INDUSTRIAL AREA</t>
  </si>
  <si>
    <t>HENG ZENG BLVD</t>
  </si>
  <si>
    <t>GLYN</t>
  </si>
  <si>
    <t>PARTS</t>
  </si>
  <si>
    <t>塑料壳200个(无牌无规格无型号)货样</t>
  </si>
  <si>
    <t>448988023</t>
  </si>
  <si>
    <t>QEO</t>
  </si>
  <si>
    <t>POL-EKO-APARATURA SP.J.</t>
  </si>
  <si>
    <t>PL</t>
  </si>
  <si>
    <t>波兰</t>
  </si>
  <si>
    <t>A.POLOK-KOWALSKA</t>
  </si>
  <si>
    <t>S.KOWALSKI</t>
  </si>
  <si>
    <t>UL.KOKOSZYCKA 172C</t>
  </si>
  <si>
    <t>WODZISLAW SLASKI</t>
  </si>
  <si>
    <t>比尔斯科比亚拉</t>
  </si>
  <si>
    <t>44-300</t>
  </si>
  <si>
    <t>DOROTA LECH SKOCZY</t>
  </si>
  <si>
    <t>SCIMED GUANGZHOUCO</t>
  </si>
  <si>
    <t>UNIT 923-924 BLKZ TENGFEI</t>
  </si>
  <si>
    <t>1ST STREE HUANGPU DISTRICT</t>
  </si>
  <si>
    <t>DINGYI</t>
  </si>
  <si>
    <t>SPARE PARTS FOR CLIMATIC CHAMBER</t>
  </si>
  <si>
    <t>不锈钢盖板2个(设备前部下盖板/无牌无规格无型号)/风扇电机2个(冷凝器散热风扇的电机 /无牌无规格无型号)货样</t>
  </si>
  <si>
    <t>627221996</t>
  </si>
  <si>
    <t>OAT</t>
  </si>
  <si>
    <t>TPI SRL</t>
  </si>
  <si>
    <t>VIA IPPOLITO NIEVO 25</t>
  </si>
  <si>
    <t>TORINO</t>
  </si>
  <si>
    <t>阿斯蒂</t>
  </si>
  <si>
    <t>TO</t>
  </si>
  <si>
    <t>FEDERICA CAPPELLOZZA</t>
  </si>
  <si>
    <t>TN CHONGQING CO., LTD</t>
  </si>
  <si>
    <t>NO.318, NORTH SECTION, HUAFU R</t>
  </si>
  <si>
    <t>JIU LONG PO DISTRICT</t>
  </si>
  <si>
    <t>LIAN NI</t>
  </si>
  <si>
    <t>CRYSTAL</t>
  </si>
  <si>
    <t>玻璃水晶奖杯1个/棉针织男生POLO杉1件(无牌无规格无型号)货样</t>
  </si>
  <si>
    <t>不锈钢盖板货样</t>
  </si>
  <si>
    <t>20190927134027</t>
  </si>
  <si>
    <t>玻璃水晶奖杯货样</t>
  </si>
  <si>
    <t>10153</t>
  </si>
  <si>
    <t>塑料壳货样</t>
  </si>
  <si>
    <t>9530</t>
  </si>
  <si>
    <t>20190927134626</t>
  </si>
  <si>
    <t>143488549</t>
  </si>
  <si>
    <t>XHB</t>
  </si>
  <si>
    <t>Zodiac Stainless Products</t>
  </si>
  <si>
    <t>Selly Oak Industrial Estate</t>
  </si>
  <si>
    <t>Elliot Road</t>
  </si>
  <si>
    <t>BIRMINGHAM</t>
  </si>
  <si>
    <t>伯明翰</t>
  </si>
  <si>
    <t>WEST MIDLANDS</t>
  </si>
  <si>
    <t>B29 6LR</t>
  </si>
  <si>
    <t>BRENDA BROWN</t>
  </si>
  <si>
    <t>SUNNEX CO LTD</t>
  </si>
  <si>
    <t>2/FDONGHE INDUSTRIAL BUILDING</t>
  </si>
  <si>
    <t>SHA TOU JIAO, SHA SHEN RD,</t>
  </si>
  <si>
    <t>YANTIAN DISTRICT,SHENZHEN</t>
  </si>
  <si>
    <t>STEVEN FUNG</t>
  </si>
  <si>
    <t>GLASSES</t>
  </si>
  <si>
    <t>眼镜6个(无牌无规格无型号)货样</t>
  </si>
  <si>
    <t>295011345</t>
  </si>
  <si>
    <t>STO</t>
  </si>
  <si>
    <t>SWEDELTACO AB</t>
  </si>
  <si>
    <t>C/O ADITRO LOGISTICS AB</t>
  </si>
  <si>
    <t>M RBYV GEN 17</t>
  </si>
  <si>
    <t>NYKVARN</t>
  </si>
  <si>
    <t>斯德哥尔摩</t>
  </si>
  <si>
    <t>155 35</t>
  </si>
  <si>
    <t>HEJDAR FARAHMANDI</t>
  </si>
  <si>
    <t>VETAC ELECTRONICS TECHNOLOGIES LIMITED</t>
  </si>
  <si>
    <t>ROOM 411, OFFICE BUILDING NO 3</t>
  </si>
  <si>
    <t>CHENTIAN INDUSTRIAL ZONE,</t>
  </si>
  <si>
    <t>BAOAN, SHENZHEN</t>
  </si>
  <si>
    <t>SALINA FENG</t>
  </si>
  <si>
    <t>RGB MOUSEMAT</t>
  </si>
  <si>
    <t>橡胶制鼠标垫1个(无牌无规格无型号)货样</t>
  </si>
  <si>
    <t>眼镜货样</t>
  </si>
  <si>
    <t>20190927153327</t>
  </si>
  <si>
    <t>橡胶制鼠标垫货样</t>
  </si>
  <si>
    <t>20190927153414</t>
  </si>
  <si>
    <t>20190927191142</t>
  </si>
  <si>
    <t>291691190</t>
  </si>
  <si>
    <t>MEL</t>
  </si>
  <si>
    <t>AERIS SOLUTIONS</t>
  </si>
  <si>
    <t>66 ESSEX ROAD</t>
  </si>
  <si>
    <t>MOUNT WAVERLEY</t>
  </si>
  <si>
    <t>墨尔本</t>
  </si>
  <si>
    <t>VICTORIA</t>
  </si>
  <si>
    <t>CHARLES NORRIS</t>
  </si>
  <si>
    <t>深圳市先鸣科技有限公司</t>
  </si>
  <si>
    <t>SHEN ZHEN SHI XIAN MING KE JI YOU XIAN GONG SI</t>
  </si>
  <si>
    <t>FLOOR 4, BUILDING G</t>
  </si>
  <si>
    <t>SHIFENG SCIENCE AND TECH PARK</t>
  </si>
  <si>
    <t>SHUOTAI ROAD, XINHU STREET</t>
  </si>
  <si>
    <t>CHARLES</t>
  </si>
  <si>
    <t>STRETCH SCREEN</t>
  </si>
  <si>
    <t>条形显示器外壳10个/逻辑板4个(无牌/型号规格详见清单)(自扣)货样</t>
  </si>
  <si>
    <t>322815345</t>
  </si>
  <si>
    <t>GW4</t>
  </si>
  <si>
    <t>REEVES AMUSEMENT RIDES LTD</t>
  </si>
  <si>
    <t>200 SWANSTON ST. GLA</t>
  </si>
  <si>
    <t>GLASGOW</t>
  </si>
  <si>
    <t>格拉斯哥贝尔希尔</t>
  </si>
  <si>
    <t>LANARKSHIRE</t>
  </si>
  <si>
    <t>G40 4HG</t>
  </si>
  <si>
    <t>JACKSON REEVES</t>
  </si>
  <si>
    <t>SHENZHEN FL ENVIROMENTAL PRO</t>
  </si>
  <si>
    <t>4F,BLDG5,YUFENGYUAN IND PK,XIN</t>
  </si>
  <si>
    <t>MU COMMUNITY,PINGHU ST,LONGGAN</t>
  </si>
  <si>
    <t>G,SHENZHEN</t>
  </si>
  <si>
    <t>136-20216681</t>
  </si>
  <si>
    <t>Miss_zhu</t>
  </si>
  <si>
    <t>90PCS 5050 MDLED POWER SUPPLY MEANWELL</t>
  </si>
  <si>
    <t>LED灯90个(MEANWELL牌规格:150W,220V型号:AT242F-M150RGB-YK-HG)货样</t>
  </si>
  <si>
    <t>91440300MA5EKNX866</t>
  </si>
  <si>
    <t>977809221</t>
  </si>
  <si>
    <t>ULM</t>
  </si>
  <si>
    <t>Eugen Dentler GmbH</t>
  </si>
  <si>
    <t>Amselweg 11</t>
  </si>
  <si>
    <t>OGGELSHAUSEN</t>
  </si>
  <si>
    <t>乌尔姆</t>
  </si>
  <si>
    <t>BADEN WUERTTEMBERG</t>
  </si>
  <si>
    <t>DENTLER</t>
  </si>
  <si>
    <t>KUAI HONG TOOLING GROUP CO., LTD</t>
  </si>
  <si>
    <t>RM 5018, HAOYUNLAI BUILDING,</t>
  </si>
  <si>
    <t>BAO AN 79 DISTRICT</t>
  </si>
  <si>
    <t>LI</t>
  </si>
  <si>
    <t>电动牙刷用塑胶手柄1919个(无牌无规格无型号)货样</t>
  </si>
  <si>
    <t>625522313</t>
  </si>
  <si>
    <t>IIM</t>
  </si>
  <si>
    <t>GIRO SRL</t>
  </si>
  <si>
    <t>VIA PRIVATA LONDRA 40</t>
  </si>
  <si>
    <t>ALASSIO</t>
  </si>
  <si>
    <t>因佩利亚</t>
  </si>
  <si>
    <t>ROBERTO UGHETTO</t>
  </si>
  <si>
    <t>GUANGZHOU RUHU GARMENT CO. LTD</t>
  </si>
  <si>
    <t>FLOOR 2TH-5TH,NO 2 CHAGANG ROA</t>
  </si>
  <si>
    <t>PANYU</t>
  </si>
  <si>
    <t>CLOTHES SAMPLES</t>
  </si>
  <si>
    <t>涤纶女式连衣裙19条/涤纶女式短裙11条/涤纶女式长裤4条/涤纶女式上衣10件/涤纶制围巾2条(无牌无规格无型号)货样</t>
  </si>
  <si>
    <t>LED灯货样</t>
  </si>
  <si>
    <t>1.10027175e+12</t>
  </si>
  <si>
    <t>3107029</t>
  </si>
  <si>
    <t>20190927191243</t>
  </si>
  <si>
    <t>电动牙刷用塑胶手柄货样</t>
  </si>
  <si>
    <t>70644991</t>
  </si>
  <si>
    <t>88422</t>
  </si>
  <si>
    <t>8.618923711e+12</t>
  </si>
  <si>
    <t>20190927191245</t>
  </si>
  <si>
    <t>1100271750049</t>
  </si>
  <si>
    <t>1100271750052</t>
  </si>
  <si>
    <t>1100272684960</t>
  </si>
  <si>
    <t>20190927191416</t>
  </si>
  <si>
    <t>1100271750367</t>
  </si>
  <si>
    <t>条形显示器外壳货样</t>
  </si>
  <si>
    <t>21881971</t>
  </si>
  <si>
    <t>3149</t>
  </si>
  <si>
    <t>-13923752609</t>
  </si>
  <si>
    <t>20190927191759</t>
  </si>
  <si>
    <t>1019678</t>
  </si>
  <si>
    <t>-75525554217</t>
  </si>
  <si>
    <t>20190927191858</t>
  </si>
  <si>
    <t>20190909000000</t>
  </si>
  <si>
    <t>涤纶女式连衣裙货样</t>
  </si>
  <si>
    <t>1023822</t>
  </si>
  <si>
    <t>17021</t>
  </si>
  <si>
    <t>8.67608888e+11</t>
  </si>
  <si>
    <t>20190927191925</t>
  </si>
  <si>
    <t>295723374</t>
  </si>
  <si>
    <t>TNO</t>
  </si>
  <si>
    <t>TEXGOLD</t>
  </si>
  <si>
    <t>TN</t>
  </si>
  <si>
    <t>突尼斯</t>
  </si>
  <si>
    <t>ROUTE MENZEL BOURGUIBA</t>
  </si>
  <si>
    <t>SEKMA</t>
  </si>
  <si>
    <t>BIZERTE</t>
  </si>
  <si>
    <t>突尼西亚</t>
  </si>
  <si>
    <t>IMEN  BEJAOUI</t>
  </si>
  <si>
    <t>INTERTEK - GUANGZHOU</t>
  </si>
  <si>
    <t>3/F HENG YUN BUILDING 235</t>
  </si>
  <si>
    <t>KAI FA AVENUE GUANGZHOU</t>
  </si>
  <si>
    <t>GUANGZHOU-LUOGANG</t>
  </si>
  <si>
    <t>LIDY LEE</t>
  </si>
  <si>
    <t>OTHER COTTON FABRICS,</t>
  </si>
  <si>
    <t>棉针织女式短裙2条/棉针织女式polo杉4件/棉针织女式上衣2件/棉针织女式长裤2条(无牌无规格无型号)货样</t>
  </si>
  <si>
    <t>506525393</t>
  </si>
  <si>
    <t>MYR</t>
  </si>
  <si>
    <t>EASYPARCEL SDN. BHD.</t>
  </si>
  <si>
    <t>CITY,LINTANG MAYANG PASIR 3</t>
  </si>
  <si>
    <t>1-18-8,SUNTECH PENANG CYBER</t>
  </si>
  <si>
    <t>BAYAN LEPAS</t>
  </si>
  <si>
    <t>CHLOE CHUA</t>
  </si>
  <si>
    <t>ELERNAL ASIA SUPPLY CHIAN</t>
  </si>
  <si>
    <t>9/F BLOCK  7 ELERNAL ASIA SUPP</t>
  </si>
  <si>
    <t>CHAIN INTEGRATION LOGISTICS CE</t>
  </si>
  <si>
    <t>NO 3  LILANG ROAD NAMWAN STREE</t>
  </si>
  <si>
    <t>MINHUI LU</t>
  </si>
  <si>
    <t>H2 CAP PLUS</t>
  </si>
  <si>
    <t>不锈钢制水杯盖子20个(无牌无规格无型号)货样</t>
  </si>
  <si>
    <t>棉针织女式短裙货样</t>
  </si>
  <si>
    <t>20190928154237</t>
  </si>
  <si>
    <t>不锈钢制水杯盖子货样</t>
  </si>
  <si>
    <t>20190928154424</t>
  </si>
  <si>
    <t>130917709</t>
  </si>
  <si>
    <t>1100271750750</t>
  </si>
  <si>
    <t>HONG CHEK CO. PTE LTD</t>
  </si>
  <si>
    <t>180 PAYA LEBAR ROAD</t>
  </si>
  <si>
    <t>YI GUANG BUILDING</t>
  </si>
  <si>
    <t>ANN  LIM</t>
  </si>
  <si>
    <t>MAVEN LASER AUTOMATION CO.,LTD.</t>
  </si>
  <si>
    <t>2/F, QINGXIANG INDUSTRIAL PARK</t>
  </si>
  <si>
    <t>DAKAN, HUANJING,DONGGUAN CITY</t>
  </si>
  <si>
    <t>GUANGDONG PROVINCE, CHINA</t>
  </si>
  <si>
    <t>DANFENG TAN</t>
  </si>
  <si>
    <t>15W 5V 3A SMPS POWER SUPPLY</t>
  </si>
  <si>
    <t>电源供应器60个(无牌规格:15W 5V 3A无型号)货样</t>
  </si>
  <si>
    <t>296323182</t>
  </si>
  <si>
    <t>SGE</t>
  </si>
  <si>
    <t>Schunk Bahn &amp; Industrietechnik GmbH</t>
  </si>
  <si>
    <t>Hauptstr. 97</t>
  </si>
  <si>
    <t>WETTENBERG</t>
  </si>
  <si>
    <t>锡根</t>
  </si>
  <si>
    <t>S. ALTZ</t>
  </si>
  <si>
    <t>ZHUZHOU UP ELECTRO MECHANICAL TECHNOLOGIES CO. LTD</t>
  </si>
  <si>
    <t>TIAN YUAN DISTRICT</t>
  </si>
  <si>
    <t>DONG  HU ROAD</t>
  </si>
  <si>
    <t>USCI NO. 9143 0211 5910 484 35</t>
  </si>
  <si>
    <t>ZHUZHOU</t>
  </si>
  <si>
    <t>株洲</t>
  </si>
  <si>
    <t>MS. JUZHI XIONG</t>
  </si>
  <si>
    <t>CARBON BRUSHES FOR ELECTRICAL PURPOSES</t>
  </si>
  <si>
    <t>碳条4千克(无牌无规格无型号)货样</t>
  </si>
  <si>
    <t>298048881</t>
  </si>
  <si>
    <t>1100271750094</t>
  </si>
  <si>
    <t>MHN</t>
  </si>
  <si>
    <t>EMONS AIR &amp; SEA GMBH</t>
  </si>
  <si>
    <t>FASANENWEG 9I</t>
  </si>
  <si>
    <t>曼海姆</t>
  </si>
  <si>
    <t>RICHARD  BAUMANN</t>
  </si>
  <si>
    <t>EASTAR INDUSTRIAL PARKLIANG XIAO HUI</t>
  </si>
  <si>
    <t>GUANLAN TOWN, LOGHUA DISTRICT</t>
  </si>
  <si>
    <t>LIANG XIAO HUI</t>
  </si>
  <si>
    <t>INDICATOR PANELS WITH LIGHT EMITTING DIODES  LED  (EXCL.</t>
  </si>
  <si>
    <t>LED模组11个(无牌无规格型号:P1.6)货样</t>
  </si>
  <si>
    <t>G382WKE</t>
  </si>
  <si>
    <t>322516541</t>
  </si>
  <si>
    <t>PEJ</t>
  </si>
  <si>
    <t>TEM ELECTRONICS(M) SDN BHD</t>
  </si>
  <si>
    <t>LOT A99, JALAN 2A-3, A101 &amp; A1</t>
  </si>
  <si>
    <t>02, JALAN 2A, KAWASAN PERUSAHA</t>
  </si>
  <si>
    <t>AN MIEL SUNGAI LALANG,</t>
  </si>
  <si>
    <t>SUNGAI PETANI</t>
  </si>
  <si>
    <t>槟城</t>
  </si>
  <si>
    <t>IVAN LEE</t>
  </si>
  <si>
    <t>JIANGMEN PENGJIANG DISTRICT DE</t>
  </si>
  <si>
    <t>ROOM.107,NO.332,DU RUAN VILLAG</t>
  </si>
  <si>
    <t>E,XI HUAN ROAD,PENGJIANG DIST,</t>
  </si>
  <si>
    <t>JIANGMEN CITY</t>
  </si>
  <si>
    <t>JIANGMEN-PENGJIANG</t>
  </si>
  <si>
    <t>江门</t>
  </si>
  <si>
    <t>0750-3666997</t>
  </si>
  <si>
    <t>hui chao_wang</t>
  </si>
  <si>
    <t>CONNECTOR</t>
  </si>
  <si>
    <t>扎带1900条/绝缘塑料壳450个/连接头2700个/磁环40个/电线1220米/塑胶套条80米/端子500个货样(正式报关)货样</t>
  </si>
  <si>
    <t>91440703586392231A</t>
  </si>
  <si>
    <t>322788281</t>
  </si>
  <si>
    <t>TYO</t>
  </si>
  <si>
    <t>INNERGY JAPAN K.K.</t>
  </si>
  <si>
    <t>JP</t>
  </si>
  <si>
    <t>日本</t>
  </si>
  <si>
    <t>HULIC &amp; NEW SHINBASHI BUREX FI</t>
  </si>
  <si>
    <t>VE 607, 2-11-10</t>
  </si>
  <si>
    <t>SHIMBASHI.MINATO-KU</t>
  </si>
  <si>
    <t>东京</t>
  </si>
  <si>
    <t>TOKYO</t>
  </si>
  <si>
    <t>MITSUZO MIZUNO</t>
  </si>
  <si>
    <t>SHENZHEN SHG INTERNATIONAL LOG</t>
  </si>
  <si>
    <t>D32 ZHAN QIAN BUSINESS JING YI</t>
  </si>
  <si>
    <t>NG MINGDU,NANCHENG DISTRICT ,D</t>
  </si>
  <si>
    <t>ONGGUAN,CHINA.</t>
  </si>
  <si>
    <t>0755-29924911</t>
  </si>
  <si>
    <t>Leslie_Chen</t>
  </si>
  <si>
    <t>FUSE HOLDER</t>
  </si>
  <si>
    <t>塑胶保险丝支架10个(无牌无规格无型号)货样</t>
  </si>
  <si>
    <t>91441900MA510YH08G</t>
  </si>
  <si>
    <t>507686525</t>
  </si>
  <si>
    <t>1100271750114</t>
  </si>
  <si>
    <t>ZWS</t>
  </si>
  <si>
    <t>ITA Shipping GmbH (Let me Ship)</t>
  </si>
  <si>
    <t>HUGH-GREENE-WEG 4</t>
  </si>
  <si>
    <t>HAMBURG</t>
  </si>
  <si>
    <t>斯图加特</t>
  </si>
  <si>
    <t>NIELS DETZKEIT</t>
  </si>
  <si>
    <t>ZHUHAI HENGQIN NEW AREA RACE</t>
  </si>
  <si>
    <t>NO 12 PINGGONG FIRST ROAD</t>
  </si>
  <si>
    <t>NANPING TECHNOLOGY PARK</t>
  </si>
  <si>
    <t>ZHUHAI-XIANGZHOU</t>
  </si>
  <si>
    <t>ZHUHAI HENGQIN NEW ARE</t>
  </si>
  <si>
    <t>ELECTRONIC INTEGRATED CIRCUITS (EXCL.  IN THE FORM OF MUL</t>
  </si>
  <si>
    <t>电路板7块(无牌无规格无型号)货样</t>
  </si>
  <si>
    <t>627464635</t>
  </si>
  <si>
    <t>ISZ</t>
  </si>
  <si>
    <t>PALMA SRL</t>
  </si>
  <si>
    <t>PIAZZA FAZZINI 8</t>
  </si>
  <si>
    <t>SAN BENEDETTO DEL TRONTO</t>
  </si>
  <si>
    <t>圣贝内代托</t>
  </si>
  <si>
    <t>ANTONIETTA VIVIANI</t>
  </si>
  <si>
    <t>KUANGXENG ENTERPRISES COM</t>
  </si>
  <si>
    <t>ROOM 757 BUILDING N. 4,</t>
  </si>
  <si>
    <t>AIRPORT GARDEN</t>
  </si>
  <si>
    <t>HUADU</t>
  </si>
  <si>
    <t>花县</t>
  </si>
  <si>
    <t>MR PATRICK</t>
  </si>
  <si>
    <t>SWIMMING SET</t>
  </si>
  <si>
    <t>化纤制女式泳衣3件(无牌无规格无型号)货样</t>
  </si>
  <si>
    <t>722185230</t>
  </si>
  <si>
    <t>1100271750396</t>
  </si>
  <si>
    <t>RU7</t>
  </si>
  <si>
    <t>RIYAD ABDUL SAMAD SAEED</t>
  </si>
  <si>
    <t>SA</t>
  </si>
  <si>
    <t>沙特阿拉伯</t>
  </si>
  <si>
    <t>AL KHARJ HAI ALSLAM  STREET</t>
  </si>
  <si>
    <t>ZAID BIN HARATH BESIDE</t>
  </si>
  <si>
    <t>SIXTY STREET BUILDING 6</t>
  </si>
  <si>
    <t>RIYADH</t>
  </si>
  <si>
    <t>利雅得</t>
  </si>
  <si>
    <t>RIYAD ABDUL SAMAD SAEE</t>
  </si>
  <si>
    <t>GUANGZHOU BIAOXU DIGITAL TECHNOLOGY CO.,LTD</t>
  </si>
  <si>
    <t>RM329,NO.68,JICHANG RD,BAI YUN</t>
  </si>
  <si>
    <t>DISTRICT.</t>
  </si>
  <si>
    <t>020-86359487</t>
  </si>
  <si>
    <t>xian ming_liu</t>
  </si>
  <si>
    <t>THE VALVE</t>
  </si>
  <si>
    <t>阀门147个等品名详见清单(罐装牛奶用机器零件/无牌/无型号/无规格)(一科重报)货样</t>
  </si>
  <si>
    <t>751011134</t>
  </si>
  <si>
    <t>1100271750065</t>
  </si>
  <si>
    <t>KA6</t>
  </si>
  <si>
    <t>ZIS</t>
  </si>
  <si>
    <t>UNIVERSAL LUGGAGE INDONESIA, PT</t>
  </si>
  <si>
    <t>KP.SUMURBANDUNG RT.006 RW.001</t>
  </si>
  <si>
    <t>SUMUR BANDUNG JAYANTI</t>
  </si>
  <si>
    <t>KAB.TANGERANG BANTEN</t>
  </si>
  <si>
    <t>TANGERANG</t>
  </si>
  <si>
    <t>卡拉瓦奇</t>
  </si>
  <si>
    <t>MEGA INDAH DEWI WULAND</t>
  </si>
  <si>
    <t xml:space="preserve"> C &amp; C LUGGAGE MANUFACTURING</t>
  </si>
  <si>
    <t>C &amp; C LUGGAGE MANUFACTURING</t>
  </si>
  <si>
    <t>NO 1 CROWN ROAD THE SECOND IN</t>
  </si>
  <si>
    <t>DUSTRIAL PARK</t>
  </si>
  <si>
    <t>SANXIANG ZHONG SHAN GUANGDONG</t>
  </si>
  <si>
    <t>ZHONGSHAN</t>
  </si>
  <si>
    <t>中山</t>
  </si>
  <si>
    <t>MARGHARET</t>
  </si>
  <si>
    <t>PC CASE SAMPLE  M COLOR GREY LOGOTUMI</t>
  </si>
  <si>
    <t>塑胶制旅行箱1个(无牌无规格无型号)货样</t>
  </si>
  <si>
    <t>1100271750023</t>
  </si>
  <si>
    <t>20190820000000</t>
  </si>
  <si>
    <t>电源供应器货样</t>
  </si>
  <si>
    <t>300</t>
  </si>
  <si>
    <t>58811</t>
  </si>
  <si>
    <t>43715</t>
  </si>
  <si>
    <t>-8.6189260076e+12</t>
  </si>
  <si>
    <t>20190929142853</t>
  </si>
  <si>
    <t>碳条货样</t>
  </si>
  <si>
    <t>210</t>
  </si>
  <si>
    <t>70244281</t>
  </si>
  <si>
    <t>-13975309644</t>
  </si>
  <si>
    <t>20190929142944</t>
  </si>
  <si>
    <t>20190926000000</t>
  </si>
  <si>
    <t>LED模组货样</t>
  </si>
  <si>
    <t>550</t>
  </si>
  <si>
    <t>70563532</t>
  </si>
  <si>
    <t>-8.6137135062e+12</t>
  </si>
  <si>
    <t>20190929143022</t>
  </si>
  <si>
    <t>23</t>
  </si>
  <si>
    <t>阀门货样</t>
  </si>
  <si>
    <t>4598</t>
  </si>
  <si>
    <t>3020640</t>
  </si>
  <si>
    <t>4.4010068326e+14</t>
  </si>
  <si>
    <t>20190929143204</t>
  </si>
  <si>
    <t>化纤制女式泳衣货样</t>
  </si>
  <si>
    <t>21</t>
  </si>
  <si>
    <t>435945</t>
  </si>
  <si>
    <t>13185689521</t>
  </si>
  <si>
    <t>20190929143246</t>
  </si>
  <si>
    <t>20190928000000</t>
  </si>
  <si>
    <t>电路板货样</t>
  </si>
  <si>
    <t>621.89</t>
  </si>
  <si>
    <t>70201043</t>
  </si>
  <si>
    <t>-8.6756630277e+11</t>
  </si>
  <si>
    <t>20190929143332</t>
  </si>
  <si>
    <t>塑胶保险丝支架货样</t>
  </si>
  <si>
    <t>28</t>
  </si>
  <si>
    <t>3108159</t>
  </si>
  <si>
    <t>20190929143524</t>
  </si>
  <si>
    <t>13213</t>
  </si>
  <si>
    <t>塑胶制旅行箱货样</t>
  </si>
  <si>
    <t>126158</t>
  </si>
  <si>
    <t>8.6760866838e+12</t>
  </si>
  <si>
    <t>20190929143609</t>
  </si>
  <si>
    <t>322828203</t>
  </si>
  <si>
    <t>1100271750081</t>
  </si>
  <si>
    <t>14A</t>
  </si>
  <si>
    <t>DRESSER PRODUITS INDUSTRIELS S</t>
  </si>
  <si>
    <t>.A.S./BP 87-3, RUE SAINT PIERR</t>
  </si>
  <si>
    <t>E, 14110 CONDE SUR NOIREAU - F</t>
  </si>
  <si>
    <t>CONDE SUR NOIREAU</t>
  </si>
  <si>
    <t>库利</t>
  </si>
  <si>
    <t>CAROLE MARTEL</t>
  </si>
  <si>
    <t>深圳市铱程机电设备有限公司</t>
  </si>
  <si>
    <t>SHENZHEN VISION ELECTROMECHANI</t>
  </si>
  <si>
    <t>WESTBLDG 5F SHENNANRD TAIRANIN</t>
  </si>
  <si>
    <t>DZONE204 CHEGONG TEMPLE FUTIAN</t>
  </si>
  <si>
    <t>SHENZHEN-LUOHU</t>
  </si>
  <si>
    <t>139-26504372</t>
  </si>
  <si>
    <t>yi_wang</t>
  </si>
  <si>
    <t>VALVES</t>
  </si>
  <si>
    <t>阀门配件360千克货样</t>
  </si>
  <si>
    <t>91440300578804021X</t>
  </si>
  <si>
    <t>322828203M0201</t>
  </si>
  <si>
    <t>322828203M0202</t>
  </si>
  <si>
    <t>20190925000000</t>
  </si>
  <si>
    <t>阀门配件货样</t>
  </si>
  <si>
    <t>20190929143925</t>
  </si>
  <si>
    <t>扎带货样</t>
  </si>
  <si>
    <t>20190929144741</t>
  </si>
  <si>
    <t>20190929145750</t>
  </si>
  <si>
    <t>20190929145833</t>
  </si>
  <si>
    <t>20190929150158</t>
  </si>
  <si>
    <t>20190929150450</t>
  </si>
  <si>
    <t>978071049</t>
  </si>
  <si>
    <t>PROLYTE PRODUCTS ASIA PACIFIC SDN BHD</t>
  </si>
  <si>
    <t>LOT 59-1 JALAN 51/205,</t>
  </si>
  <si>
    <t>THE HIGHWAY CENTRE</t>
  </si>
  <si>
    <t>PETALING JAYA</t>
  </si>
  <si>
    <t>MS ESWARY</t>
  </si>
  <si>
    <t>PROLYTE (GUANGZHOU) MACHINERY EQUIPMENT</t>
  </si>
  <si>
    <t>SHANQIANDADAOZHONG 237-1</t>
  </si>
  <si>
    <t>YANGPU</t>
  </si>
  <si>
    <t>ZHUJIA BI</t>
  </si>
  <si>
    <t>LADDER 30 LENGTH 100 CM</t>
  </si>
  <si>
    <t>展会用铝制桁架5个/塑料制夹具2个(无牌无规格无型号)货样</t>
  </si>
  <si>
    <t>展会用铝制桁架货样</t>
  </si>
  <si>
    <t>20190930160559</t>
  </si>
  <si>
    <t>404498275</t>
  </si>
  <si>
    <t>1100251721660</t>
  </si>
  <si>
    <t>PER</t>
  </si>
  <si>
    <t>S-TECH HOLDINGS PTY LTD</t>
  </si>
  <si>
    <t>12 MORDAUNT CIRCUIT</t>
  </si>
  <si>
    <t>CANNING VALE</t>
  </si>
  <si>
    <t>珀斯</t>
  </si>
  <si>
    <t>WESTERN AUSTRALIA</t>
  </si>
  <si>
    <t>STEVE GREEN</t>
  </si>
  <si>
    <t>UP-SHINE LIGHTING CO., LIMITED</t>
  </si>
  <si>
    <t>2ND BUILDING DINGFENG HIGHTECH</t>
  </si>
  <si>
    <t>ZONE, FUYUAN 1ST ROAD,</t>
  </si>
  <si>
    <t>FU YONG SUB-DISTRICT</t>
  </si>
  <si>
    <t>0755-29197332</t>
  </si>
  <si>
    <t>Anna_zheng</t>
  </si>
  <si>
    <t>LED SMART DIMMER-DIGINET, LED DIMMER-CLIPSAL</t>
  </si>
  <si>
    <t>LED灯用控制器32个(Clipsal牌/Diginet牌无规格型号:32ELEDM-WE/MEDM)货样</t>
  </si>
  <si>
    <t>91440300552110232W</t>
  </si>
  <si>
    <t>20191008000000</t>
  </si>
  <si>
    <t>LED灯用控制器货样</t>
  </si>
  <si>
    <t>3062450</t>
  </si>
  <si>
    <t>20191009152105</t>
  </si>
  <si>
    <t>20191009152303</t>
  </si>
  <si>
    <t>143398667</t>
  </si>
  <si>
    <t>SKG</t>
  </si>
  <si>
    <t>MAESTRI - EMIRLI MARIA LTD</t>
  </si>
  <si>
    <t>GR</t>
  </si>
  <si>
    <t>希腊</t>
  </si>
  <si>
    <t>12, MONASTIRIOU STR</t>
  </si>
  <si>
    <t>THESSALONIKI CENTER</t>
  </si>
  <si>
    <t>塞萨洛尼基</t>
  </si>
  <si>
    <t>THESSALONIKIS</t>
  </si>
  <si>
    <t>546 29</t>
  </si>
  <si>
    <t>ELENA MALVESTITI</t>
  </si>
  <si>
    <t>SHI WEI GARMENT</t>
  </si>
  <si>
    <t>C103 LING NAN CHUANG YI YUAN</t>
  </si>
  <si>
    <t>583 XIN JIAO ZHONG  RD</t>
  </si>
  <si>
    <t>HAIZHU DISTRICT  GUANGZHOU</t>
  </si>
  <si>
    <t>MRS.CINDY</t>
  </si>
  <si>
    <t>PANTS TOP DRESS</t>
  </si>
  <si>
    <t>涤纶女式长裤2条/涤纶女式上衣3件/涤纶连衣裙4条/涤纶连衫裤1条/涤纶女式T恤1件/涤纶女式束腰外衫1件(无牌无规格无型号)货样</t>
  </si>
  <si>
    <t>627478586</t>
  </si>
  <si>
    <t>ZIA</t>
  </si>
  <si>
    <t>ZOBELE HOLDING SPA</t>
  </si>
  <si>
    <t>VIA FERSINA 4</t>
  </si>
  <si>
    <t>TRENTO</t>
  </si>
  <si>
    <t>特伦托</t>
  </si>
  <si>
    <t>LUIGI FONTANA</t>
  </si>
  <si>
    <t>ZOBELE INSTRUMENTS SHENZHEN CO</t>
  </si>
  <si>
    <t>HONGTIAN SHANGNAN EAST RD.</t>
  </si>
  <si>
    <t>HUANGPU COMMUNITY</t>
  </si>
  <si>
    <t>XINQIAO STR.,BAO'AN DISTRICT</t>
  </si>
  <si>
    <t>KEN KONG</t>
  </si>
  <si>
    <t>ELECTRICAL EQUIPMENT</t>
  </si>
  <si>
    <t>交换机用塑胶连接件3个(无牌无规格无型号)货样</t>
  </si>
  <si>
    <t>299887103</t>
  </si>
  <si>
    <t>SCN</t>
  </si>
  <si>
    <t>Inoson GmbH</t>
  </si>
  <si>
    <t>Sophie-Kr mer-Str. 8</t>
  </si>
  <si>
    <t>ST INGBERT</t>
  </si>
  <si>
    <t>萨尔布吕肯</t>
  </si>
  <si>
    <t>SAARLAND</t>
  </si>
  <si>
    <t>SUSANNE SCHMITT</t>
  </si>
  <si>
    <t>AUDIOWELL  ELECTRONICS (GUANGDONG) CO.LTD</t>
  </si>
  <si>
    <t>NO.4, BLOCK 3, YINPING ROAD,</t>
  </si>
  <si>
    <t>SHATOU STREET, PANYU</t>
  </si>
  <si>
    <t>JULIE YANG</t>
  </si>
  <si>
    <t>EVAL-KIT</t>
  </si>
  <si>
    <t>集成电路6个(无牌无规格无型号)货样</t>
  </si>
  <si>
    <t>323043195</t>
  </si>
  <si>
    <t>1100271750127</t>
  </si>
  <si>
    <t>中心入库失败</t>
  </si>
  <si>
    <t>HMK</t>
  </si>
  <si>
    <t>TER HUERNE GMBH &amp; CO. KG</t>
  </si>
  <si>
    <t>RAMSDORFER STR. 5</t>
  </si>
  <si>
    <t>SUEDLOHN</t>
  </si>
  <si>
    <t>哈明克恩</t>
  </si>
  <si>
    <t>HERR ALTHOFF</t>
  </si>
  <si>
    <t>CN 3P LAK BUILDING MATERIAL</t>
  </si>
  <si>
    <t>R2705-2707,HUAPU PLZ,9 HUAMING</t>
  </si>
  <si>
    <t>RD,ZHUJIANGXIN CITY,TIANHE</t>
  </si>
  <si>
    <t>020-22382700</t>
  </si>
  <si>
    <t>Mandy_Liu</t>
  </si>
  <si>
    <t>FLOORINGS</t>
  </si>
  <si>
    <t>家具用纤维板110个(ter huerne牌/无型号/规格:31-42*23-24*6-9cm)(一科重报)货样</t>
  </si>
  <si>
    <t>91440106591516024T</t>
  </si>
  <si>
    <t>PANTS TOP DRESS货样</t>
  </si>
  <si>
    <t>214092</t>
  </si>
  <si>
    <t>8.6139022937e+12</t>
  </si>
  <si>
    <t>20191009161529</t>
  </si>
  <si>
    <t>20191009161604</t>
  </si>
  <si>
    <t>涤纶女式长裤货样</t>
  </si>
  <si>
    <t>20191009161702</t>
  </si>
  <si>
    <t>集成电路货样</t>
  </si>
  <si>
    <t>70085844</t>
  </si>
  <si>
    <t>66386</t>
  </si>
  <si>
    <t>-8.6208480204e+11</t>
  </si>
  <si>
    <t>20191009161739</t>
  </si>
  <si>
    <t>20190929000000</t>
  </si>
  <si>
    <t>家具用纤维板货样</t>
  </si>
  <si>
    <t>3008995</t>
  </si>
  <si>
    <t>46354</t>
  </si>
  <si>
    <t>20191009161806</t>
  </si>
  <si>
    <t>交换机用塑胶连接件货样</t>
  </si>
  <si>
    <t>491600</t>
  </si>
  <si>
    <t>38100</t>
  </si>
  <si>
    <t>8.67556188e+12</t>
  </si>
  <si>
    <t>20191009161834</t>
  </si>
  <si>
    <t>251311617</t>
  </si>
  <si>
    <t>1100271750143</t>
  </si>
  <si>
    <t>KANEMIZU MIZUNO COLOR WORKS</t>
  </si>
  <si>
    <t>1-60 UENO-CHO</t>
  </si>
  <si>
    <t>JIMUSHO</t>
  </si>
  <si>
    <t>TAJIMI</t>
  </si>
  <si>
    <t>GIFU</t>
  </si>
  <si>
    <t>0572-224569</t>
  </si>
  <si>
    <t>KATSUHISA MIZUNO</t>
  </si>
  <si>
    <t>SHINWA INDUSTRIAL CO., LTD.</t>
  </si>
  <si>
    <t>ROOM NO.816, 3RD BUILDING,</t>
  </si>
  <si>
    <t>PUTAOZHUANGYUAN-3,</t>
  </si>
  <si>
    <t>9 JINAO-DADAO, WANJIANG</t>
  </si>
  <si>
    <t>0769-22639897</t>
  </si>
  <si>
    <t>MR. QI ZHIWEI</t>
  </si>
  <si>
    <t>ENAMEL FRIT NL13 YELLOW</t>
  </si>
  <si>
    <t>着色料10千克(无牌无规格无型号)货样</t>
  </si>
  <si>
    <t>1100271750198</t>
  </si>
  <si>
    <t>01A</t>
  </si>
  <si>
    <t>LYPSIS</t>
  </si>
  <si>
    <t>11 RUE DE LA PRAIRIE</t>
  </si>
  <si>
    <t>GROISSIAT</t>
  </si>
  <si>
    <t>巴黎</t>
  </si>
  <si>
    <t>EMMANUEL  BLOUIN</t>
  </si>
  <si>
    <t>SHENZHEN KEYWAY COMPONENTS CO</t>
  </si>
  <si>
    <t>ROOM 201,  FLAT C, BIAO FAN</t>
  </si>
  <si>
    <t>TECHNICAL PLAZA N 6,</t>
  </si>
  <si>
    <t>IND. AVENUE, TANGWEI COMMUNITY</t>
  </si>
  <si>
    <t>miss_huang</t>
  </si>
  <si>
    <t>INDUSTRIAL VALVES</t>
  </si>
  <si>
    <t>工业阀门177千克货样</t>
  </si>
  <si>
    <t>9144030067857872X3</t>
  </si>
  <si>
    <t>H077EEL</t>
  </si>
  <si>
    <t>507710604</t>
  </si>
  <si>
    <t>LLT</t>
  </si>
  <si>
    <t>MAGPIE SOLUTIONS LTD</t>
  </si>
  <si>
    <t>14 AUGUSTUS MEWS</t>
  </si>
  <si>
    <t>HIGH STREET</t>
  </si>
  <si>
    <t>BRAINTREE</t>
  </si>
  <si>
    <t>兰特里森特</t>
  </si>
  <si>
    <t>ESSEX</t>
  </si>
  <si>
    <t>CM7 1GZ</t>
  </si>
  <si>
    <t>MAGPIE SOLUTIONS</t>
  </si>
  <si>
    <t>FOSHAN QIANBAIYE MACHINERY CO LTD</t>
  </si>
  <si>
    <t>THE THIRD BUILDING,</t>
  </si>
  <si>
    <t>NO.58, SHINAN INDUSTRIAL AREA</t>
  </si>
  <si>
    <t>SHISHAN TOWN</t>
  </si>
  <si>
    <t>佛山</t>
  </si>
  <si>
    <t>CONG</t>
  </si>
  <si>
    <t>LONG STEEL TUBE SAMPLES FOR TESTING PURPOSES</t>
  </si>
  <si>
    <t>钢管4个(无牌规格:650MM无型号)货样</t>
  </si>
  <si>
    <t>508659185</t>
  </si>
  <si>
    <t>BYTORP S.R.O.</t>
  </si>
  <si>
    <t>VACLAVSKE NAMESTI 834/17</t>
  </si>
  <si>
    <t>110 00</t>
  </si>
  <si>
    <t>JAN JELINEK</t>
  </si>
  <si>
    <t>FENIXLIGHT L.T.D.</t>
  </si>
  <si>
    <t>DONGFANGMING INDUSTRIAL CENTER</t>
  </si>
  <si>
    <t>8/F, 2ND BUILDING</t>
  </si>
  <si>
    <t>CATHY LI</t>
  </si>
  <si>
    <t>PARTS OF LIGHTS FOR REPAIR</t>
  </si>
  <si>
    <t>LED头灯13个/手电筒18个/自行车灯7个/充电器1个/线控开关1个(均为Fenix牌无规格型号:AER-02)货样</t>
  </si>
  <si>
    <t>20191004000000</t>
  </si>
  <si>
    <t>着色料货样</t>
  </si>
  <si>
    <t>5070027</t>
  </si>
  <si>
    <t>20191010134750</t>
  </si>
  <si>
    <t>钢管货样</t>
  </si>
  <si>
    <t>1371868755</t>
  </si>
  <si>
    <t>8.613407111e+12</t>
  </si>
  <si>
    <t>401489115M0201</t>
  </si>
  <si>
    <t>401489115M0202</t>
  </si>
  <si>
    <t>20191006000000</t>
  </si>
  <si>
    <t>工业阀门货样</t>
  </si>
  <si>
    <t>110244</t>
  </si>
  <si>
    <t>1100</t>
  </si>
  <si>
    <t>474819199</t>
  </si>
  <si>
    <t>61377951</t>
  </si>
  <si>
    <t>20191010135358</t>
  </si>
  <si>
    <t>LED头灯货样</t>
  </si>
  <si>
    <t>-4.2077540961e+11</t>
  </si>
  <si>
    <t>-8952493</t>
  </si>
  <si>
    <t>20191010135722</t>
  </si>
  <si>
    <t>20191010140732</t>
  </si>
  <si>
    <t>148886834</t>
  </si>
  <si>
    <t>ZWO</t>
  </si>
  <si>
    <t>KGS DIAMOND HOLDING B.V.</t>
  </si>
  <si>
    <t>INDUSTRIESTRAAT 2</t>
  </si>
  <si>
    <t>ELBURG</t>
  </si>
  <si>
    <t>兹沃勒</t>
  </si>
  <si>
    <t>GELDERLAND</t>
  </si>
  <si>
    <t>8081 HG</t>
  </si>
  <si>
    <t>JOHAN DEKKER</t>
  </si>
  <si>
    <t>KGS DIAMOND CHINA CO. LTD</t>
  </si>
  <si>
    <t>G3 7TH FLOOR NAKIN TECHNOLOGY</t>
  </si>
  <si>
    <t>INDUSTRIAL PARK NO.39 RUIHE</t>
  </si>
  <si>
    <t>ROAD SCIENCE CITY</t>
  </si>
  <si>
    <t>WILSON GU</t>
  </si>
  <si>
    <t>KGS FLEXIS SHEET</t>
  </si>
  <si>
    <t>可互换工具17个(无牌无规格无型号)货样</t>
  </si>
  <si>
    <t>KGS FLEXIS SHEET货样</t>
  </si>
  <si>
    <t>20191010143505</t>
  </si>
  <si>
    <t>可互换工具货样</t>
  </si>
  <si>
    <t>20191010143536</t>
  </si>
  <si>
    <t>503175724</t>
  </si>
  <si>
    <t>1100271750172</t>
  </si>
  <si>
    <t>Dongyuan Liu</t>
  </si>
  <si>
    <t>M hringer Str.26 70199</t>
  </si>
  <si>
    <t>Stuttgart Deutschland DE</t>
  </si>
  <si>
    <t>STUTTGART</t>
  </si>
  <si>
    <t>Liu</t>
  </si>
  <si>
    <t>SHENZHEN FUDATONG ENTERPRISE C O.,LTD</t>
  </si>
  <si>
    <t>RM 11H . BAIHUI BLDG S. BLK ,</t>
  </si>
  <si>
    <t>NO 3019 , SUNGANG E. RD  , SUN</t>
  </si>
  <si>
    <t>GANG ST , LUOHU</t>
  </si>
  <si>
    <t>0755-25585177</t>
  </si>
  <si>
    <t>X_liu</t>
  </si>
  <si>
    <t>INDUSTRIAL CHAIR</t>
  </si>
  <si>
    <t>座椅4个货样</t>
  </si>
  <si>
    <t>9144030031198860XK</t>
  </si>
  <si>
    <t>座椅货样</t>
  </si>
  <si>
    <t>20191010144345</t>
  </si>
  <si>
    <t>145728556</t>
  </si>
  <si>
    <t>AMH TECHNOLOGIES SDN BHD</t>
  </si>
  <si>
    <t>NO.6A,JLN GAMBUS 33/4,TMN</t>
  </si>
  <si>
    <t>PERINDUSTRIAN ELITE,</t>
  </si>
  <si>
    <t>SHAH ALAM</t>
  </si>
  <si>
    <t>LIMYP</t>
  </si>
  <si>
    <t>GUANGXI TIANSHENG TECHNOLOGY CO., LTD</t>
  </si>
  <si>
    <t>ROOM B609, BLK B, BUILDING 31,</t>
  </si>
  <si>
    <t>KEDE HARDWARE ELECTRICAL CITY</t>
  </si>
  <si>
    <t>NO.170 DAXUE EAST ROAD,GUANGXI</t>
  </si>
  <si>
    <t>NANNING</t>
  </si>
  <si>
    <t>南宁</t>
  </si>
  <si>
    <t>0771-3293817</t>
  </si>
  <si>
    <t>MR.JIENAN PANG</t>
  </si>
  <si>
    <t>PNEUMATIC ACTUATED VALVE SET</t>
  </si>
  <si>
    <t>气动驱动阀1个(无牌无规格无型号)货样</t>
  </si>
  <si>
    <t>298055085</t>
  </si>
  <si>
    <t>FRT</t>
  </si>
  <si>
    <t>CONTINENTAL TRADING GMBH GUTSCHRIFTSVERFAHREN GEB.</t>
  </si>
  <si>
    <t>VDO-STR. 1</t>
  </si>
  <si>
    <t>BABENHAUSEN</t>
  </si>
  <si>
    <t>法兰克福</t>
  </si>
  <si>
    <t>OLIVER  KNOEPFEL</t>
  </si>
  <si>
    <t>FORYOU GENERAL ELECTRONICS CO., LTD</t>
  </si>
  <si>
    <t>NO. 6, SONGSHAN RD</t>
  </si>
  <si>
    <t>JACK LUO</t>
  </si>
  <si>
    <t>RADIO-BROADCAST RECEIVERS CAPABLE OF RECEIVING AND DECODI</t>
  </si>
  <si>
    <t>收音机3个(无牌无规格型号:TR7412UB-OR/CD7416U-OR/TR7412UB-OR)货样</t>
  </si>
  <si>
    <t>1100251721680</t>
  </si>
  <si>
    <t>SL4</t>
  </si>
  <si>
    <t>RELIANCE WORLDWIDE CORPORATION</t>
  </si>
  <si>
    <t>RWC (JOHN GUEST LTD.),LONGSHOT</t>
  </si>
  <si>
    <t>LANE,</t>
  </si>
  <si>
    <t>BRACKNELL</t>
  </si>
  <si>
    <t>斯劳</t>
  </si>
  <si>
    <t>BERKSHIRE</t>
  </si>
  <si>
    <t>RG12 1WB</t>
  </si>
  <si>
    <t>ANGELA YAN</t>
  </si>
  <si>
    <t>GUANGDONG COE LOGISTICS CO.,LT</t>
  </si>
  <si>
    <t>NO.120-121,B BLOCK,JIN YE XIN</t>
  </si>
  <si>
    <t>CUN,HUA YE ROAD,SOUTH DISTRICT</t>
  </si>
  <si>
    <t>,ZHONGSHAN</t>
  </si>
  <si>
    <t>ZHONGSHAN-ZHONGSHAN</t>
  </si>
  <si>
    <t>0755-83575000</t>
  </si>
  <si>
    <t>Vivi_Li</t>
  </si>
  <si>
    <t>6MM COLLET - BLACK</t>
  </si>
  <si>
    <t>塑胶粒31千克货样</t>
  </si>
  <si>
    <t>507374709</t>
  </si>
  <si>
    <t>1100271750101</t>
  </si>
  <si>
    <t>BESTSELLER BRANDE</t>
  </si>
  <si>
    <t>INDUSTRIVEJ 21A</t>
  </si>
  <si>
    <t>BRANDE</t>
  </si>
  <si>
    <t>ALICE SKOVLY PEDERSEN</t>
  </si>
  <si>
    <t>YIFENG SHOES MATERIAL CO.</t>
  </si>
  <si>
    <t>NO. 2, SHUNTONG INDU. PARK</t>
  </si>
  <si>
    <t>THE 4TH INDUSTRAL ZONE</t>
  </si>
  <si>
    <t>OF QIAOTOU</t>
  </si>
  <si>
    <t>MR. FANG / KENNETH WU</t>
  </si>
  <si>
    <t>SHOE</t>
  </si>
  <si>
    <t>涤纶女鞋2只(无牌无规格无型号)货样</t>
  </si>
  <si>
    <t>628092706</t>
  </si>
  <si>
    <t>BRIANZA EXPRESS SRL</t>
  </si>
  <si>
    <t>VIA PANZINI ALFREDO 8 10</t>
  </si>
  <si>
    <t>UFFICIO SPEDIZIONI</t>
  </si>
  <si>
    <t>CIRKET ELECTRONICS CO.,LTD</t>
  </si>
  <si>
    <t>ADD.:3F,BLOCK B1,HENGFENG</t>
  </si>
  <si>
    <t>IND.ZONE,HEZHOU,XIXIANG,BAOAN,</t>
  </si>
  <si>
    <t>....</t>
  </si>
  <si>
    <t>ELECTRONIC MICROCONTROLLER</t>
  </si>
  <si>
    <t>集成电路320个(MICROCHIP牌无规格型号:PIC24FJ64GB204-I/PT)货样</t>
  </si>
  <si>
    <t>323398622M0202</t>
  </si>
  <si>
    <t>323398622M0201</t>
  </si>
  <si>
    <t>20191010000000</t>
  </si>
  <si>
    <t>105832</t>
  </si>
  <si>
    <t>20191011133520</t>
  </si>
  <si>
    <t>气动驱动阀货样</t>
  </si>
  <si>
    <t>225051</t>
  </si>
  <si>
    <t>40000</t>
  </si>
  <si>
    <t>20191011133712</t>
  </si>
  <si>
    <t>收音机货样</t>
  </si>
  <si>
    <t>70290185</t>
  </si>
  <si>
    <t>64832</t>
  </si>
  <si>
    <t>8.6752261619e+11</t>
  </si>
  <si>
    <t>20191011133821</t>
  </si>
  <si>
    <t>487771</t>
  </si>
  <si>
    <t>6.5645644564e+15</t>
  </si>
  <si>
    <t>20191011134003</t>
  </si>
  <si>
    <t>20190927000000</t>
  </si>
  <si>
    <t>涤纶女鞋货样</t>
  </si>
  <si>
    <t>2018543</t>
  </si>
  <si>
    <t>7330</t>
  </si>
  <si>
    <t>-8.6158184112e+12</t>
  </si>
  <si>
    <t>20191011134043</t>
  </si>
  <si>
    <t>149289095</t>
  </si>
  <si>
    <t>AZI</t>
  </si>
  <si>
    <t>MULTITECH AUDIO VISUAL LLC</t>
  </si>
  <si>
    <t>AE</t>
  </si>
  <si>
    <t>阿拉伯联合酋长国</t>
  </si>
  <si>
    <t>104 A BLOCK</t>
  </si>
  <si>
    <t>AL SHAFAR BUILDING</t>
  </si>
  <si>
    <t>SHEIKH ZAYED ROAD</t>
  </si>
  <si>
    <t>杰贝尔阿里</t>
  </si>
  <si>
    <t>DUBAI</t>
  </si>
  <si>
    <t>SHAILESH SHARMA</t>
  </si>
  <si>
    <t>SHENZHEN LINSN LED CO., LTD</t>
  </si>
  <si>
    <t>BUILDING 11 SANLIAN</t>
  </si>
  <si>
    <t>INDUSTRIAL PARK</t>
  </si>
  <si>
    <t>BAO'AN DISTRICT</t>
  </si>
  <si>
    <t>BAO AN</t>
  </si>
  <si>
    <t>MR. LIU</t>
  </si>
  <si>
    <t>DEFECTIVE LED TILES-16 PCS</t>
  </si>
  <si>
    <t>LED模组16个(无牌无规格无型号)货样</t>
  </si>
  <si>
    <t>20191011145802</t>
  </si>
  <si>
    <t>20191008152243</t>
  </si>
  <si>
    <t>20191011152243</t>
  </si>
  <si>
    <t>COL</t>
  </si>
  <si>
    <t>CYKLOP GMBH</t>
  </si>
  <si>
    <t>INDUSTRIESTRA E133,RODENKIRCHE</t>
  </si>
  <si>
    <t>N,50996,COLOGN</t>
  </si>
  <si>
    <t>KOELN</t>
  </si>
  <si>
    <t>科隆</t>
  </si>
  <si>
    <t>BENDE,KATRIN</t>
  </si>
  <si>
    <t>ZHUHAI CYKLOP TECHNOLOGIES CO.</t>
  </si>
  <si>
    <t>AREA-A,1/F,BUILDING B,NO.16 OF</t>
  </si>
  <si>
    <t>JINHENG 2ND ROAD,JINDING,ZHUH</t>
  </si>
  <si>
    <t>AI</t>
  </si>
  <si>
    <t>1353-9585673</t>
  </si>
  <si>
    <t>zhangfeng_xu</t>
  </si>
  <si>
    <t>- OTHER PACKING OR WRAPPING MACHINERY (INCLUDING HEAT-SHR</t>
  </si>
  <si>
    <t>灌装机配件230千克货样</t>
  </si>
  <si>
    <t>91440400310540088L</t>
  </si>
  <si>
    <t>405415824</t>
  </si>
  <si>
    <t>1100251721690</t>
  </si>
  <si>
    <t>EAGLE GROUP COLTD</t>
  </si>
  <si>
    <t>NO.11, LN. 77, LONGFENG ST</t>
  </si>
  <si>
    <t>TAICHUNG,FENG YUAN</t>
  </si>
  <si>
    <t>Y  SUNG</t>
  </si>
  <si>
    <t>SHENZHEN XIECHENG INTERNATIONAL  FREIGHT FORWARDIN</t>
  </si>
  <si>
    <t>GROUND FLOOR, NO.11,</t>
  </si>
  <si>
    <t>5 HINGWAIWEST SHENZHEN BAOAN</t>
  </si>
  <si>
    <t>INTERNATIONAL AIRPORT</t>
  </si>
  <si>
    <t>MR. ZENG</t>
  </si>
  <si>
    <t>CALDIGIT TS3 PLUS THUDERBOLT STATION CABLE SPACE GRAY COL</t>
  </si>
  <si>
    <t>数据处理器配件118千克货样</t>
  </si>
  <si>
    <t>523651842</t>
  </si>
  <si>
    <t>54A</t>
  </si>
  <si>
    <t>INTERGES</t>
  </si>
  <si>
    <t>427 RUE LAVOISIER</t>
  </si>
  <si>
    <t>LUDRES</t>
  </si>
  <si>
    <t>索恩维尔</t>
  </si>
  <si>
    <t>HUGUES BOURGUELLE</t>
  </si>
  <si>
    <t>JINLUN METAL WARE CO LTD</t>
  </si>
  <si>
    <t>BAI JIN INDUSTRIAL ZONE</t>
  </si>
  <si>
    <t>BAI JIN ROAD BAI NI TOWN</t>
  </si>
  <si>
    <t>FOSHAN-SANSHUI</t>
  </si>
  <si>
    <t>三水</t>
  </si>
  <si>
    <t>BENJAMIN</t>
  </si>
  <si>
    <t>SCREWS</t>
  </si>
  <si>
    <t>沙发脚2个/铁制支架1个(无牌无规格无型号)货样</t>
  </si>
  <si>
    <t>20190927155111</t>
  </si>
  <si>
    <t>沙发脚货样</t>
  </si>
  <si>
    <t>8984187</t>
  </si>
  <si>
    <t>8.6139282087e+12</t>
  </si>
  <si>
    <t>20191012155111</t>
  </si>
  <si>
    <t>323392716M0201</t>
  </si>
  <si>
    <t>323392716M0202</t>
  </si>
  <si>
    <t>20191010155603</t>
  </si>
  <si>
    <t>灌装机配件货样</t>
  </si>
  <si>
    <t>3058503</t>
  </si>
  <si>
    <t>20191012155603</t>
  </si>
  <si>
    <t>20191011155838</t>
  </si>
  <si>
    <t>数据处理器配件货样</t>
  </si>
  <si>
    <t>546350</t>
  </si>
  <si>
    <t>13713799869</t>
  </si>
  <si>
    <t>20191012155838</t>
  </si>
  <si>
    <t>323188574</t>
  </si>
  <si>
    <t>QZR</t>
  </si>
  <si>
    <t>CENTURY ITALIA SRL</t>
  </si>
  <si>
    <t>STRADA TOR TRE PONTI 68</t>
  </si>
  <si>
    <t>LATINA</t>
  </si>
  <si>
    <t xml:space="preserve">阿普里利亚 </t>
  </si>
  <si>
    <t>LUCIA DE BLASIO</t>
  </si>
  <si>
    <t>FOSHAN EVERGREEN IMPORT &amp; EXPORT</t>
  </si>
  <si>
    <t>18/F, FOSHAN FAZHAN BLDG.</t>
  </si>
  <si>
    <t>HUAYUAN E RD.</t>
  </si>
  <si>
    <t>FOSHAN-CHANCHENG</t>
  </si>
  <si>
    <t>ANNA</t>
  </si>
  <si>
    <t>DEFECTIVE CEILING LAMPS 24W</t>
  </si>
  <si>
    <t>吊灯20个(无牌规格:24W型号:BCS-243530)货样</t>
  </si>
  <si>
    <t>20191008160520</t>
  </si>
  <si>
    <t>吊灯货样</t>
  </si>
  <si>
    <t>20191012160520</t>
  </si>
  <si>
    <t>507601136</t>
  </si>
  <si>
    <t>CPH</t>
  </si>
  <si>
    <t>SJOC RETAIL APS</t>
  </si>
  <si>
    <t>SPRINGSTRUP 31,</t>
  </si>
  <si>
    <t>HOLBAEK</t>
  </si>
  <si>
    <t>哥本哈根</t>
  </si>
  <si>
    <t>SOREN HENRIKSEN</t>
  </si>
  <si>
    <t>STRONG LUMEN OPTO CO. LTD</t>
  </si>
  <si>
    <t>BUILDING A LICHENG TECHNOLOGY</t>
  </si>
  <si>
    <t>INDUSTRIAL CENTER AREA</t>
  </si>
  <si>
    <t>XINHE ROAD</t>
  </si>
  <si>
    <t>EMILY</t>
  </si>
  <si>
    <t>SENSOR</t>
  </si>
  <si>
    <t>空气传感器1个/驱动器1个(无牌无规格无型号)货样</t>
  </si>
  <si>
    <t>20190928161946</t>
  </si>
  <si>
    <t>空气传感器货样</t>
  </si>
  <si>
    <t>20191017161946</t>
  </si>
  <si>
    <t>323635336</t>
  </si>
  <si>
    <t>1100251721734</t>
  </si>
  <si>
    <t>THINKWISE</t>
  </si>
  <si>
    <t>19 MILLENNIUM PARK DRIVE</t>
  </si>
  <si>
    <t>WHITTLESEA</t>
  </si>
  <si>
    <t>PHIL</t>
  </si>
  <si>
    <t>LED DOWNLIGHT</t>
  </si>
  <si>
    <t>LED筒灯5个(无牌/规格13W/型号RAPID 13)货样</t>
  </si>
  <si>
    <t>407786245</t>
  </si>
  <si>
    <t>1100251721714</t>
  </si>
  <si>
    <t>CY4</t>
  </si>
  <si>
    <t>NEUERA PACKAGING LTD</t>
  </si>
  <si>
    <t>KILBY COURT</t>
  </si>
  <si>
    <t>FLAT 27  GREENROOF WAY</t>
  </si>
  <si>
    <t>LONDON</t>
  </si>
  <si>
    <t>克罗伊登</t>
  </si>
  <si>
    <t>SE10 0PY</t>
  </si>
  <si>
    <t>ROBBIE  CRICHTON</t>
  </si>
  <si>
    <t>GUANGZHOU HONGJIN PACKING PRINTING CO LTD</t>
  </si>
  <si>
    <t>NO.22, TIANDINGGONGYEQU</t>
  </si>
  <si>
    <t>WENSHENGZHUANG,</t>
  </si>
  <si>
    <t>MR. CHEN CHI XING</t>
  </si>
  <si>
    <t>GIFT BOX SAMPLE</t>
  </si>
  <si>
    <t>纸盒1个(无牌无规格无型号)货样</t>
  </si>
  <si>
    <t>705106563</t>
  </si>
  <si>
    <t>1100251721670</t>
  </si>
  <si>
    <t>OU6</t>
  </si>
  <si>
    <t>ROBERTO VERINO DIFUSION, S.A</t>
  </si>
  <si>
    <t>PONTEVEDRA 2 PARQUE TECNOLOGIC</t>
  </si>
  <si>
    <t>PARQUE TECNOLOGICO</t>
  </si>
  <si>
    <t>奥伦塞</t>
  </si>
  <si>
    <t>OURENSE</t>
  </si>
  <si>
    <t>JULIO PRADA</t>
  </si>
  <si>
    <t>INNOKNIT GARMENT LTD.</t>
  </si>
  <si>
    <t>6, 3 RD STREET GAOLONG INDUSTR</t>
  </si>
  <si>
    <t>HUI ZHU LI AREA</t>
  </si>
  <si>
    <t>CHANG PING TOWN</t>
  </si>
  <si>
    <t>ANGEL DUANG</t>
  </si>
  <si>
    <t>METAL SAMPLE/MUESTRA DE METAL</t>
  </si>
  <si>
    <t>铁盖8个(无牌无规格无型号)货样</t>
  </si>
  <si>
    <t>20191015155039</t>
  </si>
  <si>
    <t>LED筒灯货样</t>
  </si>
  <si>
    <t>3757</t>
  </si>
  <si>
    <t>20191018155039</t>
  </si>
  <si>
    <t>20190928155204</t>
  </si>
  <si>
    <t>2017344</t>
  </si>
  <si>
    <t>4300</t>
  </si>
  <si>
    <t>-616358</t>
  </si>
  <si>
    <t>20191018155204</t>
  </si>
  <si>
    <t>20191013155234</t>
  </si>
  <si>
    <t>纸盒货样</t>
  </si>
  <si>
    <t>1595949</t>
  </si>
  <si>
    <t>-13926148957</t>
  </si>
  <si>
    <t>20191018155234</t>
  </si>
  <si>
    <t>20191009155302</t>
  </si>
  <si>
    <t>铁盖货样</t>
  </si>
  <si>
    <t>27389</t>
  </si>
  <si>
    <t>32900</t>
  </si>
  <si>
    <t>8.67698109e+12</t>
  </si>
  <si>
    <t>20191018155302</t>
  </si>
  <si>
    <t>687538924</t>
  </si>
  <si>
    <t>PSA</t>
  </si>
  <si>
    <t>CEVA AUTOMOTIVE LOG.ITALIA SRLTRAF.PIAGGIO</t>
  </si>
  <si>
    <t>VIA MASACCIO 7</t>
  </si>
  <si>
    <t>VICOPISANO</t>
  </si>
  <si>
    <t>比萨</t>
  </si>
  <si>
    <t>PI</t>
  </si>
  <si>
    <t>NICOLA SERAFIN</t>
  </si>
  <si>
    <t>佛山比亚乔机动车技术研发有限公司</t>
  </si>
  <si>
    <t>FO SHAN BI YA QIAO JI DONG CHE JI SHU YAN FA YOU XIAN GONG SI</t>
  </si>
  <si>
    <t>FIFTH FLOOR, C BUILDING, NO.13</t>
  </si>
  <si>
    <t>HUABAO SOUTH ROAD, CHANCHENG,</t>
  </si>
  <si>
    <t>0757-82581557</t>
  </si>
  <si>
    <t>jiaxin_liu</t>
  </si>
  <si>
    <t>MOTORCYCLE PARTS</t>
  </si>
  <si>
    <t>齿轮1个等品名详见清单(PIAGGIO牌/型号详见清单/无规格)(自扣)货样</t>
  </si>
  <si>
    <t>91440600586306321M</t>
  </si>
  <si>
    <t>1T6677</t>
  </si>
  <si>
    <t>20191011154313</t>
  </si>
  <si>
    <t>齿轮货样</t>
  </si>
  <si>
    <t>20191021154313</t>
  </si>
  <si>
    <t>117353628</t>
  </si>
  <si>
    <t>1100251721744</t>
  </si>
  <si>
    <t>ATH</t>
  </si>
  <si>
    <t>VIMKA EPE</t>
  </si>
  <si>
    <t>NEOKTISTA DIILISTIRION</t>
  </si>
  <si>
    <t>ASPROPIRGOS</t>
  </si>
  <si>
    <t>雅典</t>
  </si>
  <si>
    <t>ATTIKIS</t>
  </si>
  <si>
    <t>193 00</t>
  </si>
  <si>
    <t>STELLA GKINI</t>
  </si>
  <si>
    <t>NTT MOULD CO</t>
  </si>
  <si>
    <t>BLOCK A1 XINGFU LANTIAN</t>
  </si>
  <si>
    <t>TECHNOLOGY ZONE ,TANGXIA YONG</t>
  </si>
  <si>
    <t>SONG GANG TOWN</t>
  </si>
  <si>
    <t>PLASTIC ITEM</t>
  </si>
  <si>
    <t>塑胶袋6个(无牌无规格无型号)货样</t>
  </si>
  <si>
    <t>276889335</t>
  </si>
  <si>
    <t>1100251721774</t>
  </si>
  <si>
    <t>ALC</t>
  </si>
  <si>
    <t>WORLD BAGS SA</t>
  </si>
  <si>
    <t>JAIME N 68</t>
  </si>
  <si>
    <t>PEDREGUER</t>
  </si>
  <si>
    <t>阿利坎特</t>
  </si>
  <si>
    <t>ALICANTE</t>
  </si>
  <si>
    <t>VICENTE SIMO</t>
  </si>
  <si>
    <t>GUANGZHOU BINBO LEATHER CO .</t>
  </si>
  <si>
    <t>3 FLOOR BUILDING 1  CHANGXIONG</t>
  </si>
  <si>
    <t>SHAN STREET XIONG SHIZHONG ROA</t>
  </si>
  <si>
    <t>D SHILLING TOWN HUADU DISTRICT</t>
  </si>
  <si>
    <t>GUANGZHOU-HUADU</t>
  </si>
  <si>
    <t>FLOWER ZHONG</t>
  </si>
  <si>
    <t>BAGS/BOLSAS</t>
  </si>
  <si>
    <t>PU袋4个(无牌无规格无型号)货样</t>
  </si>
  <si>
    <t>Q133EYV</t>
  </si>
  <si>
    <t>407736232</t>
  </si>
  <si>
    <t>GLA</t>
  </si>
  <si>
    <t>Int l Packaging Corp (UK) Ltd</t>
  </si>
  <si>
    <t>14 Redbrae</t>
  </si>
  <si>
    <t>MAYBOLE</t>
  </si>
  <si>
    <t>苏格兰佩斯利</t>
  </si>
  <si>
    <t>AYRSHIRE</t>
  </si>
  <si>
    <t>KA19 7HJ</t>
  </si>
  <si>
    <t>MAUREEN  CRAIG</t>
  </si>
  <si>
    <t>NATURALPAK IND CO LTD</t>
  </si>
  <si>
    <t>NO. 2 BAOHEXU VILLAGE</t>
  </si>
  <si>
    <t>XINTANG DISTRICT   HOUJIE TOWN</t>
  </si>
  <si>
    <t>DONG GUAN CITY</t>
  </si>
  <si>
    <t>IRIS QIN</t>
  </si>
  <si>
    <t>SAMPLE PRESENTATION CASE</t>
  </si>
  <si>
    <t>574624174</t>
  </si>
  <si>
    <t>DELUXWOOD PTY LTD</t>
  </si>
  <si>
    <t>3/23 ROWOOD ROAD</t>
  </si>
  <si>
    <t>PROSPECT</t>
  </si>
  <si>
    <t>JOANNA CHEN</t>
  </si>
  <si>
    <t>EASTER PREMIUM</t>
  </si>
  <si>
    <t>13F, RM1306-1308 GARWIN ERA,</t>
  </si>
  <si>
    <t>NO.13 DONGGUAN AVE, DONGCHENG</t>
  </si>
  <si>
    <t>DIST</t>
  </si>
  <si>
    <t>EDDY WANG</t>
  </si>
  <si>
    <t>ROLLER FABRIC SAMPLE + ROLLER BRACKET SAMPLE</t>
  </si>
  <si>
    <t>棉布1卷/塑胶支架1个(无牌无规格无型号)货样</t>
  </si>
  <si>
    <t>20191016153103</t>
  </si>
  <si>
    <t>塑胶袋货样</t>
  </si>
  <si>
    <t>20191022153103</t>
  </si>
  <si>
    <t>20191019153230</t>
  </si>
  <si>
    <t>PU袋货样</t>
  </si>
  <si>
    <t>3750</t>
  </si>
  <si>
    <t>20191022153230</t>
  </si>
  <si>
    <t>20191013153340</t>
  </si>
  <si>
    <t>20191022153340</t>
  </si>
  <si>
    <t>棉布货样</t>
  </si>
  <si>
    <t>2148</t>
  </si>
  <si>
    <t>828760017</t>
  </si>
  <si>
    <t>BH8</t>
  </si>
  <si>
    <t>SUN PHARMACEUTICAL INDUSTRIES LTD</t>
  </si>
  <si>
    <t>SUN HOUSE CTS  201 B1</t>
  </si>
  <si>
    <t>W.ERN EXP HWY GOREGAON (E),OPP</t>
  </si>
  <si>
    <t>MUMBAI</t>
  </si>
  <si>
    <t>安德里</t>
  </si>
  <si>
    <t>MAHARASHTRA</t>
  </si>
  <si>
    <t>ZHEJPANG JENGXIN PHARMA CO LTD</t>
  </si>
  <si>
    <t>NO 800 XINGCHANG EAST ROAD</t>
  </si>
  <si>
    <t>YULIN SUBESTRICA XINCHAN COUNT</t>
  </si>
  <si>
    <t>RY</t>
  </si>
  <si>
    <t>YULIN</t>
  </si>
  <si>
    <t>玉林</t>
  </si>
  <si>
    <t>HANNA</t>
  </si>
  <si>
    <t>AMISULPRIDE PH EUR MICRONISED 0.600 QTY KG</t>
  </si>
  <si>
    <t>化工品:阿米舒必利0.9千克货样(已邮件/hanna@jingxinpharm.com客户已回邮件但疑似粉末/对接人去开会/暂扣待确认)货样</t>
  </si>
  <si>
    <t>B4760842</t>
  </si>
  <si>
    <t>410608715</t>
  </si>
  <si>
    <t>1100251721784</t>
  </si>
  <si>
    <t>KYA</t>
  </si>
  <si>
    <t>KONEKS PISTON GOMLEK IMAL.SAN.VE.TIC.A.S.</t>
  </si>
  <si>
    <t>TR</t>
  </si>
  <si>
    <t>土耳其</t>
  </si>
  <si>
    <t>3.ORGANIZE SAN.BOLGESI</t>
  </si>
  <si>
    <t>T.ZIYAEDDIN CAD. NO: 5</t>
  </si>
  <si>
    <t>SELCUKLU/ KONYA</t>
  </si>
  <si>
    <t>SELCUKLU</t>
  </si>
  <si>
    <t>科尼亚</t>
  </si>
  <si>
    <t>KONYA</t>
  </si>
  <si>
    <t>EMIR  BEY</t>
  </si>
  <si>
    <t>WELLFAR ENGINE PARTS CO,. LTD</t>
  </si>
  <si>
    <t>906, NORTH TOWER, THE HUB.NO.</t>
  </si>
  <si>
    <t>1068,X N GANG EAST ROAD,HAIZHU</t>
  </si>
  <si>
    <t>DISTRICT GUANZHOU CITY,</t>
  </si>
  <si>
    <t>0086-18126820749</t>
  </si>
  <si>
    <t>SUSIE SU</t>
  </si>
  <si>
    <t>LINER</t>
  </si>
  <si>
    <t>汽车配件4千克货样(暂扣/待回复/18126820749 ms su,/export10@wellfar.biz)货样</t>
  </si>
  <si>
    <t>20191011161614</t>
  </si>
  <si>
    <t>化工品:阿米舒必利货样</t>
  </si>
  <si>
    <t>8.6575860916e+12</t>
  </si>
  <si>
    <t>20191022161614</t>
  </si>
  <si>
    <t>20191020161655</t>
  </si>
  <si>
    <t>20191022161655</t>
  </si>
  <si>
    <t>152699387</t>
  </si>
  <si>
    <t>DSV (MHC - QUAL &amp; ADM)</t>
  </si>
  <si>
    <t>PARC INDUSTRIEL</t>
  </si>
  <si>
    <t>CHAUSSEE ROMAINE  167</t>
  </si>
  <si>
    <t>WAREMME</t>
  </si>
  <si>
    <t>ANNEMIE ORY</t>
  </si>
  <si>
    <t>COPIOUS INTERNATIONAL INC</t>
  </si>
  <si>
    <t>WEI 11 ROAD, HUADA STREET</t>
  </si>
  <si>
    <t>NEW CITY</t>
  </si>
  <si>
    <t>HEYUAN-YUANCHENG</t>
  </si>
  <si>
    <t>河源</t>
  </si>
  <si>
    <t>LUNA</t>
  </si>
  <si>
    <t>HATS &amp; HEADGEAR</t>
  </si>
  <si>
    <t>棉帽1个(无牌无规格无型号)货样</t>
  </si>
  <si>
    <t>410634556</t>
  </si>
  <si>
    <t>ZRH</t>
  </si>
  <si>
    <t>LIMEC SOLUTION GMBH</t>
  </si>
  <si>
    <t>FIRSTSTRASSE 15</t>
  </si>
  <si>
    <t>FEUSISBERG</t>
  </si>
  <si>
    <t>苏黎世</t>
  </si>
  <si>
    <t>SCHWYZ</t>
  </si>
  <si>
    <t>ESEF  JAKUPOVIC</t>
  </si>
  <si>
    <t>SHENZHEN TUOFA TECHNOLOGY CO., LTD.</t>
  </si>
  <si>
    <t>1/F, NO. 143, BUXIN ROAD</t>
  </si>
  <si>
    <t>GUANLAN LONGHUA NEW DISTRICT</t>
  </si>
  <si>
    <t>CHEN FANCY</t>
  </si>
  <si>
    <t>PCS EN PLASTIQUES</t>
  </si>
  <si>
    <t>塑料条1个(无牌无规格无型号)货样</t>
  </si>
  <si>
    <t>761100655</t>
  </si>
  <si>
    <t>EMISFERO EXPRESS SRL UNIPERSONALE</t>
  </si>
  <si>
    <t>viA CIRCONVALLAZIONE OVEST 35</t>
  </si>
  <si>
    <t>ASCOLI PICENO</t>
  </si>
  <si>
    <t>EMISFERO EXPRESS SRL A</t>
  </si>
  <si>
    <t>BAY AREA COMPLIANCE LABS CORP</t>
  </si>
  <si>
    <t>69 PULONGCUN PUXINHU INDUSTRIA</t>
  </si>
  <si>
    <t>PUXINHU INDUSTRIAL ZONE</t>
  </si>
  <si>
    <t>SERENA CHENG</t>
  </si>
  <si>
    <t>EVA SAMPLE - FINPROJECT</t>
  </si>
  <si>
    <t>塑胶板0.16千克(无牌无规格无型号)货样</t>
  </si>
  <si>
    <t>20191019161044</t>
  </si>
  <si>
    <t>棉帽货样</t>
  </si>
  <si>
    <t>20191023161044</t>
  </si>
  <si>
    <t>20191020161121</t>
  </si>
  <si>
    <t>塑料条货样</t>
  </si>
  <si>
    <t>20191023161121</t>
  </si>
  <si>
    <t>20191016161309</t>
  </si>
  <si>
    <t>塑胶板货样</t>
  </si>
  <si>
    <t>20191023161309</t>
  </si>
  <si>
    <t>761838830</t>
  </si>
  <si>
    <t>MOKO TECHNOLOGY</t>
  </si>
  <si>
    <t>4F, BLD2, GUANGHUI TECHNOLOGY</t>
  </si>
  <si>
    <t>PARK, MINGQING RD, LONGHUA,</t>
  </si>
  <si>
    <t>...</t>
  </si>
  <si>
    <t>LED DIODES</t>
  </si>
  <si>
    <t>二极管13000个货样</t>
  </si>
  <si>
    <t>511477903</t>
  </si>
  <si>
    <t>ZENITH INTERNATIONAL TRADING LTD</t>
  </si>
  <si>
    <t>UNIT C10 HORTONWOOD 10, HORTON</t>
  </si>
  <si>
    <t>TELFORD</t>
  </si>
  <si>
    <t>SHROPSHIRE</t>
  </si>
  <si>
    <t>TF1 7ES</t>
  </si>
  <si>
    <t>ALICE CHANG</t>
  </si>
  <si>
    <t>JIANGMEN JIALAM COMPANY LTD</t>
  </si>
  <si>
    <t>NO.209, 72, SHUANGLONG ROAD</t>
  </si>
  <si>
    <t>PENGJIANG DISTRICT</t>
  </si>
  <si>
    <t>JIANGMEN-JIANGHAI</t>
  </si>
  <si>
    <t>CHERRY MA</t>
  </si>
  <si>
    <t>WICKER OVAL BASKET SAMPLE</t>
  </si>
  <si>
    <t>柳条编制篮筐3个(无牌无规格无型号)货样</t>
  </si>
  <si>
    <t>251370297</t>
  </si>
  <si>
    <t>MAGFINE CORPORATION</t>
  </si>
  <si>
    <t>111-10 MONIWA HITOKITANISHI</t>
  </si>
  <si>
    <t>TAIHAKU-KU.SENDAI</t>
  </si>
  <si>
    <t>MIYAGI</t>
  </si>
  <si>
    <t>RYUICHI NAGAOKA</t>
  </si>
  <si>
    <t>DONGGUAN QUNZHI TECHNOLOGY CO.,LTD.</t>
  </si>
  <si>
    <t>RM301 UNIT1, NO21 DAPU RD,</t>
  </si>
  <si>
    <t>HUAIDE, HUMEN CITY, DONGGUAN,</t>
  </si>
  <si>
    <t>GUANGDONG, CHINA</t>
  </si>
  <si>
    <t>ZHANG XUEPING</t>
  </si>
  <si>
    <t>TDA-100 (EPOXY HARDENER)</t>
  </si>
  <si>
    <t>环氧固化剂11.35千克(无牌/规格1千克/型号TDA-100)货样</t>
  </si>
  <si>
    <t>NISSAN INTERNATIONAL SA</t>
  </si>
  <si>
    <t>A-ONE BUSIN CENT, ROUTE ETRAZ</t>
  </si>
  <si>
    <t>ZA VERS LA PIECE-BATIMENT B2</t>
  </si>
  <si>
    <t>ROLLE</t>
  </si>
  <si>
    <t>IVAN BREKHOV</t>
  </si>
  <si>
    <t>四维尔丸井(广州)汽车零部件有限公司</t>
  </si>
  <si>
    <t>SI WEI ER WAN GUANG ZHOU QI CHE LING BU JIAN YOU XIAN GONG SI</t>
  </si>
  <si>
    <t>15 JUN GONG ROAD</t>
  </si>
  <si>
    <t>EAST ZONE</t>
  </si>
  <si>
    <t>FENG MAO</t>
  </si>
  <si>
    <t>LABELS</t>
  </si>
  <si>
    <t>汽车X-TRAIL标牌1个(汽车装饰件/材质:ABS塑料件/无牌/848954CMOA型/无规格)(自扣)货样</t>
  </si>
  <si>
    <t>772789763</t>
  </si>
  <si>
    <t>MOW</t>
  </si>
  <si>
    <t>OOO  TRANSWAY</t>
  </si>
  <si>
    <t>MARSHALA MALINOVSKOGO STR., 6,</t>
  </si>
  <si>
    <t>OFFICE 3</t>
  </si>
  <si>
    <t>深圳市维和泰进出口有限公司</t>
  </si>
  <si>
    <t>SHEN ZHEN SHI WEI HE TAI JIN CHU KOU YOU XIAN GONG SI</t>
  </si>
  <si>
    <t>RM B1113 NIULANGIA BUILDING</t>
  </si>
  <si>
    <t>MINZHI ROAD LONGHUA BAOAN DIST</t>
  </si>
  <si>
    <t>BERRY BAI</t>
  </si>
  <si>
    <t>内存条44个(用于装在笔记本内增加内存/材质:PCB+芯片/Samsung牌/型号:笔记本DDR4 16GB/规格:2048M*8/8C)(自扣)货样</t>
  </si>
  <si>
    <t>1100251721764</t>
  </si>
  <si>
    <t>20191020153235</t>
  </si>
  <si>
    <t>环氧固化剂货样</t>
  </si>
  <si>
    <t>9820251</t>
  </si>
  <si>
    <t>20191024153235</t>
  </si>
  <si>
    <t>柳条编制篮筐货样</t>
  </si>
  <si>
    <t>20191020153433</t>
  </si>
  <si>
    <t>二极管货样</t>
  </si>
  <si>
    <t>20191024153433</t>
  </si>
  <si>
    <t>20191022153541</t>
  </si>
  <si>
    <t>汽车X-TRAIL标牌货样</t>
  </si>
  <si>
    <t>245883289</t>
  </si>
  <si>
    <t>1180</t>
  </si>
  <si>
    <t>20191024153541</t>
  </si>
  <si>
    <t>20191019153640</t>
  </si>
  <si>
    <t>内存条货样</t>
  </si>
  <si>
    <t>123298</t>
  </si>
  <si>
    <t>20191024153640</t>
  </si>
  <si>
    <t>507818861</t>
  </si>
  <si>
    <t>1100251721412</t>
  </si>
  <si>
    <t>MONTANA MOBLER A/S</t>
  </si>
  <si>
    <t>AKKERUPVEJ 16</t>
  </si>
  <si>
    <t>HOJSLEV</t>
  </si>
  <si>
    <t>REN_x001A__x001A_ CHRISTENSEN</t>
  </si>
  <si>
    <t>CHENGDU HUI CHENGDU</t>
  </si>
  <si>
    <t>ROOM 909#360 TIANHUI ROAD</t>
  </si>
  <si>
    <t>CHENGDU-WUHOU</t>
  </si>
  <si>
    <t>TOTY</t>
  </si>
  <si>
    <t>FURNITURE</t>
  </si>
  <si>
    <t>家具38千克货样(015928751685无人接听/暂扣待核实货物信息)货样</t>
  </si>
  <si>
    <t>CHENGDU-CHENGHUA</t>
  </si>
  <si>
    <t>家具38千克货样(18123321370MS ZOU电话关机/暂扣待确认货物信息)货样</t>
  </si>
  <si>
    <t>20191004160158</t>
  </si>
  <si>
    <t>家具货样</t>
  </si>
  <si>
    <t>20191024160158</t>
  </si>
  <si>
    <t>20191023160823</t>
  </si>
  <si>
    <t>20191024160823</t>
  </si>
  <si>
    <t>323940282</t>
  </si>
  <si>
    <t>LED灯9个/LED灯用调光器21个(Merten牌/Jung 牌/Schneider牌/ ABB牌/MGL/无牌无规格无型号)货样</t>
  </si>
  <si>
    <t>Lichtfaszination</t>
  </si>
  <si>
    <t>Hohwiesenweg 23</t>
  </si>
  <si>
    <t>KOENIGSBACH-STEIN</t>
  </si>
  <si>
    <t>VOLLMER</t>
  </si>
  <si>
    <t>UP-SHINE LIGHTING CO.,LIMITED</t>
  </si>
  <si>
    <t>2-5 FLR,2ND BLDG,RUNHENG INDL</t>
  </si>
  <si>
    <t>ZONE,(FUYUAN 1ST ROAD WESR SID</t>
  </si>
  <si>
    <t>E)FUYONG SUB-DIST,BAO`AN</t>
  </si>
  <si>
    <t>LIGHTS</t>
  </si>
  <si>
    <t>404555944</t>
  </si>
  <si>
    <t>家具用喷粉20千克(无牌无规格无型号)货样</t>
  </si>
  <si>
    <t>H lsta Werke GmbH &amp; Co. KG</t>
  </si>
  <si>
    <t>Karl-H ls-Str. 1</t>
  </si>
  <si>
    <t>STADTLOHN</t>
  </si>
  <si>
    <t>JOSEF ARENDS</t>
  </si>
  <si>
    <t>A.E.D. ASIAN EXPORTS DEVELOPMENT LTD.</t>
  </si>
  <si>
    <t>200 HONGFU ROAD, RM.D1301-1302</t>
  </si>
  <si>
    <t>CENTRAL WEALTH BUILDING TOWER</t>
  </si>
  <si>
    <t>NANCHENG AREA</t>
  </si>
  <si>
    <t>NANCHENG</t>
  </si>
  <si>
    <t>南城</t>
  </si>
  <si>
    <t>JIANGXI</t>
  </si>
  <si>
    <t>VIVIAN LEE</t>
  </si>
  <si>
    <t>POWDERPAINT</t>
  </si>
  <si>
    <t>P111022</t>
  </si>
  <si>
    <t>238047261</t>
  </si>
  <si>
    <t>LED灯2个(无牌无规格无型号)货样</t>
  </si>
  <si>
    <t>NW1</t>
  </si>
  <si>
    <t>GLAMOX AS AVD PRODUKSJON KIRKEN R</t>
  </si>
  <si>
    <t>INDUSTRIVEGEN 1</t>
  </si>
  <si>
    <t>KIRKEN R</t>
  </si>
  <si>
    <t>..... .....</t>
  </si>
  <si>
    <t>深圳市英利德科技有限公司</t>
  </si>
  <si>
    <t>SHENZHEN INTELLI TECHNOLOGY COMPANY.,LTD</t>
  </si>
  <si>
    <t>RM702A F7 GUANGRONG BUILDING M</t>
  </si>
  <si>
    <t>EIHUA RD</t>
  </si>
  <si>
    <t>SHENZHEN-FUTIAN</t>
  </si>
  <si>
    <t>0755-83107015</t>
  </si>
  <si>
    <t>jinxian_chen</t>
  </si>
  <si>
    <t>MAX W110 WH, LIGHTS</t>
  </si>
  <si>
    <t>化纤制女式毛衣50件(已剪破/薄款/无牌无规格无型号)/女装针织布片50个(无牌无规格无型号)货样</t>
  </si>
  <si>
    <t>MDA</t>
  </si>
  <si>
    <t>ERREPI SRL</t>
  </si>
  <si>
    <t>VIA DEL COMMERCIO 14</t>
  </si>
  <si>
    <t>CARPI</t>
  </si>
  <si>
    <t>摩德纳</t>
  </si>
  <si>
    <t>MO</t>
  </si>
  <si>
    <t>ENRICA LODI</t>
  </si>
  <si>
    <t>RIXIN KNITTING FACTORY</t>
  </si>
  <si>
    <t>N. 2 CHUANGYE ROAD, DONGKENG</t>
  </si>
  <si>
    <t>VILLAGE, DONGKENG TOWN</t>
  </si>
  <si>
    <t>PAOLO LEE</t>
  </si>
  <si>
    <t>LADIES BROKEN KNITTED</t>
  </si>
  <si>
    <t>20191011222317</t>
  </si>
  <si>
    <t>POWDERPAINT货样</t>
  </si>
  <si>
    <t>344700</t>
  </si>
  <si>
    <t>-8.6769390082e+14</t>
  </si>
  <si>
    <t>20191024222317</t>
  </si>
  <si>
    <t>762086045</t>
  </si>
  <si>
    <t>20191011222407</t>
  </si>
  <si>
    <t>家具用喷粉货样</t>
  </si>
  <si>
    <t>20191024222407</t>
  </si>
  <si>
    <t>20191013222535</t>
  </si>
  <si>
    <t>3094321</t>
  </si>
  <si>
    <t>9.144030079e+17</t>
  </si>
  <si>
    <t>20191024222535</t>
  </si>
  <si>
    <t>20191018222632</t>
  </si>
  <si>
    <t>化纤制女式毛衣货样</t>
  </si>
  <si>
    <t>13926802209</t>
  </si>
  <si>
    <t>20191024222632</t>
  </si>
  <si>
    <t>20191023222859</t>
  </si>
  <si>
    <t>20191024222859</t>
  </si>
  <si>
    <t>400391331</t>
  </si>
  <si>
    <t>DKK</t>
  </si>
  <si>
    <t>ACCESS+ BUSINESS INCUBATION APS</t>
  </si>
  <si>
    <t>G NGEHUSVEJ 274</t>
  </si>
  <si>
    <t>HORSHOLM</t>
  </si>
  <si>
    <t>MICHAEL H JORGENSEN</t>
  </si>
  <si>
    <t>IKEA GUIYANG CO., LTD</t>
  </si>
  <si>
    <t>IKEA GUIYANG STORE,</t>
  </si>
  <si>
    <t>NO.2 JINQING AVENUE,</t>
  </si>
  <si>
    <t>YUNYAN DIS,</t>
  </si>
  <si>
    <t>GUIYANG</t>
  </si>
  <si>
    <t>贵阳</t>
  </si>
  <si>
    <t>JESSIE WANG</t>
  </si>
  <si>
    <t>PROBE</t>
  </si>
  <si>
    <t>分析仪配件2个货样(9月29日报关员已录舱单/香港确认货物还在香港仓库/货到正常再次做舱单)货样</t>
  </si>
  <si>
    <t>404484220</t>
  </si>
  <si>
    <t>TSA</t>
  </si>
  <si>
    <t>GRACE HAOZAN APPLIED MATERIAL CO.,LTD.</t>
  </si>
  <si>
    <t>9F-5,NO.22</t>
  </si>
  <si>
    <t>NAN JING W. RD. TAIPEI CITY</t>
  </si>
  <si>
    <t>TAIPEI,TA TUNG</t>
  </si>
  <si>
    <t>RITA  CHEN</t>
  </si>
  <si>
    <t>TXC (CKG) CORPORATION</t>
  </si>
  <si>
    <t>NO.22 FUNG SHENG RD.,</t>
  </si>
  <si>
    <t>JIULONGPO DISTRICT, CHUNGKING,</t>
  </si>
  <si>
    <t>CHINA</t>
  </si>
  <si>
    <t>CHONGQING-JIULONGPO</t>
  </si>
  <si>
    <t>86-023-61511888</t>
  </si>
  <si>
    <t>CHUN LUO</t>
  </si>
  <si>
    <t>GREEN SILICON CARBIDE</t>
  </si>
  <si>
    <t>碳化硅8千克(豪灿牌无规格型号GC#2000砂)货样</t>
  </si>
  <si>
    <t>500174915</t>
  </si>
  <si>
    <t>BAK</t>
  </si>
  <si>
    <t>GARAYEV EMIL</t>
  </si>
  <si>
    <t>AZ</t>
  </si>
  <si>
    <t>阿塞拜疆</t>
  </si>
  <si>
    <t>SABUNCHU DIS.,BAKIKHANOV SET.</t>
  </si>
  <si>
    <t>GAMBAROV STR.BLD.22 APT.11</t>
  </si>
  <si>
    <t>BAKU</t>
  </si>
  <si>
    <t>巴库</t>
  </si>
  <si>
    <t>AZ-1040</t>
  </si>
  <si>
    <t>深圳梅塞德斯科技有限公司</t>
  </si>
  <si>
    <t>ARIEL HUANG</t>
  </si>
  <si>
    <t>4TH FLOOR,D BLD.GONGCHUANGGING</t>
  </si>
  <si>
    <t>INDUSTRIAL PARK,BAODAN ROAD N8</t>
  </si>
  <si>
    <t>DANZHUTOU,MANWAN STR.LONGGANG</t>
  </si>
  <si>
    <t>PRINTER</t>
  </si>
  <si>
    <t>打印机1台(MCR牌无规格型号REALPOS7199)货样</t>
  </si>
  <si>
    <t>20191006155308</t>
  </si>
  <si>
    <t>分析仪配件货样</t>
  </si>
  <si>
    <t>2009016</t>
  </si>
  <si>
    <t>2970</t>
  </si>
  <si>
    <t>-4526749791</t>
  </si>
  <si>
    <t>20191025155308</t>
  </si>
  <si>
    <t>20191009155417</t>
  </si>
  <si>
    <t>碳化硅货样</t>
  </si>
  <si>
    <t>535111</t>
  </si>
  <si>
    <t>10352</t>
  </si>
  <si>
    <t>20191025155417</t>
  </si>
  <si>
    <t>20191018155518</t>
  </si>
  <si>
    <t>打印机货样</t>
  </si>
  <si>
    <t>8.6137256707e+12</t>
  </si>
  <si>
    <t>20191025155518</t>
  </si>
  <si>
    <t>we'w</t>
  </si>
  <si>
    <t>20191006160019</t>
  </si>
  <si>
    <t>20191025160019</t>
  </si>
  <si>
    <t>20191006160826</t>
  </si>
  <si>
    <t>20191025160826</t>
  </si>
  <si>
    <t>探针1千克货样</t>
  </si>
  <si>
    <t>20190929173806</t>
  </si>
  <si>
    <t>探针货样</t>
  </si>
  <si>
    <t>20191025173806</t>
  </si>
  <si>
    <t>838784494</t>
  </si>
  <si>
    <t>1100251721442</t>
  </si>
  <si>
    <t>LTA</t>
  </si>
  <si>
    <t>ZUMTOBEL LIGHTING GMBH</t>
  </si>
  <si>
    <t>AT</t>
  </si>
  <si>
    <t>奥地利</t>
  </si>
  <si>
    <t>SCHWEIZERSTRASSE 30</t>
  </si>
  <si>
    <t>DORNBIRN</t>
  </si>
  <si>
    <t>伦瑟斯顿</t>
  </si>
  <si>
    <t>GORAN DJURASIC</t>
  </si>
  <si>
    <t>THORN LIGHTING (GUANGZHOU) LIMITED</t>
  </si>
  <si>
    <t>TO QUEENIE HUANG</t>
  </si>
  <si>
    <t>QUEENIE HUANG</t>
  </si>
  <si>
    <t>GTLED 24L70 741</t>
  </si>
  <si>
    <t>LED隧道灯1个(THORN牌无规格型号GTLED24L70741S/S1.5M)货样</t>
  </si>
  <si>
    <t>F257DDZ</t>
  </si>
  <si>
    <t>20191026160047</t>
  </si>
  <si>
    <t>LED隧道灯货样</t>
  </si>
  <si>
    <t>20191028160047</t>
  </si>
  <si>
    <t>20191026160155</t>
  </si>
  <si>
    <t>20191028160155</t>
  </si>
  <si>
    <t>413217000</t>
  </si>
  <si>
    <t>1100251721422</t>
  </si>
  <si>
    <t>PIXEL TECHNOLOGIES PTY LTD</t>
  </si>
  <si>
    <t>10 REEVES ST</t>
  </si>
  <si>
    <t>CLIFTON HILL</t>
  </si>
  <si>
    <t>RICARDO</t>
  </si>
  <si>
    <t>DONGGUAN QUANLIN ELECTRONICS CO. LTD</t>
  </si>
  <si>
    <t>NO. 5 HETANGANG INDUSTRY PARK</t>
  </si>
  <si>
    <t>BEICE COMMUNITY, HUMEN TOWN</t>
  </si>
  <si>
    <t>CRYSTAL WANG</t>
  </si>
  <si>
    <t>GROMMETS SAMPLES SET</t>
  </si>
  <si>
    <t>铁圈3950个(无牌无规格无型号)货样</t>
  </si>
  <si>
    <t>20191026161703</t>
  </si>
  <si>
    <t>20191028161703</t>
  </si>
  <si>
    <t>20191024161822</t>
  </si>
  <si>
    <t>铁圈货样</t>
  </si>
  <si>
    <t>20191028161822</t>
  </si>
  <si>
    <t>406517716</t>
  </si>
  <si>
    <t>SWH</t>
  </si>
  <si>
    <t>ULTRA AUTO AUSTRALIA</t>
  </si>
  <si>
    <t>3 WESTBROOK ROAD</t>
  </si>
  <si>
    <t>SWAN HILL</t>
  </si>
  <si>
    <t>斯旺希尔</t>
  </si>
  <si>
    <t>MARK GRANT</t>
  </si>
  <si>
    <t>SMART MOULD TECH</t>
  </si>
  <si>
    <t>RM 3601, A BUILDING, SHENFANG</t>
  </si>
  <si>
    <t>PLAZA</t>
  </si>
  <si>
    <t>LUOHU DISTRICT</t>
  </si>
  <si>
    <t>0086-18823775397</t>
  </si>
  <si>
    <t>LILY XIE</t>
  </si>
  <si>
    <t>照明灯具6个(无牌无规格无型号)货样</t>
  </si>
  <si>
    <t>409291352</t>
  </si>
  <si>
    <t>1100251721754</t>
  </si>
  <si>
    <t>ALS SCANDINAVIA AB</t>
  </si>
  <si>
    <t>RINKEBYV GEN 19C</t>
  </si>
  <si>
    <t>DANDERYD</t>
  </si>
  <si>
    <t>182 36</t>
  </si>
  <si>
    <t>MIRTHA  TAMAYO</t>
  </si>
  <si>
    <t>DONGGUAN RELIANCE TECHNICAL SERVICE LIMITED</t>
  </si>
  <si>
    <t>PLAINVIM INDUSTRIAL PARK,</t>
  </si>
  <si>
    <t>BUILDING D, 3/F</t>
  </si>
  <si>
    <t>DONGKENG TOWN, DONGGUAN CITY</t>
  </si>
  <si>
    <t>CRYSTAL-XIULI YU</t>
  </si>
  <si>
    <t>PLASTIC SAMPLES FOR ANALYSIS</t>
  </si>
  <si>
    <t>塑胶紧固件0.4千克(无牌无规格无型号)货样</t>
  </si>
  <si>
    <t>414491173</t>
  </si>
  <si>
    <t>HTV ELECTRONIC GMBH</t>
  </si>
  <si>
    <t>SCH NBORNSTR. 4</t>
  </si>
  <si>
    <t>ASCHAFFENBURG</t>
  </si>
  <si>
    <t>ANDREAS  HEEG</t>
  </si>
  <si>
    <t>DONGUAN RENYI INTELLIGENT EQUIPMENT CO., LTD.</t>
  </si>
  <si>
    <t>4608 WANKE / PROVINCE GUANGDON</t>
  </si>
  <si>
    <t>CHANGAN, DONGGUAN</t>
  </si>
  <si>
    <t>VIVIAN</t>
  </si>
  <si>
    <t>ELECTRICAL MACHINES AND APPARATUS FOR WELDING THERMOPLAST</t>
  </si>
  <si>
    <t>超声波电箱1个(HTV牌无规格型号BSG3510-DN)货样</t>
  </si>
  <si>
    <t>J762CAG</t>
  </si>
  <si>
    <t>20191011150817</t>
  </si>
  <si>
    <t>照明灯具货样</t>
  </si>
  <si>
    <t>3585</t>
  </si>
  <si>
    <t>20191029150817</t>
  </si>
  <si>
    <t>20191017150912</t>
  </si>
  <si>
    <t>塑胶紧固件货样</t>
  </si>
  <si>
    <t>-8.6769810138e+12</t>
  </si>
  <si>
    <t>20191029150912</t>
  </si>
  <si>
    <t>20191026150949</t>
  </si>
  <si>
    <t>超声波电箱货样</t>
  </si>
  <si>
    <t>63741</t>
  </si>
  <si>
    <t>8.6134502096e+12</t>
  </si>
  <si>
    <t>20191029150949</t>
  </si>
  <si>
    <t>117684840</t>
  </si>
  <si>
    <t>IAE</t>
  </si>
  <si>
    <t>JEPSSEN TECHNOLOGY SRL</t>
  </si>
  <si>
    <t>VIA RADDUSA  98</t>
  </si>
  <si>
    <t>AGIRA</t>
  </si>
  <si>
    <t>阿格里真托</t>
  </si>
  <si>
    <t>SHENZHEN HK JOINWE ELECTRONIC CO LTD</t>
  </si>
  <si>
    <t>SOUTH OF 6TH GUANGTON IN BLDG</t>
  </si>
  <si>
    <t>MEILING ROAD STREET SHENZHEN C</t>
  </si>
  <si>
    <t>PORTABLE AUTOMATIC</t>
  </si>
  <si>
    <t>线路板10块(无牌无规格无型号)货样</t>
  </si>
  <si>
    <t>155014378</t>
  </si>
  <si>
    <t>1100251721452</t>
  </si>
  <si>
    <t>LED</t>
  </si>
  <si>
    <t>VTL, OOO</t>
  </si>
  <si>
    <t>ZASTAVSKAYA STR.,D.22,</t>
  </si>
  <si>
    <t>LIT. A, OFFICE 515</t>
  </si>
  <si>
    <t>ST. PETERSBURG</t>
  </si>
  <si>
    <t>圣彼得堡</t>
  </si>
  <si>
    <t>ELENA MORZHUKHINA</t>
  </si>
  <si>
    <t>WAWUI CO</t>
  </si>
  <si>
    <t>WAWUI</t>
  </si>
  <si>
    <t>280 SOUTH BAIAN ROAD</t>
  </si>
  <si>
    <t>JUNAN TOWN, GOANGDONG PROVINCE</t>
  </si>
  <si>
    <t>FOSHAN-SHUNDE</t>
  </si>
  <si>
    <t>LIU ZHAOXIA</t>
  </si>
  <si>
    <t>LED LAMPS</t>
  </si>
  <si>
    <t>LED灯20个(无牌无规格无型号)货样</t>
  </si>
  <si>
    <t>411800130</t>
  </si>
  <si>
    <t>JOG</t>
  </si>
  <si>
    <t>KOMITRANDO EMPORIO, PT</t>
  </si>
  <si>
    <t>JL.WONOSARI KM.8 POTORONO</t>
  </si>
  <si>
    <t>BANGUNTAPAN, BANTUL</t>
  </si>
  <si>
    <t>YOGYAKARTA</t>
  </si>
  <si>
    <t>日惹</t>
  </si>
  <si>
    <t>YAYUK YY YAYUK</t>
  </si>
  <si>
    <t>PVH(DONGGUAN) TRADING AND SERVICES COMPANY LIMITED</t>
  </si>
  <si>
    <t>ROOM 1602-1604, 16/F, BLOCK A</t>
  </si>
  <si>
    <t>GD FINANCE CENTER,</t>
  </si>
  <si>
    <t>NO. 3 SHIZHU ROAD,NANCHENG</t>
  </si>
  <si>
    <t>86-769-2134-1662</t>
  </si>
  <si>
    <t>KEY KANG</t>
  </si>
  <si>
    <t>BAG</t>
  </si>
  <si>
    <t>PU包3个/尼龙包1个(CALVIN KLEIN牌无规格无型号)货样</t>
  </si>
  <si>
    <t>KOR</t>
  </si>
  <si>
    <t>JACOB COMPANY</t>
  </si>
  <si>
    <t>SPINNERIJSTRAAT 97/01</t>
  </si>
  <si>
    <t>ROD ACCOUNT</t>
  </si>
  <si>
    <t>KORTRIJK</t>
  </si>
  <si>
    <t>科尔特赖克</t>
  </si>
  <si>
    <t>GERRY  DOBBELS</t>
  </si>
  <si>
    <t>WHITE STONE INT'L CO LTD</t>
  </si>
  <si>
    <t>WHITE STONE INT L CO LTD</t>
  </si>
  <si>
    <t>XINGANG EAST ROAD</t>
  </si>
  <si>
    <t>ROOM 3308  BUILDING 12</t>
  </si>
  <si>
    <t>PAZHOU XINCUN</t>
  </si>
  <si>
    <t>YUMI XU - CATHY LAM</t>
  </si>
  <si>
    <t>BACKPACKS/SCHOOLBAGS</t>
  </si>
  <si>
    <t>涤纶背包59个/涤纶笔袋13个/涤纶束口袋1个/涤纶拉杆背包6个/涤纶餐包2个(无牌无规格无型号)货样</t>
  </si>
  <si>
    <t>414746463</t>
  </si>
  <si>
    <t>SEL</t>
  </si>
  <si>
    <t>JCLINK CO LTD</t>
  </si>
  <si>
    <t>KR</t>
  </si>
  <si>
    <t>韩国</t>
  </si>
  <si>
    <t>DONGTAN IT TOWER 1007</t>
  </si>
  <si>
    <t>878 DONGTANSUNHWAN DAERO</t>
  </si>
  <si>
    <t>HWASEONG-SI</t>
  </si>
  <si>
    <t>汉城</t>
  </si>
  <si>
    <t>GYEONGGI-DO</t>
  </si>
  <si>
    <t>J C CHOI</t>
  </si>
  <si>
    <t>CHENZHEN ELSKY TECHNOLOGY CO LTD</t>
  </si>
  <si>
    <t>1/F BLDG 2 ASIA INDUSTRIAL</t>
  </si>
  <si>
    <t>ZONE BANTIAN ST</t>
  </si>
  <si>
    <t>LONGGANG SHENZHEN</t>
  </si>
  <si>
    <t>LILY ZHANG</t>
  </si>
  <si>
    <t>ELECTRIC COMPUTER BOOT ERR - ROM WRITING ERR</t>
  </si>
  <si>
    <t>电脑主板7块(无牌无规格无型号)货样</t>
  </si>
  <si>
    <t>LCY</t>
  </si>
  <si>
    <t>THE BISCUIT FACTORY 100 DRUMMOND</t>
  </si>
  <si>
    <t>THE BISCUIT FACTORY  DRUMMOND</t>
  </si>
  <si>
    <t>SAMUAL LUCAS</t>
  </si>
  <si>
    <t>伦敦</t>
  </si>
  <si>
    <t>SE16 4DG</t>
  </si>
  <si>
    <t>SAMUAL</t>
  </si>
  <si>
    <t>GADGET LAB INTL CO LTD</t>
  </si>
  <si>
    <t>805. B&amp;H PLAZA</t>
  </si>
  <si>
    <t>1077 NANHAI AVE</t>
  </si>
  <si>
    <t>PLASTIC PRODUCT PARTS</t>
  </si>
  <si>
    <t>塑料板1个(无牌无规格无型号)货样</t>
  </si>
  <si>
    <t>1100251721462</t>
  </si>
  <si>
    <t>KJ4</t>
  </si>
  <si>
    <t>KRASNOYARSKENERGOKOMPLEKT TPK OOO</t>
  </si>
  <si>
    <t>KALININA STR. 53A</t>
  </si>
  <si>
    <t>KRASNOYARSK</t>
  </si>
  <si>
    <t>凯德罗维</t>
  </si>
  <si>
    <t>KRASNOYARSK REGION</t>
  </si>
  <si>
    <t>KELINA OLESYA</t>
  </si>
  <si>
    <t>HUIZHOU TONGLI MCHINERY TECHNICAL CO. LT</t>
  </si>
  <si>
    <t>NO.2 TONGLI ROAD CHANJING</t>
  </si>
  <si>
    <t>VILLAGE XINXU TOWN HUIYANG</t>
  </si>
  <si>
    <t>DISTRICT HUIZHOU CITY</t>
  </si>
  <si>
    <t>HUIZHOU-HUIYANG</t>
  </si>
  <si>
    <t>BETH YU</t>
  </si>
  <si>
    <t>METAL</t>
  </si>
  <si>
    <t>不锈钢管70个(无牌无规格无型号)货样</t>
  </si>
  <si>
    <t>20191010183010</t>
  </si>
  <si>
    <t>94011</t>
  </si>
  <si>
    <t>13526412897</t>
  </si>
  <si>
    <t>20191030183010</t>
  </si>
  <si>
    <t>20191026183107</t>
  </si>
  <si>
    <t>涤纶背包货样</t>
  </si>
  <si>
    <t>414272375</t>
  </si>
  <si>
    <t>8500</t>
  </si>
  <si>
    <t>-2083510888</t>
  </si>
  <si>
    <t>20191030183107</t>
  </si>
  <si>
    <t>20191028183201</t>
  </si>
  <si>
    <t>不锈钢管货样</t>
  </si>
  <si>
    <t>685419812</t>
  </si>
  <si>
    <t>660061</t>
  </si>
  <si>
    <t>8.6150194717e+12</t>
  </si>
  <si>
    <t>20191030183201</t>
  </si>
  <si>
    <t>20191027183407</t>
  </si>
  <si>
    <t>196006</t>
  </si>
  <si>
    <t>-8.6188020826e+12</t>
  </si>
  <si>
    <t>20191030183407</t>
  </si>
  <si>
    <t>PU包货样</t>
  </si>
  <si>
    <t>55196</t>
  </si>
  <si>
    <t>电脑主板货样</t>
  </si>
  <si>
    <t>18200</t>
  </si>
  <si>
    <t>8.6134104304e+12</t>
  </si>
  <si>
    <t>塑料板货样</t>
  </si>
  <si>
    <t>512318191</t>
  </si>
  <si>
    <t>8.6139238765e+12</t>
  </si>
  <si>
    <t>156498553</t>
  </si>
  <si>
    <t>ZD1</t>
  </si>
  <si>
    <t>AVENSYS SRL</t>
  </si>
  <si>
    <t>VIA PRIMO MAGGIO 10/12</t>
  </si>
  <si>
    <t>SORDIO (LODI ) 26868 ITALY</t>
  </si>
  <si>
    <t>SORDIO</t>
  </si>
  <si>
    <t>兹彼都奥</t>
  </si>
  <si>
    <t>LO</t>
  </si>
  <si>
    <t>MARIA</t>
  </si>
  <si>
    <t>SHANGHAI LDXPRESS INTERNATIONAL TRANSPORTATION CO</t>
  </si>
  <si>
    <t>UNIT L,FLOOR 1,HUIHE BLDG A ,F</t>
  </si>
  <si>
    <t>ANGHU INDUSTRIAL ,FANGHU RD,HU</t>
  </si>
  <si>
    <t>LI DIST ,XIAMEN ,CHINA</t>
  </si>
  <si>
    <t>XIAMEN</t>
  </si>
  <si>
    <t>厦门</t>
  </si>
  <si>
    <t>FUJIAN</t>
  </si>
  <si>
    <t>0592-8069951</t>
  </si>
  <si>
    <t>xiaoying_deng</t>
  </si>
  <si>
    <t>PRINTED CIRCUITS BOARD SAMPLES</t>
  </si>
  <si>
    <t>空白两层印刷线路板85块(无牌无规格无型号)货样</t>
  </si>
  <si>
    <t>91350206791274111P</t>
  </si>
  <si>
    <t>157153647</t>
  </si>
  <si>
    <t>SM5</t>
  </si>
  <si>
    <t>SUN YORKOS INDUSTRIES PHILS.  INCORPORATED</t>
  </si>
  <si>
    <t>PH</t>
  </si>
  <si>
    <t>菲律宾</t>
  </si>
  <si>
    <t>SITIO ALMENDRAS</t>
  </si>
  <si>
    <t>BRGY. BACULONG VICTORIA</t>
  </si>
  <si>
    <t>TARLAC CITY</t>
  </si>
  <si>
    <t>拉加韦</t>
  </si>
  <si>
    <t>TARLAC</t>
  </si>
  <si>
    <t>ALNIE A. PALARA</t>
  </si>
  <si>
    <t>SHEN ZHEN LINGLONG ACCESSORIES CO., LTD.</t>
  </si>
  <si>
    <t>FLOOR 6-7, BLOCK C, HUA ER TE</t>
  </si>
  <si>
    <t>INDUSTRIAL SITE, BAIHUA</t>
  </si>
  <si>
    <t>COMMUNITY, GUANGMING,</t>
  </si>
  <si>
    <t>MR. LUO</t>
  </si>
  <si>
    <t>AVACA SCRUNCH SINAMAY</t>
  </si>
  <si>
    <t>亚麻布40米(无牌规格24寸/35寸无型号)货样</t>
  </si>
  <si>
    <t>415169882</t>
  </si>
  <si>
    <t>ZEBRA FASHION AG</t>
  </si>
  <si>
    <t>UEBERLANDSTRASSE 99</t>
  </si>
  <si>
    <t>DUEBENDORF</t>
  </si>
  <si>
    <t>ZUERICH</t>
  </si>
  <si>
    <t>JESSICA SIMON</t>
  </si>
  <si>
    <t>LUCKY TOP INTERNATIONAL TRADING LIMITED</t>
  </si>
  <si>
    <t>6-8/F, 204 BUILDING</t>
  </si>
  <si>
    <t>NO 2 INDUSTRY AREA, NANYOU</t>
  </si>
  <si>
    <t>NANSHAN, SHENZHEN</t>
  </si>
  <si>
    <t>86-15986770170</t>
  </si>
  <si>
    <t>SACS A MAIN FEMME ECHANTILLONS</t>
  </si>
  <si>
    <t>PU女包1个(无牌无规格无型号)货样</t>
  </si>
  <si>
    <t>JCN</t>
  </si>
  <si>
    <t>MISANCAMP INTERNATIONAL LTD</t>
  </si>
  <si>
    <t>901 D INDEOGWON IT VALLY</t>
  </si>
  <si>
    <t>40 IMI RO</t>
  </si>
  <si>
    <t>UIWANG-SI</t>
  </si>
  <si>
    <t>仁川</t>
  </si>
  <si>
    <t>YOUNG CHO RYU</t>
  </si>
  <si>
    <t>BELIEVE BIOTECH CO.,LTD</t>
  </si>
  <si>
    <t>FENGSHANG BLDG,NO.10,FENGHUANG</t>
  </si>
  <si>
    <t>N RD,HUADU DIST,GUANGZHOU</t>
  </si>
  <si>
    <t>0181-44812262</t>
  </si>
  <si>
    <t>WEI_ZHENG</t>
  </si>
  <si>
    <t>MS GELATIN RED L MCT</t>
  </si>
  <si>
    <t>明胶粒0.45千克(无牌无规格无型号)货样</t>
  </si>
  <si>
    <t>91440101MA5CLJ4K21</t>
  </si>
  <si>
    <t>20191027155704</t>
  </si>
  <si>
    <t>空白两层印刷线路板货样</t>
  </si>
  <si>
    <t>94607</t>
  </si>
  <si>
    <t>PU女包货样</t>
  </si>
  <si>
    <t>59388</t>
  </si>
  <si>
    <t>20191031155704</t>
  </si>
  <si>
    <t>20191023155837</t>
  </si>
  <si>
    <t>亚麻布货样</t>
  </si>
  <si>
    <t>418947</t>
  </si>
  <si>
    <t>-29810766</t>
  </si>
  <si>
    <t>20191031155837</t>
  </si>
  <si>
    <t>20191010155922</t>
  </si>
  <si>
    <t>明胶粒货样</t>
  </si>
  <si>
    <t>411544851</t>
  </si>
  <si>
    <t>WOF</t>
  </si>
  <si>
    <t>TASMAN INDUSTRIES LTD</t>
  </si>
  <si>
    <t>The Old Dairy</t>
  </si>
  <si>
    <t>Rufford Road</t>
  </si>
  <si>
    <t>STOURBRIDGE</t>
  </si>
  <si>
    <t>伍斯特</t>
  </si>
  <si>
    <t>DY9 7NG</t>
  </si>
  <si>
    <t>JOHN  BAIRNER</t>
  </si>
  <si>
    <t>深圳市联电环宇科技有限公司</t>
  </si>
  <si>
    <t>ZENHO</t>
  </si>
  <si>
    <t>RM 1306 XINGJI BLDG</t>
  </si>
  <si>
    <t>XINXINSHA RD</t>
  </si>
  <si>
    <t>SHAJING</t>
  </si>
  <si>
    <t>SALES</t>
  </si>
  <si>
    <t>STEEL GOODS</t>
  </si>
  <si>
    <t>碳钢制扣环120个(用于电池生产线传动/TASMAN牌规格:1"/1-1/4"型号1" split/1-1/4" split)货样</t>
  </si>
  <si>
    <t>160979857</t>
  </si>
  <si>
    <t>CONG TY TNHH THE KY</t>
  </si>
  <si>
    <t>SO 11 MINH KHAI</t>
  </si>
  <si>
    <t>PHUONG MINH KHAI</t>
  </si>
  <si>
    <t>QUAN HONG BANG</t>
  </si>
  <si>
    <t>THANH THUYR NGUYEN</t>
  </si>
  <si>
    <t>ZHUHAI GALAMARINE CO.,LTD</t>
  </si>
  <si>
    <t>1F, NO 3 BLD AIMEI TECHNOLOGY</t>
  </si>
  <si>
    <t>6TH FL XINQING DOUMEN DIST</t>
  </si>
  <si>
    <t>ZHUHAI CITY</t>
  </si>
  <si>
    <t>MS LINDA</t>
  </si>
  <si>
    <t>WINDSHIELD TEMPLATE</t>
  </si>
  <si>
    <t>塑胶色板17.5千克(无牌无规格无型号)货样</t>
  </si>
  <si>
    <t>874633470</t>
  </si>
  <si>
    <t>TWB</t>
  </si>
  <si>
    <t>USQ NEW DIST ED CENTRE INTL</t>
  </si>
  <si>
    <t>BUILDING 02, CAMPUS  SERVICES</t>
  </si>
  <si>
    <t>WEST STREET</t>
  </si>
  <si>
    <t>TOOWOOMBA</t>
  </si>
  <si>
    <t>图文巴</t>
  </si>
  <si>
    <t>STEVE MCCOULLOUGH</t>
  </si>
  <si>
    <t>ASSOCIATE PROFESSOR XINMIN LIU</t>
  </si>
  <si>
    <t>JIANGSHAN AREA C XUEZAO ROAD</t>
  </si>
  <si>
    <t>BEIBEI DISTRICT</t>
  </si>
  <si>
    <t>CHONGQING-BEIBEI</t>
  </si>
  <si>
    <t>MNERAL SAMPLES FOR TESTING 6 BAGS</t>
  </si>
  <si>
    <t>矿石物品0.9千克货样(个人收件/待确认清关方式/暂扣/lucimia@163.com已邮件待回复)货样</t>
  </si>
  <si>
    <t>BUD</t>
  </si>
  <si>
    <t>REVOLUTION ROBOTICS ZRT</t>
  </si>
  <si>
    <t>HU</t>
  </si>
  <si>
    <t>匈牙利</t>
  </si>
  <si>
    <t>FELSO ZOLDMALI UT 70.</t>
  </si>
  <si>
    <t>BUDAPEST</t>
  </si>
  <si>
    <t>布达佩斯</t>
  </si>
  <si>
    <t>DUDAS DAVID</t>
  </si>
  <si>
    <t>SHENZHEN SYNERGY DIGITAL CO., LTD</t>
  </si>
  <si>
    <t>2F,BLOCK1</t>
  </si>
  <si>
    <t>YUDAFU INDUSTRIAL PARK</t>
  </si>
  <si>
    <t>NO.10 XINGYE WEST ROAD,SHAJING</t>
  </si>
  <si>
    <t>LYNNIE LIU</t>
  </si>
  <si>
    <t>PROGRAMMER TOOL</t>
  </si>
  <si>
    <t>塑料电子连接器5个(无牌无规格无型号)货样</t>
  </si>
  <si>
    <t>159737990</t>
  </si>
  <si>
    <t>OPO</t>
  </si>
  <si>
    <t>B2YOU, FERRAMENTAS E MAQUINAS CORTE,LDA</t>
  </si>
  <si>
    <t>BYOU, FERRAMENTAS E MAQUINAS CORTE,LDA</t>
  </si>
  <si>
    <t>PT</t>
  </si>
  <si>
    <t>葡萄牙</t>
  </si>
  <si>
    <t>R BENTO LANDUREZA</t>
  </si>
  <si>
    <t>FRACCAO D  - N.346</t>
  </si>
  <si>
    <t>OLIVEIRA DE AZEMEIS</t>
  </si>
  <si>
    <t>波尔图</t>
  </si>
  <si>
    <t>AVEIRO</t>
  </si>
  <si>
    <t>3720-261</t>
  </si>
  <si>
    <t>DANIEL DANI ROCHA</t>
  </si>
  <si>
    <t>CHENGDU DIAMOND TOOLS CO. LTD</t>
  </si>
  <si>
    <t>BUILDING 3 HUANGHAI</t>
  </si>
  <si>
    <t>ROAD JIAOLONG</t>
  </si>
  <si>
    <t>INDUSTRY PORT OF QINGYANG</t>
  </si>
  <si>
    <t>MSS.EAGLE</t>
  </si>
  <si>
    <t>OTHER METAL SAMPLES</t>
  </si>
  <si>
    <t>家具用铁制连接件22个(无牌无规格无型号)货样</t>
  </si>
  <si>
    <t>MARKTDIENSTE HABERBECK GMBH</t>
  </si>
  <si>
    <t>INDUSTRIESTR. 17</t>
  </si>
  <si>
    <t>LAGE</t>
  </si>
  <si>
    <t>JENNIFER LANGFELD</t>
  </si>
  <si>
    <t>LED灯2个(无牌无规格型号:MGL3516)货样</t>
  </si>
  <si>
    <t>PRAXIS AUTOMATION TECHNOLOGY</t>
  </si>
  <si>
    <t>ZIJLDIJK 24A</t>
  </si>
  <si>
    <t>LEIDERDORP</t>
  </si>
  <si>
    <t>2352 AB</t>
  </si>
  <si>
    <t>071-5255332</t>
  </si>
  <si>
    <t>MARIO HOOGENBOOM</t>
  </si>
  <si>
    <t>TERASAKI ELECTRIC (CHINA) LTD.</t>
  </si>
  <si>
    <t>NO. 1,5TH ROAD PACIFIC</t>
  </si>
  <si>
    <t>XINTANG ZENGCHENG</t>
  </si>
  <si>
    <t>MRS   SHI YUNHUA</t>
  </si>
  <si>
    <t>配电柜用输出模块4个(TERASAKI牌无规格型号95.6.10P.815)货样</t>
  </si>
  <si>
    <t>BLUE SEA INTERNATIONAL CO. WLL</t>
  </si>
  <si>
    <t>BLOCK 326, ROAD 2614</t>
  </si>
  <si>
    <t>BUILDING 314</t>
  </si>
  <si>
    <t>GUDAIBIYA</t>
  </si>
  <si>
    <t>SURESH BABU</t>
  </si>
  <si>
    <t>KINWAI CO</t>
  </si>
  <si>
    <t>KINWAI</t>
  </si>
  <si>
    <t>NO.399, JINOU ROAD,</t>
  </si>
  <si>
    <t>JIANGHAI DISTRICT, JIANGMEN</t>
  </si>
  <si>
    <t>JENSEN</t>
  </si>
  <si>
    <t>RING SPRING</t>
  </si>
  <si>
    <t>铁电镀色板1块(无牌无规格无型号)货样</t>
  </si>
  <si>
    <t>1100251721492</t>
  </si>
  <si>
    <t>INDUSTRIESTRA E 133,RODENKIRCH</t>
  </si>
  <si>
    <t>EN,50996,COLOGNE,GERMANY</t>
  </si>
  <si>
    <t>BENDE, KATRIN</t>
  </si>
  <si>
    <t>PACKING OR WRAPPING MACHINERY,INCL HEART-SHRINK WRAPPING</t>
  </si>
  <si>
    <t>机械配件212千克货样</t>
  </si>
  <si>
    <t>GATOR GROUP</t>
  </si>
  <si>
    <t>12, JINHAI ROAD,BAOAN DISTRICT</t>
  </si>
  <si>
    <t>HUICHAO TECHNOLOGY BUILDING</t>
  </si>
  <si>
    <t>JOYCE WOO</t>
  </si>
  <si>
    <t>GPS WATCHES FOR KIDS</t>
  </si>
  <si>
    <t>电子手表85个(无牌无规格无型号)货样</t>
  </si>
  <si>
    <t>158981208</t>
  </si>
  <si>
    <t>159462836</t>
  </si>
  <si>
    <t>324105176</t>
  </si>
  <si>
    <t>20191026153823</t>
  </si>
  <si>
    <t>塑胶色板货样</t>
  </si>
  <si>
    <t>875</t>
  </si>
  <si>
    <t>11439</t>
  </si>
  <si>
    <t>18131</t>
  </si>
  <si>
    <t>986437781</t>
  </si>
  <si>
    <t>8.675656516e+11</t>
  </si>
  <si>
    <t>矿石物品货样</t>
  </si>
  <si>
    <t>30</t>
  </si>
  <si>
    <t>90498566</t>
  </si>
  <si>
    <t>4350</t>
  </si>
  <si>
    <t>746312305</t>
  </si>
  <si>
    <t>8.6138838552e+12</t>
  </si>
  <si>
    <t>20191027154034</t>
  </si>
  <si>
    <t>塑料电子连接器货样</t>
  </si>
  <si>
    <t>200</t>
  </si>
  <si>
    <t>113071</t>
  </si>
  <si>
    <t>1025</t>
  </si>
  <si>
    <t>-36202993493</t>
  </si>
  <si>
    <t>13620920157</t>
  </si>
  <si>
    <t>家具用铁制连接件货样</t>
  </si>
  <si>
    <t>37358</t>
  </si>
  <si>
    <t>256667405</t>
  </si>
  <si>
    <t>-87075976</t>
  </si>
  <si>
    <t>20191101154034</t>
  </si>
  <si>
    <t>160</t>
  </si>
  <si>
    <t>32791</t>
  </si>
  <si>
    <t>4.9052619348e+15</t>
  </si>
  <si>
    <t>配电柜用输出模块货样</t>
  </si>
  <si>
    <t>512554765</t>
  </si>
  <si>
    <t>201.34</t>
  </si>
  <si>
    <t>33247</t>
  </si>
  <si>
    <t>-8.6208270856e+11</t>
  </si>
  <si>
    <t>20191028154129</t>
  </si>
  <si>
    <t>铁电镀色板货样</t>
  </si>
  <si>
    <t>304.77</t>
  </si>
  <si>
    <t>9987</t>
  </si>
  <si>
    <t>20191101154129</t>
  </si>
  <si>
    <t>324260624M0201</t>
  </si>
  <si>
    <t>324260624M0202</t>
  </si>
  <si>
    <t>20191030154334</t>
  </si>
  <si>
    <t>机械配件货样</t>
  </si>
  <si>
    <t>13380</t>
  </si>
  <si>
    <t>50996</t>
  </si>
  <si>
    <t>20191101154334</t>
  </si>
  <si>
    <t>132</t>
  </si>
  <si>
    <t>20191030154446</t>
  </si>
  <si>
    <t>电子手表货样</t>
  </si>
  <si>
    <t>512400596</t>
  </si>
  <si>
    <t>456</t>
  </si>
  <si>
    <t>115871</t>
  </si>
  <si>
    <t>-8.661866682e+13</t>
  </si>
  <si>
    <t>20191101154446</t>
  </si>
  <si>
    <t>20191023154525</t>
  </si>
  <si>
    <t>碳钢制扣环货样</t>
  </si>
  <si>
    <t>560.12</t>
  </si>
  <si>
    <t>108770</t>
  </si>
  <si>
    <t>75569856932</t>
  </si>
  <si>
    <t>763093524</t>
  </si>
  <si>
    <t>TO1</t>
  </si>
  <si>
    <t>OLICOM INTERNATIONAL SRL</t>
  </si>
  <si>
    <t>VIA TORINO 131</t>
  </si>
  <si>
    <t>IVREA</t>
  </si>
  <si>
    <t>都灵</t>
  </si>
  <si>
    <t>ANTONIO MELILLO</t>
  </si>
  <si>
    <t>SHENZHEN PU YING INN. TECH.CORP. LTD</t>
  </si>
  <si>
    <t>BUILDING 6/F, HUAJIA</t>
  </si>
  <si>
    <t>BAOAN, SHENZHEN, CHINA</t>
  </si>
  <si>
    <t>ATT. GAO LAN (MERRY)</t>
  </si>
  <si>
    <t>TOKEN</t>
  </si>
  <si>
    <t>闪存盘1个(无牌规格1GB无型号)货样</t>
  </si>
  <si>
    <t>20191027155853</t>
  </si>
  <si>
    <t>闪存盘货样</t>
  </si>
  <si>
    <t>153970849</t>
  </si>
  <si>
    <t>10020191101R101</t>
  </si>
  <si>
    <t>LIS</t>
  </si>
  <si>
    <t>3N ACTIVECARD UNIPESSOAL, LDA</t>
  </si>
  <si>
    <t>N ACTIVECARD UNIPESSOAL, LDA</t>
  </si>
  <si>
    <t>RUA GUILHERMINA SUGGIA 297B</t>
  </si>
  <si>
    <t>CABECO DE MOURO OUTEIRO</t>
  </si>
  <si>
    <t>DE POLIM SAO DOMINGOS DE RANA,</t>
  </si>
  <si>
    <t>SAO DOMINGOS DE RANA</t>
  </si>
  <si>
    <t>里斯本</t>
  </si>
  <si>
    <t>LISBOA</t>
  </si>
  <si>
    <t>2785-816</t>
  </si>
  <si>
    <t>MIGUEL NEVES</t>
  </si>
  <si>
    <t>深圳市凯为智能卡有限公司</t>
  </si>
  <si>
    <t>SHENZHEN KAWAY SMART CARD CO;LTD</t>
  </si>
  <si>
    <t>4/F,BLOCK F,SANLIAN INDU.ZONE</t>
  </si>
  <si>
    <t>TANGTOU,SHIYAN</t>
  </si>
  <si>
    <t>0755-86615623</t>
  </si>
  <si>
    <t>MISS_sunny</t>
  </si>
  <si>
    <t>PVC CARDS</t>
  </si>
  <si>
    <t>智能卡6000个(无牌/规格:85.6*53.8*0.82mm/无型号)(自扣)货样</t>
  </si>
  <si>
    <t>412825906</t>
  </si>
  <si>
    <t>RB4</t>
  </si>
  <si>
    <t>Cascade Holdings Limited</t>
  </si>
  <si>
    <t>Gorse Mill</t>
  </si>
  <si>
    <t>Gorse Street</t>
  </si>
  <si>
    <t>Chadderton</t>
  </si>
  <si>
    <t>OLDHAM</t>
  </si>
  <si>
    <t>拉姆斯博滕</t>
  </si>
  <si>
    <t>OL9 9RJ</t>
  </si>
  <si>
    <t>SUE HALL</t>
  </si>
  <si>
    <t>DELUXE CO</t>
  </si>
  <si>
    <t>DELUXE</t>
  </si>
  <si>
    <t>NO 46 CHANGAN NORTH ROAD</t>
  </si>
  <si>
    <t>HENGLAN TOWN</t>
  </si>
  <si>
    <t>VICKY</t>
  </si>
  <si>
    <t>LIGHTING SAMPLES</t>
  </si>
  <si>
    <t>测试用LED灯具1个(无牌无规格无型号)货样</t>
  </si>
  <si>
    <t>414598811</t>
  </si>
  <si>
    <t>LIGHTEL PTY LIMITED</t>
  </si>
  <si>
    <t>UNIT 3, 39 HOTHAM PARADE</t>
  </si>
  <si>
    <t>ARTARMON</t>
  </si>
  <si>
    <t>VACHE AYVAZIAN</t>
  </si>
  <si>
    <t>BAO LI WEN PLASTIC FACTORY</t>
  </si>
  <si>
    <t>QIAOLI VILLAGE INDUSTRIAL ZONE</t>
  </si>
  <si>
    <t>CHANGPING TOWN</t>
  </si>
  <si>
    <t>ANGEL TANG</t>
  </si>
  <si>
    <t>LAMP BASES-PLASTIC FACTORY</t>
  </si>
  <si>
    <t>塑料制可充电电池灯座6个(无牌无规格型号:UN3481)货样</t>
  </si>
  <si>
    <t>IQ3</t>
  </si>
  <si>
    <t>TRIFA OFFICE</t>
  </si>
  <si>
    <t>IQ</t>
  </si>
  <si>
    <t>伊拉克</t>
  </si>
  <si>
    <t>SALIM STREET</t>
  </si>
  <si>
    <t>NEAR FHG CO</t>
  </si>
  <si>
    <t>SULAIMANYAH</t>
  </si>
  <si>
    <t>埃尔比勒</t>
  </si>
  <si>
    <t>HUSSAIN</t>
  </si>
  <si>
    <t>CHONG.QING XOK ENTER PRISE CO.LTD</t>
  </si>
  <si>
    <t>23F XIN LONGDA BUILDING A</t>
  </si>
  <si>
    <t>SHANGQINGSI CENTER DISTRICT</t>
  </si>
  <si>
    <t>CHONGQING-YUZHONG</t>
  </si>
  <si>
    <t>SPARE PART</t>
  </si>
  <si>
    <t>塑料水壶1个/塑料接头3个/塑料燃油泵3个(无牌无规格无型号)货样</t>
  </si>
  <si>
    <t>512617791</t>
  </si>
  <si>
    <t>1100251721482</t>
  </si>
  <si>
    <t>SZX</t>
  </si>
  <si>
    <t>AKKERUPVEJ</t>
  </si>
  <si>
    <t>RENÑ½ CHRISTENSEN</t>
  </si>
  <si>
    <t>YEPOM SHENZHEN CO</t>
  </si>
  <si>
    <t>YEPOM</t>
  </si>
  <si>
    <t>INTERNATIONAL RAILWAY PORT</t>
  </si>
  <si>
    <t>LIU BENYAN</t>
  </si>
  <si>
    <t>家具用铁制连接件1个(无牌无规格无型号)货样</t>
  </si>
  <si>
    <t>91A</t>
  </si>
  <si>
    <t>AIGLE INTERNATIONAL SA</t>
  </si>
  <si>
    <t>17 RUE SAINT DENIS</t>
  </si>
  <si>
    <t>17 A 23</t>
  </si>
  <si>
    <t>BOULOGNE BILLANCOURT</t>
  </si>
  <si>
    <t>布朗库</t>
  </si>
  <si>
    <t>ADRIEN ROLAND</t>
  </si>
  <si>
    <t>MIX FASHION</t>
  </si>
  <si>
    <t>2305 ZHONGTIAN NO.1 BUILDING</t>
  </si>
  <si>
    <t>QI FENG ROAD, GUANCHENG DIST.</t>
  </si>
  <si>
    <t>GUANG DONG PROVINCE</t>
  </si>
  <si>
    <t>JUDY ZHONG</t>
  </si>
  <si>
    <t>SHOES</t>
  </si>
  <si>
    <t>人造革男鞋1双(无牌无规格无型号)货样</t>
  </si>
  <si>
    <t>MILOS S.R.O.</t>
  </si>
  <si>
    <t>SPINDLEROVA 286</t>
  </si>
  <si>
    <t>ROUDNICE NAD LABEM</t>
  </si>
  <si>
    <t>413 01</t>
  </si>
  <si>
    <t>PAVLINA  MASKOVA</t>
  </si>
  <si>
    <t>MILOS (GUANGZHOU)CO.LTD.</t>
  </si>
  <si>
    <t>HOUSE NO.2, 6 GONGYE ROAD</t>
  </si>
  <si>
    <t>DAWEN-CUN</t>
  </si>
  <si>
    <t>DONGYONG-ZHEN, NANSHA DISTRICT</t>
  </si>
  <si>
    <t>HUANG STEPHEN</t>
  </si>
  <si>
    <t>PL. PARTS</t>
  </si>
  <si>
    <t>合金钢1个(BONI AG牌规格7*7*5mm型号marking stone)货样</t>
  </si>
  <si>
    <t>HEL</t>
  </si>
  <si>
    <t>STARMAKES OY</t>
  </si>
  <si>
    <t>FI</t>
  </si>
  <si>
    <t>芬兰</t>
  </si>
  <si>
    <t>JAUHOKUJA 3 A 1</t>
  </si>
  <si>
    <t>HELSINKI</t>
  </si>
  <si>
    <t>赫尔辛基</t>
  </si>
  <si>
    <t>TONI IRJALA</t>
  </si>
  <si>
    <t>SHENZHEN STARTEK ELECTRONIC TECHNOLOGY CO., LTD</t>
  </si>
  <si>
    <t>5TH FLOOR, BUILDING B</t>
  </si>
  <si>
    <t>HENGSHOU SCI-TECH PARK</t>
  </si>
  <si>
    <t>CHUANGWEI ROAD, HESHUIKOU COM.</t>
  </si>
  <si>
    <t>86-755-29166880</t>
  </si>
  <si>
    <t>XINJUNHUA</t>
  </si>
  <si>
    <t>TFT DISPLAY</t>
  </si>
  <si>
    <t>TFT液晶显示屏5个(无牌规格:7寸型号:KD070WVFLD029-C036B)货样</t>
  </si>
  <si>
    <t>RANCE</t>
  </si>
  <si>
    <t>MOTORS MACHINERY</t>
  </si>
  <si>
    <t>仪器配件38千克货样(发票价值为96367.47EUR)货样</t>
  </si>
  <si>
    <t>SU5</t>
  </si>
  <si>
    <t>HANKOOK AROMA</t>
  </si>
  <si>
    <t>32, CHOROK-RO 693BEON-GIL</t>
  </si>
  <si>
    <t>水原</t>
  </si>
  <si>
    <t>KANA  BAEK</t>
  </si>
  <si>
    <t>GUANGZHOU KARRY TRADING CO.,LTD</t>
  </si>
  <si>
    <t>503,505,5TH FLOOR,YONGYU</t>
  </si>
  <si>
    <t>BUILDING,13 SHANGXIANGNAN ROAD</t>
  </si>
  <si>
    <t>QINGBU XINYA STREET,HUADU</t>
  </si>
  <si>
    <t>139-22705378</t>
  </si>
  <si>
    <t>jennie_xiang</t>
  </si>
  <si>
    <t>COMPOUND FRAGRANCE(STRAWBERRY YH-15903280)</t>
  </si>
  <si>
    <t>工业用混合香料22.35千克(无牌无规格无型号)货样</t>
  </si>
  <si>
    <t>152587522</t>
  </si>
  <si>
    <t>塑胶紧固件0.02千克(无牌无规格无型号)货样</t>
  </si>
  <si>
    <t>1100251721536</t>
  </si>
  <si>
    <t>20191030155603</t>
  </si>
  <si>
    <t>合金钢货样</t>
  </si>
  <si>
    <t>486</t>
  </si>
  <si>
    <t>8134</t>
  </si>
  <si>
    <t>-8.6139287762e+12</t>
  </si>
  <si>
    <t>TFT液晶显示屏货样</t>
  </si>
  <si>
    <t>160053480</t>
  </si>
  <si>
    <t>105</t>
  </si>
  <si>
    <t>21092</t>
  </si>
  <si>
    <t>920</t>
  </si>
  <si>
    <t>20191104155603</t>
  </si>
  <si>
    <t>仪器配件货样</t>
  </si>
  <si>
    <t>324212416</t>
  </si>
  <si>
    <t>96367.47</t>
  </si>
  <si>
    <t>3104096</t>
  </si>
  <si>
    <t>14110</t>
  </si>
  <si>
    <t>20191028155603</t>
  </si>
  <si>
    <t>塑料制可充电电池灯座货样</t>
  </si>
  <si>
    <t>450</t>
  </si>
  <si>
    <t>30018196</t>
  </si>
  <si>
    <t>2064</t>
  </si>
  <si>
    <t>-8.6186641309e+12</t>
  </si>
  <si>
    <t>塑料水壶货样</t>
  </si>
  <si>
    <t>456224288</t>
  </si>
  <si>
    <t>77</t>
  </si>
  <si>
    <t>1223</t>
  </si>
  <si>
    <t>8.6236386623e+11</t>
  </si>
  <si>
    <t>20191029155603</t>
  </si>
  <si>
    <t>27</t>
  </si>
  <si>
    <t>2016974</t>
  </si>
  <si>
    <t>5683</t>
  </si>
  <si>
    <t>8.6134080996e+12</t>
  </si>
  <si>
    <t>人造革男鞋货样</t>
  </si>
  <si>
    <t>736312021</t>
  </si>
  <si>
    <t>156597</t>
  </si>
  <si>
    <t>92100</t>
  </si>
  <si>
    <t>13527930756</t>
  </si>
  <si>
    <t>20191028155644</t>
  </si>
  <si>
    <t>20191028155651</t>
  </si>
  <si>
    <t>20191029155740</t>
  </si>
  <si>
    <t>20191030155809</t>
  </si>
  <si>
    <t>20191104155809</t>
  </si>
  <si>
    <t>20191101155852</t>
  </si>
  <si>
    <t>智能卡货样</t>
  </si>
  <si>
    <t>3005209</t>
  </si>
  <si>
    <t>1100251721516</t>
  </si>
  <si>
    <t>20191101160147</t>
  </si>
  <si>
    <t>12</t>
  </si>
  <si>
    <t>180</t>
  </si>
  <si>
    <t>20191030160321</t>
  </si>
  <si>
    <t>2</t>
  </si>
  <si>
    <t>20191102160520</t>
  </si>
  <si>
    <t>工业用混合香料货样</t>
  </si>
  <si>
    <t>417531870</t>
  </si>
  <si>
    <t>611</t>
  </si>
  <si>
    <t>576588</t>
  </si>
  <si>
    <t>3081481</t>
  </si>
  <si>
    <t>18627</t>
  </si>
  <si>
    <t>20191104160520</t>
  </si>
  <si>
    <t>25</t>
  </si>
  <si>
    <t>20191013160552</t>
  </si>
  <si>
    <t>20191104160552</t>
  </si>
  <si>
    <t>20191030161123</t>
  </si>
  <si>
    <t>q'w</t>
  </si>
  <si>
    <t>20191026161521</t>
  </si>
  <si>
    <t>测试用LED灯具货样</t>
  </si>
  <si>
    <t>160572635</t>
  </si>
  <si>
    <t>1100251721506</t>
  </si>
  <si>
    <t>BCN</t>
  </si>
  <si>
    <t>PROMISE, S.A.</t>
  </si>
  <si>
    <t>SANT GALDERIC, 15 POL PONENT</t>
  </si>
  <si>
    <t>SANT POL DE MAR</t>
  </si>
  <si>
    <t>巴塞罗那</t>
  </si>
  <si>
    <t>BARCELONA</t>
  </si>
  <si>
    <t>MIRIAM</t>
  </si>
  <si>
    <t>SHENZHEN SHENTOU INVESTMENT CO., LTD</t>
  </si>
  <si>
    <t>1202-1208</t>
  </si>
  <si>
    <t>IN-LONG DEVELOPMENT CENTER</t>
  </si>
  <si>
    <t>NO.6025 SHENNAN ROAD</t>
  </si>
  <si>
    <t>MASON WU</t>
  </si>
  <si>
    <t>MUESTRA BRAGA Y SUJETADOR / SAMPLE BRA AND BRIEF</t>
  </si>
  <si>
    <t>棉针织女式胸罩1个/棉针织女式短裤1件(无牌无规格无型号)货样</t>
  </si>
  <si>
    <t>161908300</t>
  </si>
  <si>
    <t>KRK</t>
  </si>
  <si>
    <t>TWA RETAIL SPKA Z O.O.</t>
  </si>
  <si>
    <t>SPOLKA KOMANDYTOWA</t>
  </si>
  <si>
    <t>UL. RYDLOWKA 20</t>
  </si>
  <si>
    <t>KRAKOW</t>
  </si>
  <si>
    <t>克拉科夫</t>
  </si>
  <si>
    <t>30-363</t>
  </si>
  <si>
    <t>ANETA MUCHA</t>
  </si>
  <si>
    <t>GUANGZHOU HAORUN GARMENT CO., LTD.</t>
  </si>
  <si>
    <t>BUILDING 11,</t>
  </si>
  <si>
    <t>NO.96 LIXIN 12 ROAD,</t>
  </si>
  <si>
    <t>XINTANG, GUANGZHOU</t>
  </si>
  <si>
    <t>JENNIFER CHEN</t>
  </si>
  <si>
    <t>FABRIC SAMPLES</t>
  </si>
  <si>
    <t>布色卡1个(无牌无规格无型号)货样</t>
  </si>
  <si>
    <t>20191031155344</t>
  </si>
  <si>
    <t>棉针织女式胸罩货样</t>
  </si>
  <si>
    <t>8395</t>
  </si>
  <si>
    <t>20191102155437</t>
  </si>
  <si>
    <t>布色卡货样</t>
  </si>
  <si>
    <t>337857545</t>
  </si>
  <si>
    <t>071-5255320</t>
  </si>
  <si>
    <t>DHR. PATRICK OOMEN</t>
  </si>
  <si>
    <t>ROYPOW TECHNOLOGY CO.LTD.</t>
  </si>
  <si>
    <t>3RD FLOOR,NO.27 TH, HUIFENG</t>
  </si>
  <si>
    <t>6TH ROAD, ZHONGKAI HI-TECH DIS</t>
  </si>
  <si>
    <t>0086-13502290432</t>
  </si>
  <si>
    <t>MRS.FREYA LUO</t>
  </si>
  <si>
    <t>PRINTED CIRCUIT BOARD (PCB)</t>
  </si>
  <si>
    <t>带电子元器件电路板50个(无牌无规格型号P014A)货样</t>
  </si>
  <si>
    <t>20191019155528</t>
  </si>
  <si>
    <t>带电子元器件电路板货样</t>
  </si>
  <si>
    <t>414375883</t>
  </si>
  <si>
    <t>Hermes Germany GmbH</t>
  </si>
  <si>
    <t>Vor dem Lauch 4</t>
  </si>
  <si>
    <t>SAMANTHA FISCHER</t>
  </si>
  <si>
    <t>SPARD ENERGY CO., LTD</t>
  </si>
  <si>
    <t>SOUTH CHINA MODERN CHINESE</t>
  </si>
  <si>
    <t>PARK, NANLANG TOWN</t>
  </si>
  <si>
    <t>86-15800198114</t>
  </si>
  <si>
    <t>ALICE ZHAO</t>
  </si>
  <si>
    <t>M6 CONNECTORS-FEMALE</t>
  </si>
  <si>
    <t>塑胶连接器200个/存储用芯片500个(无牌无规格无型号)货样</t>
  </si>
  <si>
    <t>417906296</t>
  </si>
  <si>
    <t>P&amp;A ASSOCIATES</t>
  </si>
  <si>
    <t>SUITE</t>
  </si>
  <si>
    <t>HOLKER BUSINESS CENTRE</t>
  </si>
  <si>
    <t>BURNLEY ROAD</t>
  </si>
  <si>
    <t>COLNE</t>
  </si>
  <si>
    <t>BB8 8EG</t>
  </si>
  <si>
    <t>JANET NUTTER-KNIGHT</t>
  </si>
  <si>
    <t>GUANGZHOU DAILI GARMENTS CO LTD</t>
  </si>
  <si>
    <t>NO 38 DONGXIAN ROAD</t>
  </si>
  <si>
    <t>SHITOU NACUN TOWN</t>
  </si>
  <si>
    <t>PANYU DISTRICT</t>
  </si>
  <si>
    <t>0086-2084568448</t>
  </si>
  <si>
    <t>BRUCE LI</t>
  </si>
  <si>
    <t>SOFT COTTON   LACE WIRED BRA, BRIEF, FABRIC SWATCH</t>
  </si>
  <si>
    <t>尼龙制女式内衣1件/尼龙制女式内裤1件/布色卡1个(无牌无规格无型号)货样</t>
  </si>
  <si>
    <t>20191027155426</t>
  </si>
  <si>
    <t>塑胶连接器货样</t>
  </si>
  <si>
    <t>70567</t>
  </si>
  <si>
    <t>20191102155527</t>
  </si>
  <si>
    <t>尼龙制女式内衣货样</t>
  </si>
  <si>
    <t>155389132</t>
  </si>
  <si>
    <t>SOF</t>
  </si>
  <si>
    <t>SECURITY IMPORT LTD</t>
  </si>
  <si>
    <t>BG</t>
  </si>
  <si>
    <t>保加利亚</t>
  </si>
  <si>
    <t>4 PROF.D-R VASIL ZLATAREV STR.</t>
  </si>
  <si>
    <t>ET.3 OFIS 4</t>
  </si>
  <si>
    <t>SOFIA</t>
  </si>
  <si>
    <t>索菲亚</t>
  </si>
  <si>
    <t>SVETOSLAV DIMITROV</t>
  </si>
  <si>
    <t>深圳市维捷卡电子有限公司</t>
  </si>
  <si>
    <t>MR YU HUA LING</t>
  </si>
  <si>
    <t>NO.405,ZE HUA BUILDING,MEILONG</t>
  </si>
  <si>
    <t>LONG HUA, SHENZHEN,518109 CHIN</t>
  </si>
  <si>
    <t>0086-13482588625</t>
  </si>
  <si>
    <t>FAULTY ELECTRONICS</t>
  </si>
  <si>
    <t>宠物用定位器20个(材质:塑胶/无牌无规格无型号)货样</t>
  </si>
  <si>
    <t>659029345</t>
  </si>
  <si>
    <t>BUTTNER S.R.O.</t>
  </si>
  <si>
    <t>TUCHORAZSKA 1347</t>
  </si>
  <si>
    <t>CESKY BROD</t>
  </si>
  <si>
    <t>282 01</t>
  </si>
  <si>
    <t>321-621825</t>
  </si>
  <si>
    <t>MAZIKOVA</t>
  </si>
  <si>
    <t>广州市阳光科密电子科技有限公司</t>
  </si>
  <si>
    <t>GUANGZHOU SUNSHINE COMET ELECTRONIC TECHNOLOGY CO</t>
  </si>
  <si>
    <t>5/F NO.3 STREET 1ST KEHUI,KEHU</t>
  </si>
  <si>
    <t>020-82858316</t>
  </si>
  <si>
    <t>Janey_wu</t>
  </si>
  <si>
    <t>PEACH MICRO CUT</t>
  </si>
  <si>
    <t>碎纸机2台(无牌无规格型号:PS600-10)货样</t>
  </si>
  <si>
    <t>9144018374186173X8</t>
  </si>
  <si>
    <t>162002790</t>
  </si>
  <si>
    <t>TKU</t>
  </si>
  <si>
    <t>BROMAN LOGISTICS OY</t>
  </si>
  <si>
    <t>KALLIONOPONTIE 3</t>
  </si>
  <si>
    <t>HYVINKAA</t>
  </si>
  <si>
    <t>土尔库</t>
  </si>
  <si>
    <t>HELI OVASKA</t>
  </si>
  <si>
    <t>ZHONGSHAN PRESITO HOUSEHOLD APPLIANCE CO.,LTD</t>
  </si>
  <si>
    <t>NO.55, JIANYE RD, NANTOU TOWN</t>
  </si>
  <si>
    <t>GUANGDONG PROVINCE</t>
  </si>
  <si>
    <t>0760-22519081</t>
  </si>
  <si>
    <t>xiaojie_wu</t>
  </si>
  <si>
    <t>HEATER SAMPLE</t>
  </si>
  <si>
    <t>铁制燃气取暖器3台(无牌无规格无型号)货样</t>
  </si>
  <si>
    <t>91442000699760272F</t>
  </si>
  <si>
    <t>12N</t>
  </si>
  <si>
    <t>20191024152959</t>
  </si>
  <si>
    <t>宠物用定位器货样</t>
  </si>
  <si>
    <t>1700</t>
  </si>
  <si>
    <t>35999967563</t>
  </si>
  <si>
    <t>20191102153047</t>
  </si>
  <si>
    <t>铁制燃气取暖器货样</t>
  </si>
  <si>
    <t>3073672</t>
  </si>
  <si>
    <t>5620</t>
  </si>
  <si>
    <t>-3.5844419087e+11</t>
  </si>
  <si>
    <t>20191030153114</t>
  </si>
  <si>
    <t>碎纸机货样</t>
  </si>
  <si>
    <t>3095878</t>
  </si>
  <si>
    <t>295897324</t>
  </si>
  <si>
    <t>BUREAU VERITAS</t>
  </si>
  <si>
    <t>31 KINGSLAND GRANGE</t>
  </si>
  <si>
    <t>WOOLSTON</t>
  </si>
  <si>
    <t>WARRINGTON</t>
  </si>
  <si>
    <t>CHESHIRE</t>
  </si>
  <si>
    <t>WA1 4RW</t>
  </si>
  <si>
    <t>JELENA  PAUL</t>
  </si>
  <si>
    <t>BUREAU VERITAS CPS HONG KONG</t>
  </si>
  <si>
    <t>NO. 34 CHENWU ROAD</t>
  </si>
  <si>
    <t>GUANTAI ROAD</t>
  </si>
  <si>
    <t>HOUJIE TOWN</t>
  </si>
  <si>
    <t>RECEPTION</t>
  </si>
  <si>
    <t>3 DOCKING STATIONS FOR TEST</t>
  </si>
  <si>
    <t>1100251721586</t>
  </si>
  <si>
    <t>玩具扫地机器人1个(品牌TTS Pro-Bot型号EL00535无规格)玩具扫地机器人1个(品牌TTS Pro-Bot型号IT10082无规格)集成充电器1个(品牌TTS型号IT10213无规格)货样</t>
  </si>
  <si>
    <t>1100251721556</t>
  </si>
  <si>
    <t>DTM</t>
  </si>
  <si>
    <t>PTR HARTMANN GMBH</t>
  </si>
  <si>
    <t>GEWERBEHOF 38</t>
  </si>
  <si>
    <t>WERNE</t>
  </si>
  <si>
    <t>多特蒙德</t>
  </si>
  <si>
    <t>ANJA A. HENF</t>
  </si>
  <si>
    <t>SHENZHEN ELCOM CO.LTD</t>
  </si>
  <si>
    <t>8/F, GUANCHENG INDUSTRY BUILD.</t>
  </si>
  <si>
    <t>GONGMING TOWN/GUANGMING DISTR.</t>
  </si>
  <si>
    <t>86-0755-27685838</t>
  </si>
  <si>
    <t>DANDAN MO / BECK LI</t>
  </si>
  <si>
    <t>SWITCH</t>
  </si>
  <si>
    <t>415660486</t>
  </si>
  <si>
    <t>LC4</t>
  </si>
  <si>
    <t>EUROPEAN THERMODYNAMICS LTD</t>
  </si>
  <si>
    <t>U  C5,WELLAND INDUS EST</t>
  </si>
  <si>
    <t>VALLEY WAY</t>
  </si>
  <si>
    <t>MARKET HARBOROUGH</t>
  </si>
  <si>
    <t>莱斯特</t>
  </si>
  <si>
    <t>LEICESTERSHIRE</t>
  </si>
  <si>
    <t>LE16 7PS</t>
  </si>
  <si>
    <t>AIDAN EDWARDS</t>
  </si>
  <si>
    <t>ARX - EUD DIGITAL  ELECTRONICS LTD.</t>
  </si>
  <si>
    <t>3RD FL. 50TH INDUSTRIAL BLDG,</t>
  </si>
  <si>
    <t>THE 3RD INDUSTRIAL PARK</t>
  </si>
  <si>
    <t>BANTAIN, LONGGANG.</t>
  </si>
  <si>
    <t>0755-28324851</t>
  </si>
  <si>
    <t>TIM TAM</t>
  </si>
  <si>
    <t>CONNECTING SHELLS XF2T14A624BBA</t>
  </si>
  <si>
    <t>接线端子9300个(无牌无规格/型号:XF2T14A624BBA)货样</t>
  </si>
  <si>
    <t>161601324</t>
  </si>
  <si>
    <t>EIN</t>
  </si>
  <si>
    <t>GLN BV VENLO MC F5</t>
  </si>
  <si>
    <t>GLN BV VENLO MC F</t>
  </si>
  <si>
    <t>COLUMBUSWEG 33A</t>
  </si>
  <si>
    <t>VENLO</t>
  </si>
  <si>
    <t>荷兰艾恩</t>
  </si>
  <si>
    <t>LIMBURG</t>
  </si>
  <si>
    <t>5928 LA</t>
  </si>
  <si>
    <t>DOMINIKA MAKOWSKI</t>
  </si>
  <si>
    <t>SHOES FOR CREWS</t>
  </si>
  <si>
    <t>ROOM 807, FUHUA ROAD  15</t>
  </si>
  <si>
    <t>CLIFFORD GROUP CENTER, ZHONGC</t>
  </si>
  <si>
    <t>86-131-7262-9168</t>
  </si>
  <si>
    <t>EVAN LIANG</t>
  </si>
  <si>
    <t>TRISTON CT - WHITE</t>
  </si>
  <si>
    <t>男士皮鞋2只(无牌无规格无型号)货样</t>
  </si>
  <si>
    <t>461215329</t>
  </si>
  <si>
    <t>RP2</t>
  </si>
  <si>
    <t>FARIDA SHOES PVT LTD</t>
  </si>
  <si>
    <t>17,JALAL ROAD</t>
  </si>
  <si>
    <t>AMBUR</t>
  </si>
  <si>
    <t>拉尼彼特</t>
  </si>
  <si>
    <t>TAMIL NADU</t>
  </si>
  <si>
    <t>ELIAZ BASHA</t>
  </si>
  <si>
    <t>DONGGUAN SPRINGBOK DESIGN SERVICE CO LTD</t>
  </si>
  <si>
    <t>3RD FLR B BUILDING KADEJIA IND</t>
  </si>
  <si>
    <t>3RD EAST RD DAOJIAO</t>
  </si>
  <si>
    <t>FANCY WANG</t>
  </si>
  <si>
    <t>TPR SOLE</t>
  </si>
  <si>
    <t>橡胶制鞋大底30双(无牌无规格无型号)货样</t>
  </si>
  <si>
    <t>415282405</t>
  </si>
  <si>
    <t>BLK INTERNATIONAL PTY LTD</t>
  </si>
  <si>
    <t>16 KINGSTON DR</t>
  </si>
  <si>
    <t>HELENSVALE</t>
  </si>
  <si>
    <t>CRAIG  VOYCE</t>
  </si>
  <si>
    <t>GUANGZHOU AKILEX SPORTING GOODS LTD</t>
  </si>
  <si>
    <t>2ND FLOOR, BUILDING 3</t>
  </si>
  <si>
    <t>NO 145 XINSHI ROAD, JUNHE STRE</t>
  </si>
  <si>
    <t>BAIYUN ZONE, GAUNGZHOU</t>
  </si>
  <si>
    <t>PEARL YANG</t>
  </si>
  <si>
    <t>SCARF, BEANIE SAMPLE</t>
  </si>
  <si>
    <t>棉帽1个/棉针织女式头巾1个(无牌无规格无型号)货样</t>
  </si>
  <si>
    <t>20191102155256</t>
  </si>
  <si>
    <t>男士皮鞋货样</t>
  </si>
  <si>
    <t>51.03</t>
  </si>
  <si>
    <t>接线端子货样</t>
  </si>
  <si>
    <t>2100</t>
  </si>
  <si>
    <t>20191029155420</t>
  </si>
  <si>
    <t>44</t>
  </si>
  <si>
    <t>4212</t>
  </si>
  <si>
    <t>-861331512</t>
  </si>
  <si>
    <t>橡胶制鞋大底货样</t>
  </si>
  <si>
    <t>600</t>
  </si>
  <si>
    <t>635802</t>
  </si>
  <si>
    <t>8.6150148822e+12</t>
  </si>
  <si>
    <t>20191106161207</t>
  </si>
  <si>
    <t>玩具扫地机器人货样</t>
  </si>
  <si>
    <t>4.938539537e+11</t>
  </si>
  <si>
    <t>开关货样</t>
  </si>
  <si>
    <t>SZ2</t>
  </si>
  <si>
    <t>GEWERBEHOF 39</t>
  </si>
  <si>
    <t>9/F, GUANCHENG INDUSTRY BUILD.</t>
  </si>
  <si>
    <t>86-0755-27685839</t>
  </si>
  <si>
    <t>91440300MA5DCETH6Q</t>
  </si>
  <si>
    <t>49N</t>
  </si>
  <si>
    <t>G383WKE</t>
  </si>
  <si>
    <t>417669663M0201</t>
  </si>
  <si>
    <t>417669663M0202</t>
  </si>
  <si>
    <t>20191103161835</t>
  </si>
  <si>
    <t>开关货样货样</t>
  </si>
  <si>
    <t>59368</t>
  </si>
  <si>
    <t>659033393</t>
  </si>
  <si>
    <t>BRQ</t>
  </si>
  <si>
    <t>DAITE S.R.O.</t>
  </si>
  <si>
    <t>VINOHRADSKA 74</t>
  </si>
  <si>
    <t>BRNO</t>
  </si>
  <si>
    <t>布尔诺</t>
  </si>
  <si>
    <t>618 00</t>
  </si>
  <si>
    <t>603-550638</t>
  </si>
  <si>
    <t>KOLOMAZNIKOVA</t>
  </si>
  <si>
    <t>深圳市迈锐光电有限公司</t>
  </si>
  <si>
    <t>MEISHENGCHUANGGU TECH PARK, NO. 4F</t>
  </si>
  <si>
    <t>10TH LONGCHANG RD.</t>
  </si>
  <si>
    <t>XINAN STREET</t>
  </si>
  <si>
    <t>KITTY</t>
  </si>
  <si>
    <t>LED MODUL P6</t>
  </si>
  <si>
    <t>液晶显示模组10个(无牌/规格192X192mm/型号P6)货样</t>
  </si>
  <si>
    <t>160877084</t>
  </si>
  <si>
    <t>POZ</t>
  </si>
  <si>
    <t>FIRMA HANDLOWA SORT SP.Z O.O.</t>
  </si>
  <si>
    <t>UL. ZMUDZKA 5A</t>
  </si>
  <si>
    <t>POZNAN</t>
  </si>
  <si>
    <t>波兹南</t>
  </si>
  <si>
    <t>60-604</t>
  </si>
  <si>
    <t>61652-08-66</t>
  </si>
  <si>
    <t>KAMILA MIKLASZEWSKA</t>
  </si>
  <si>
    <t>SHENZHEN GREATFAVONIAN ELECTRONIC CO., LTD.</t>
  </si>
  <si>
    <t>5F,TONGFUYU INDUSTRIAL PARK</t>
  </si>
  <si>
    <t>LEZHUJIAO ,ZHOUSHI ROAD,</t>
  </si>
  <si>
    <t>BAOAN DISTRICT, SHENZHEN</t>
  </si>
  <si>
    <t>MS LILY</t>
  </si>
  <si>
    <t>SAMPLES OF LED DEVICES</t>
  </si>
  <si>
    <t>发光二极管18个(无牌无规格无型号)货样</t>
  </si>
  <si>
    <t>159389067</t>
  </si>
  <si>
    <t>ADA</t>
  </si>
  <si>
    <t>SERKAN TOKSOZ</t>
  </si>
  <si>
    <t>YAVUZLAR MH.4092SK</t>
  </si>
  <si>
    <t>50/1</t>
  </si>
  <si>
    <t>YUREGIR</t>
  </si>
  <si>
    <t>阿达纳</t>
  </si>
  <si>
    <t>ADANA</t>
  </si>
  <si>
    <t>JOMY TECHNOLOGY CO., LIMITED</t>
  </si>
  <si>
    <t>JOMY TECNOLOGY</t>
  </si>
  <si>
    <t>ANDREA</t>
  </si>
  <si>
    <t>PLASTIC HANDLE FOR REPAIR</t>
  </si>
  <si>
    <t>清洁机用塑胶手柄9个(无牌无规格无型号)货样</t>
  </si>
  <si>
    <t>461234420</t>
  </si>
  <si>
    <t>PR7</t>
  </si>
  <si>
    <t>GIMPEX LTD</t>
  </si>
  <si>
    <t>100 PERCENT EOU</t>
  </si>
  <si>
    <t>282 LINGHI CHETTY STREET</t>
  </si>
  <si>
    <t>PARRYS</t>
  </si>
  <si>
    <t>CHENNAI</t>
  </si>
  <si>
    <t>埃格莫尔</t>
  </si>
  <si>
    <t>RADHIKA</t>
  </si>
  <si>
    <t>DAYU GLAZE CO LTD</t>
  </si>
  <si>
    <t>NO 5 BIDGINDUSTRY</t>
  </si>
  <si>
    <t>VILLAGE GANGKOU RD</t>
  </si>
  <si>
    <t>CRUSHED FELOSPAR</t>
  </si>
  <si>
    <t>碎长石11千克(无牌无规格无型号)货样</t>
  </si>
  <si>
    <t>改量</t>
    <phoneticPr fontId="1" type="noConversion"/>
  </si>
  <si>
    <t>20191106142348</t>
  </si>
  <si>
    <t>发光二极管货样</t>
  </si>
  <si>
    <t>120</t>
  </si>
  <si>
    <t>液晶显示模组货样</t>
  </si>
  <si>
    <t>353.73</t>
  </si>
  <si>
    <t>20191106142604</t>
  </si>
  <si>
    <t>清洁机用塑胶手柄货样</t>
  </si>
  <si>
    <t>955.07</t>
  </si>
  <si>
    <t>20191024142650</t>
  </si>
  <si>
    <t>碎长石货样</t>
  </si>
  <si>
    <t>20191024142706</t>
  </si>
  <si>
    <t>1220</t>
  </si>
  <si>
    <t>-9.0553522754e+11</t>
  </si>
  <si>
    <t>20191106143853</t>
  </si>
  <si>
    <t>20191106165241</t>
  </si>
  <si>
    <t>20191024165300</t>
  </si>
  <si>
    <t>728142966</t>
  </si>
  <si>
    <t>1100251721600</t>
  </si>
  <si>
    <t>粤ZCS21港1</t>
  </si>
  <si>
    <t>FRASI SRL</t>
  </si>
  <si>
    <t>VIA BENGASI 1 E</t>
  </si>
  <si>
    <t>DESIO</t>
  </si>
  <si>
    <t>0362-306155</t>
  </si>
  <si>
    <t>FRANCESCA .</t>
  </si>
  <si>
    <t>WEISHENG KNITTING UNDERWEAR FACTORY</t>
  </si>
  <si>
    <t>MAOGUANG INDUSTRIAL ZONE</t>
  </si>
  <si>
    <t>0086 87644989</t>
  </si>
  <si>
    <t>SHANTOU-CHAOYANG</t>
  </si>
  <si>
    <t>潮阳</t>
  </si>
  <si>
    <t>JOHNSON</t>
  </si>
  <si>
    <t>BRA SAMPLES</t>
  </si>
  <si>
    <t>棉制女式内衣10件(无牌无规格无型号)货样</t>
  </si>
  <si>
    <t>741240415</t>
  </si>
  <si>
    <t>B</t>
  </si>
  <si>
    <t>SERVEX K10 LOGISTICS SL</t>
  </si>
  <si>
    <t>SERVEX K LOGISTICS SL</t>
  </si>
  <si>
    <t>ALBERT EINSTEIN 1828</t>
  </si>
  <si>
    <t>CORNELLA DE LLOBREGAT</t>
  </si>
  <si>
    <t>MICHEL GODAY</t>
  </si>
  <si>
    <t>孙雨晴</t>
  </si>
  <si>
    <t>SUN YU QING</t>
  </si>
  <si>
    <t>14-2-1-2 SHUANGXIANGZI COMMUNI</t>
  </si>
  <si>
    <t>TY,SHUANGXIANGZI STREET,SHAPIN</t>
  </si>
  <si>
    <t>GBA DISTRICT,CHONGQI</t>
  </si>
  <si>
    <t>BISUTERIA / JEWELRY 3GR</t>
  </si>
  <si>
    <t>项链1条(PDPAOLA牌/2.5g/925纯银)</t>
  </si>
  <si>
    <t>||无|无</t>
  </si>
  <si>
    <t>身份证</t>
  </si>
  <si>
    <t>20191108160449</t>
  </si>
  <si>
    <t>棉制女式内衣货样</t>
  </si>
  <si>
    <t>20191106160554</t>
  </si>
  <si>
    <t>项链货样</t>
  </si>
  <si>
    <t>222852151</t>
  </si>
  <si>
    <t>NC3</t>
  </si>
  <si>
    <t>ABM AVVOLGIMENTI</t>
  </si>
  <si>
    <t>VIA PESSINA 2</t>
  </si>
  <si>
    <t>QUARTO</t>
  </si>
  <si>
    <t>那不勒斯</t>
  </si>
  <si>
    <t>NA</t>
  </si>
  <si>
    <t>ALFIERI</t>
  </si>
  <si>
    <t>ORBIT ELECTRONICS INC.</t>
  </si>
  <si>
    <t>NO.13,QULING 1ST ROAD,QUTANG I</t>
  </si>
  <si>
    <t>NDUSTRIAL PARK,LIAOBU TOWN</t>
  </si>
  <si>
    <t>0769-83221205</t>
  </si>
  <si>
    <t>Sisi_Yi</t>
  </si>
  <si>
    <t>ELECTRICAL MATERIAL</t>
  </si>
  <si>
    <t>电子元件25千克货样</t>
  </si>
  <si>
    <t>162515091</t>
  </si>
  <si>
    <t>YUJIN ROBOT GINA WORLD CO LTD</t>
  </si>
  <si>
    <t>33, HARMONY-RO 187BEON-GIL</t>
  </si>
  <si>
    <t>4FL</t>
  </si>
  <si>
    <t>YEONSU-GU INCHEON</t>
  </si>
  <si>
    <t>INCHEON</t>
  </si>
  <si>
    <t>CHENGYUAN ELECTRONIC</t>
  </si>
  <si>
    <t>SONG SHAN HU ZHONG JI ZHI HUI</t>
  </si>
  <si>
    <t>ZHI HUI YUAN 1DONG  2303 ROOM.</t>
  </si>
  <si>
    <t>HUANG   LONG</t>
  </si>
  <si>
    <t>20191106195028</t>
  </si>
  <si>
    <t>580660</t>
  </si>
  <si>
    <t>-4997</t>
  </si>
  <si>
    <t>20191108195119</t>
  </si>
  <si>
    <t>电子元件货样</t>
  </si>
  <si>
    <t>3097752</t>
  </si>
  <si>
    <t>20191108195907</t>
  </si>
  <si>
    <t>708744499</t>
  </si>
  <si>
    <t>CHF</t>
  </si>
  <si>
    <t>GLEASON SWITZERLAND AG</t>
  </si>
  <si>
    <t>ZWEIGNIEDERLASSUNG DIETIKON</t>
  </si>
  <si>
    <t>LERZENSTRASSE 8</t>
  </si>
  <si>
    <t>DIETIKON</t>
  </si>
  <si>
    <t>C. ARCERA</t>
  </si>
  <si>
    <t>CHENGDU TSINGSHAN INDUSTRY CO.,LTD</t>
  </si>
  <si>
    <t>ROOM 501,66 HEZHI WEST RD</t>
  </si>
  <si>
    <t>BAIHE TOWN, LONGQUANYI DISTRIC</t>
  </si>
  <si>
    <t>CHENGDU-LONGQUANYI</t>
  </si>
  <si>
    <t>LI JUIN</t>
  </si>
  <si>
    <t>E/AUTRES INTERRUPTEURS, SECTIONNEURS, COMMUTATEURS</t>
  </si>
  <si>
    <t>安全开关1个(无牌无规格无型号)货样</t>
  </si>
  <si>
    <t>20191106162258</t>
  </si>
  <si>
    <t>安全开关货样</t>
  </si>
  <si>
    <t>包装类型*</t>
    <phoneticPr fontId="3" type="noConversion"/>
  </si>
  <si>
    <t>毛重(KG)*</t>
    <phoneticPr fontId="3" type="noConversion"/>
  </si>
  <si>
    <t>货物件数*</t>
    <phoneticPr fontId="3" type="noConversion"/>
  </si>
  <si>
    <t>商品描述*</t>
    <phoneticPr fontId="3" type="noConversion"/>
  </si>
  <si>
    <t>提运单号*</t>
    <phoneticPr fontId="3" type="noConversion"/>
  </si>
  <si>
    <t>提运单号*</t>
    <phoneticPr fontId="3" type="noConversion"/>
  </si>
  <si>
    <t>货物信息</t>
    <phoneticPr fontId="3" type="noConversion"/>
  </si>
  <si>
    <t>箱号*</t>
    <phoneticPr fontId="3" type="noConversion"/>
  </si>
  <si>
    <t>集装箱信息(柜车必填，吨车不填，跨境快通填写车辆海关编号)</t>
    <phoneticPr fontId="3" type="noConversion"/>
  </si>
  <si>
    <t>发货人名称*</t>
    <phoneticPr fontId="3" type="noConversion"/>
  </si>
  <si>
    <t>收货人名称*</t>
    <phoneticPr fontId="3" type="noConversion"/>
  </si>
  <si>
    <t>货物总毛重(KG)*</t>
    <phoneticPr fontId="3" type="noConversion"/>
  </si>
  <si>
    <t>货物总件数*</t>
    <phoneticPr fontId="3" type="noConversion"/>
  </si>
  <si>
    <t>金额类型*</t>
    <phoneticPr fontId="3" type="noConversion"/>
  </si>
  <si>
    <t>货物价值*</t>
    <phoneticPr fontId="3" type="noConversion"/>
  </si>
  <si>
    <t>提单信息</t>
    <phoneticPr fontId="3" type="noConversion"/>
  </si>
  <si>
    <t>（快件跨通专用）跨境指运或启运地</t>
    <phoneticPr fontId="3" type="noConversion"/>
  </si>
  <si>
    <t>货物通关代码*</t>
    <phoneticPr fontId="3" type="noConversion"/>
  </si>
  <si>
    <t>货物装载时间*</t>
    <phoneticPr fontId="3" type="noConversion"/>
  </si>
  <si>
    <t>装卸地代码*</t>
    <phoneticPr fontId="3" type="noConversion"/>
  </si>
  <si>
    <t>运输方式*</t>
    <phoneticPr fontId="3" type="noConversion"/>
  </si>
  <si>
    <t>过境口岸*</t>
    <phoneticPr fontId="3" type="noConversion"/>
  </si>
  <si>
    <t>注：带*号为必填字段，全单导入功能需要自编提运单号，另外，批次号、口岸、通关代码、总件数、毛重、柜号需要重点复核。</t>
    <phoneticPr fontId="3" type="noConversion"/>
  </si>
  <si>
    <t>货物运输批次号*</t>
    <phoneticPr fontId="3" type="noConversion"/>
  </si>
  <si>
    <t>公路舱单批量/单票导入模板（进出口通用）V1608</t>
    <phoneticPr fontId="3" type="noConversion"/>
  </si>
  <si>
    <t>备注:</t>
  </si>
  <si>
    <r>
      <t>整批次主管海关进场</t>
    </r>
    <r>
      <rPr>
        <b/>
        <sz val="18"/>
        <color rgb="FFFF0000"/>
        <rFont val="Wingdings"/>
        <charset val="2"/>
      </rPr>
      <t>à</t>
    </r>
    <r>
      <rPr>
        <b/>
        <sz val="18"/>
        <color rgb="FFFF0000"/>
        <rFont val="宋体"/>
        <family val="3"/>
        <charset val="134"/>
      </rPr>
      <t>整批次理货</t>
    </r>
    <r>
      <rPr>
        <b/>
        <sz val="18"/>
        <color rgb="FFFF0000"/>
        <rFont val="Wingdings"/>
        <charset val="2"/>
      </rPr>
      <t>à</t>
    </r>
    <r>
      <rPr>
        <b/>
        <sz val="18"/>
        <color rgb="FFFF0000"/>
        <rFont val="宋体"/>
        <family val="3"/>
        <charset val="134"/>
      </rPr>
      <t>整批次放行</t>
    </r>
    <phoneticPr fontId="1" type="noConversion"/>
  </si>
  <si>
    <t>企业签章</t>
    <phoneticPr fontId="1" type="noConversion"/>
  </si>
  <si>
    <t>载货清单号:</t>
  </si>
  <si>
    <t>运输批次号:</t>
  </si>
  <si>
    <t>实际重量:</t>
  </si>
  <si>
    <t>分运单号:</t>
  </si>
  <si>
    <t xml:space="preserve">         兹有联邦快递（中国）有限公司深圳分公司陆运进口货物，详细信息如下:</t>
  </si>
  <si>
    <t>申请日期</t>
  </si>
  <si>
    <t>联邦快递（中国）有限公司深圳分公司</t>
    <phoneticPr fontId="1" type="noConversion"/>
  </si>
  <si>
    <t>快递公司</t>
  </si>
  <si>
    <t>文件名</t>
    <phoneticPr fontId="1" type="noConversion"/>
  </si>
  <si>
    <t>快件中心进口普货公路舱单新增申请表</t>
    <phoneticPr fontId="1" type="noConversion"/>
  </si>
  <si>
    <r>
      <t>货物运输批次号</t>
    </r>
    <r>
      <rPr>
        <sz val="11"/>
        <color rgb="FFC00000"/>
        <rFont val="宋体"/>
        <family val="3"/>
        <charset val="134"/>
        <scheme val="minor"/>
      </rPr>
      <t>*</t>
    </r>
    <phoneticPr fontId="20" type="noConversion"/>
  </si>
  <si>
    <t>009：补充因代理人等外部因素而造成的舱单选填数据元遗漏
010：重复的舱单数据
011：上一港口漏卸的货物
012：在本监管场所错卸的货物
013：货物在进入海关监管场所后失窃
014：货物在进入海关监管场所后失踪
015：根据案件处理结果修改
999：其他</t>
    <phoneticPr fontId="20" type="noConversion"/>
  </si>
  <si>
    <t>001：货物漏装
002：临时拉货
003：错装、多装货物
004：因疏忽而造成的舱单必填数据元差错
005：更正因疏忽而造成的舱单选填数据元差错
006：补充因疏忽而造成的舱单选填数据元遗漏
007：更正因代理人等外部因素而造成的舱单必填数据元差错 
008：更正因代理人等外部因素而造成的舱单选填数据元差错</t>
    <phoneticPr fontId="20" type="noConversion"/>
  </si>
  <si>
    <t>477830953</t>
  </si>
  <si>
    <t>GRO</t>
  </si>
  <si>
    <t>TALIA MORENO CABEZAS</t>
  </si>
  <si>
    <t>CARRER D EMPURIES 17-19 2 2</t>
  </si>
  <si>
    <t>GIRONA</t>
  </si>
  <si>
    <t>TDT EXPRESS</t>
  </si>
  <si>
    <t>NO.52 JIAOYU RD. HUANGJIANGTOW</t>
  </si>
  <si>
    <t>0769-83630003</t>
  </si>
  <si>
    <t>Jerry_Yang</t>
  </si>
  <si>
    <t>SUETER / SWEATER</t>
  </si>
  <si>
    <t>化纤针织男式上衣3件/锌合金项链2条(无牌无规格无型号)货样</t>
  </si>
  <si>
    <t>91441900770952438N</t>
  </si>
  <si>
    <t>1100251721026</t>
  </si>
  <si>
    <t>东莞市天地通速递有限公司</t>
  </si>
  <si>
    <t>纯棉男式毛衣1件/纯棉男式夹克1件/纯棉男式衬衫1件/925纯银项链2条(Jose Luis牌无型号无规格)货样</t>
  </si>
  <si>
    <t>165769682</t>
  </si>
  <si>
    <t>ANR</t>
  </si>
  <si>
    <t>ORBIT</t>
  </si>
  <si>
    <t>SCHOONMANSVELD 35</t>
  </si>
  <si>
    <t>PUURS-SINT-AMANDS</t>
  </si>
  <si>
    <t>安特卫普</t>
  </si>
  <si>
    <t>ISABELLE AELBRECHT</t>
  </si>
  <si>
    <t>FUYUAN 1ST ROAD</t>
  </si>
  <si>
    <t>DINGFENG HIGH-TECH ZONE</t>
  </si>
  <si>
    <t>2ND BUILDING</t>
  </si>
  <si>
    <t>ANDIE YEE</t>
  </si>
  <si>
    <t>LIGHTING FIXTURES</t>
  </si>
  <si>
    <t>LED灯2个(无牌规格:18W型号:BS810601S SL20,BS810601ES SL20NW)货样</t>
  </si>
  <si>
    <t>157272030</t>
  </si>
  <si>
    <t>RTC AUTOMATIKA KFT.</t>
  </si>
  <si>
    <t>GYOMROI UT 76-80</t>
  </si>
  <si>
    <t>KOVACS PATRIK</t>
  </si>
  <si>
    <t>深圳市福田区新极星电子商行</t>
  </si>
  <si>
    <t>SHEN ZHEN SHI FU TIAN QU XIN JI XING DIAN ZI SHANG HANG</t>
  </si>
  <si>
    <t>3A097, JIAHE HUAQIANG BLDG,</t>
  </si>
  <si>
    <t>86-13530993152</t>
  </si>
  <si>
    <t>PAN YONGZHEN</t>
  </si>
  <si>
    <t>ELECTRONIC COMPONENT</t>
  </si>
  <si>
    <t>编码器1个(用于伺服电机编程用/无牌/无型号/无规格)(自扣)货样</t>
  </si>
  <si>
    <t>20191106225130</t>
  </si>
  <si>
    <t>编码器货样</t>
  </si>
  <si>
    <t>58079</t>
  </si>
  <si>
    <t>400</t>
  </si>
  <si>
    <t>20191102225236</t>
  </si>
  <si>
    <t>化纤针织男式上衣货样</t>
  </si>
  <si>
    <t>98985</t>
  </si>
  <si>
    <t>282.98</t>
  </si>
  <si>
    <t>20191110225345</t>
  </si>
  <si>
    <t>37896</t>
  </si>
  <si>
    <t>-29284087</t>
  </si>
  <si>
    <t>171.71</t>
  </si>
  <si>
    <t>纯棉男式毛衣货样</t>
  </si>
  <si>
    <t>1105.19</t>
  </si>
  <si>
    <t>727889085</t>
  </si>
  <si>
    <t>1100251721596</t>
  </si>
  <si>
    <t>IPO</t>
  </si>
  <si>
    <t>MEDEL INTERNATIONAL SRL</t>
  </si>
  <si>
    <t>VIA VILLAPIZZONE 26</t>
  </si>
  <si>
    <t>MILANO</t>
  </si>
  <si>
    <t>米兰</t>
  </si>
  <si>
    <t>MI</t>
  </si>
  <si>
    <t>VALENTINA OCCHILUPO</t>
  </si>
  <si>
    <t>GLOBALCARE CO . LTD</t>
  </si>
  <si>
    <t>BLDG 7, 39, MIDDLE IND. MAIN R</t>
  </si>
  <si>
    <t>XIAOLAN IND. ZONEXIAOLAN TOWN</t>
  </si>
  <si>
    <t>ROBERT</t>
  </si>
  <si>
    <t>ACCESSORIES</t>
  </si>
  <si>
    <t>塑胶制电子连接器1个(无牌无规格无型号)货样</t>
  </si>
  <si>
    <t>162967264</t>
  </si>
  <si>
    <t>INN</t>
  </si>
  <si>
    <t>EGLO LEUCHTEN GMBH</t>
  </si>
  <si>
    <t>HEILIGKREUZ 22</t>
  </si>
  <si>
    <t>PILL</t>
  </si>
  <si>
    <t>因斯布鲁克</t>
  </si>
  <si>
    <t>GERGOE PARTENYI</t>
  </si>
  <si>
    <t>DONGGUAN CITY TIANHUA PHOTOELECTRIC TECHNOLOGY CO.</t>
  </si>
  <si>
    <t>2ND ROAD, JINQIANLING</t>
  </si>
  <si>
    <t>INDUSTRIAL ZONE,JITIGANG</t>
  </si>
  <si>
    <t>VILLAGE, HUANGJIANG TOWN</t>
  </si>
  <si>
    <t>Z.H. ALLY YANG</t>
  </si>
  <si>
    <t>SAMPLES</t>
  </si>
  <si>
    <t>落地灯1个(无牌无规格无型号)货样</t>
  </si>
  <si>
    <t>161953604</t>
  </si>
  <si>
    <t>75A</t>
  </si>
  <si>
    <t>MARCY PARIS</t>
  </si>
  <si>
    <t>102 RUE REAUMUR 4EME ETAGE</t>
  </si>
  <si>
    <t>PARIS</t>
  </si>
  <si>
    <t>JENNIFER LEBAILLIF</t>
  </si>
  <si>
    <t>ANNAK CHINA KNITWEAR CO LTD</t>
  </si>
  <si>
    <t>SHANGHUI BUILDING FLOOR28-2858</t>
  </si>
  <si>
    <t>288 YINGNAN ROAD</t>
  </si>
  <si>
    <t>DALANG TOWN,DONGUAN 523770</t>
  </si>
  <si>
    <t>HENRY DENG</t>
  </si>
  <si>
    <t>FABRICS</t>
  </si>
  <si>
    <t>布色卡500个(无牌无规格无型号)货样</t>
  </si>
  <si>
    <t>421254982</t>
  </si>
  <si>
    <t>WOW APS</t>
  </si>
  <si>
    <t>FILMBYEN 16</t>
  </si>
  <si>
    <t>HVIDOVRE</t>
  </si>
  <si>
    <t>MIA  SKJOLDAGER</t>
  </si>
  <si>
    <t>DONGGUAN IDEAS TRADING CO. LTD.</t>
  </si>
  <si>
    <t>ROOM 1313, CHANGHONG BUILDING,</t>
  </si>
  <si>
    <t>ZHANGMUTOU TOWN, GUANGDONG PRO</t>
  </si>
  <si>
    <t>GARY DAI</t>
  </si>
  <si>
    <t>METAL DOTS</t>
  </si>
  <si>
    <t>421101074</t>
  </si>
  <si>
    <t>BRS</t>
  </si>
  <si>
    <t>WURLIN LTD</t>
  </si>
  <si>
    <t>TOP FLOOR</t>
  </si>
  <si>
    <t>3 MILES S BUILDINGS</t>
  </si>
  <si>
    <t>BATH</t>
  </si>
  <si>
    <t>布里斯托尔</t>
  </si>
  <si>
    <t>AVON</t>
  </si>
  <si>
    <t>BA1 2QS</t>
  </si>
  <si>
    <t>STEVE  HILL</t>
  </si>
  <si>
    <t>DONG GUAN YUANJIN HANDBAG CO</t>
  </si>
  <si>
    <t>4F, ANJIA PARK,</t>
  </si>
  <si>
    <t>NANSHAN SECOND INDUSTRIAL ZONE</t>
  </si>
  <si>
    <t>YANTIAN VILLAGE, FENGGANG TOWN</t>
  </si>
  <si>
    <t>ALINA QIU</t>
  </si>
  <si>
    <t>RED AND BLACK SAMPLE BAG</t>
  </si>
  <si>
    <t>PU包1个(无牌无规格无型号)货样</t>
  </si>
  <si>
    <t>337737035</t>
  </si>
  <si>
    <t>KG3</t>
  </si>
  <si>
    <t>SALIHOGLU TAS.VE DAN.SAN.TIC.LTD.STI.</t>
  </si>
  <si>
    <t>ETILER MH.</t>
  </si>
  <si>
    <t>BEBEK YOKUSU SOK.</t>
  </si>
  <si>
    <t>NO:5 DAIRE:6</t>
  </si>
  <si>
    <t>BESIKTAS</t>
  </si>
  <si>
    <t>博兹库尔特</t>
  </si>
  <si>
    <t>ISTANBUL</t>
  </si>
  <si>
    <t>广州华思服饰有限公司</t>
  </si>
  <si>
    <t>ROISSY BRIDAL GUANGZHOU CO LTD</t>
  </si>
  <si>
    <t>4 FLOOR HUAXIN BLDG</t>
  </si>
  <si>
    <t>N 28 XIN YE DA DAO</t>
  </si>
  <si>
    <t>DRESS SAMPLE</t>
  </si>
  <si>
    <t>婚纱10件Gumbdh牌/材质:100%涤纶/规格型号详见清单)(自扣)货样</t>
  </si>
  <si>
    <t>20191110133338</t>
  </si>
  <si>
    <t>198.55</t>
  </si>
  <si>
    <t>2650</t>
  </si>
  <si>
    <t>162.72</t>
  </si>
  <si>
    <t>1100251721016</t>
  </si>
  <si>
    <t>20191109133645</t>
  </si>
  <si>
    <t>婚纱货样</t>
  </si>
  <si>
    <t>4440</t>
  </si>
  <si>
    <t>20191102133812</t>
  </si>
  <si>
    <t>780.52</t>
  </si>
  <si>
    <t>20191107133900</t>
  </si>
  <si>
    <t>落地灯货样</t>
  </si>
  <si>
    <t>250</t>
  </si>
  <si>
    <t>塑胶制电子连接器货样</t>
  </si>
  <si>
    <t>169.79</t>
  </si>
  <si>
    <t>324703470</t>
  </si>
  <si>
    <t>MONITOR/JANG CHUNG GEUN</t>
  </si>
  <si>
    <t>15, DOKSAN-RO 24DA-GIL, GEUMCH</t>
  </si>
  <si>
    <t>EON-GU 1 FLOOR,SEOUL REP. OF K</t>
  </si>
  <si>
    <t>OREA .SOUTH KOREA</t>
  </si>
  <si>
    <t>GEUMCHEON-GU SEOUL</t>
  </si>
  <si>
    <t>SEOUL</t>
  </si>
  <si>
    <t>JANG CHUNGKUN</t>
  </si>
  <si>
    <t>深圳市银基电子有限公司</t>
  </si>
  <si>
    <t>WINNI (HK) ELECTRONIC COMPANY</t>
  </si>
  <si>
    <t>30G,JINGHAI GARDEN,FUHUA RD</t>
  </si>
  <si>
    <t>1392-6586864</t>
  </si>
  <si>
    <t>MISS_WANG</t>
  </si>
  <si>
    <t>LCD PANEL SAMPLES SET</t>
  </si>
  <si>
    <t>液晶显示面板5块(无牌无规格型号:LM64P30)货样</t>
  </si>
  <si>
    <t>20191110134332</t>
  </si>
  <si>
    <t>液晶显示面板货样</t>
  </si>
  <si>
    <t>20191110144533</t>
  </si>
  <si>
    <t>2870</t>
  </si>
  <si>
    <t>3014196</t>
  </si>
  <si>
    <t>8572</t>
  </si>
  <si>
    <t>9.1440300675e+17</t>
  </si>
  <si>
    <t>2447344</t>
  </si>
  <si>
    <t>-18680501158</t>
  </si>
  <si>
    <t>2001603</t>
  </si>
  <si>
    <t>-23554173</t>
  </si>
  <si>
    <t>17005</t>
  </si>
  <si>
    <t>3</t>
  </si>
  <si>
    <t>20191102145538</t>
  </si>
  <si>
    <t>-8.6769390036e+12</t>
  </si>
  <si>
    <t>20191107145801</t>
  </si>
  <si>
    <t>-8.6769388543e+12</t>
  </si>
  <si>
    <t>36919433</t>
  </si>
  <si>
    <t>165539300</t>
  </si>
  <si>
    <t>BY TERRY</t>
  </si>
  <si>
    <t>24 Rue Erlanger</t>
  </si>
  <si>
    <t>MORGANE HADJEDJ</t>
  </si>
  <si>
    <t>JUJIN PACKAGING</t>
  </si>
  <si>
    <t>NO. 9, LANZHU EAST RD</t>
  </si>
  <si>
    <t>PINGSHAN DISTRICT,</t>
  </si>
  <si>
    <t>RUBY YU</t>
  </si>
  <si>
    <t>COSMETIC</t>
  </si>
  <si>
    <t>包装用纸盒1个(无牌无规格无型号)货样</t>
  </si>
  <si>
    <t>20191110151252</t>
  </si>
  <si>
    <t>包装用纸盒货样</t>
  </si>
  <si>
    <t>349884795</t>
  </si>
  <si>
    <t>ENAMEL FRIT  108 SHINE BLACK , GREEN IRON RED,  PINK LILA</t>
  </si>
  <si>
    <t>着色料6千克(无牌无规格无型号)货样</t>
  </si>
  <si>
    <t>728467021</t>
  </si>
  <si>
    <t>ILT</t>
  </si>
  <si>
    <t>B.C.M. ILLUMINAZIONE SRL</t>
  </si>
  <si>
    <t>VIA PASTORE GIULIO 2</t>
  </si>
  <si>
    <t>CAMAIORE</t>
  </si>
  <si>
    <t>卢卡</t>
  </si>
  <si>
    <t>LU</t>
  </si>
  <si>
    <t>CORRADO DI SIMO</t>
  </si>
  <si>
    <t>ANOVA LIGHTING CO. LTD</t>
  </si>
  <si>
    <t>HENG GUI VILLAGE UNITED, 1-2 W</t>
  </si>
  <si>
    <t>FOSHAN-NANHAI</t>
  </si>
  <si>
    <t>KANG</t>
  </si>
  <si>
    <t>LIGHTING</t>
  </si>
  <si>
    <t>LED灯用电路板3个(无牌无规格无型号)货样</t>
  </si>
  <si>
    <t>418004484</t>
  </si>
  <si>
    <t>MC4</t>
  </si>
  <si>
    <t>CRYSTAL MOUNTAIN WATER COOLERS</t>
  </si>
  <si>
    <t>FENCE HOUSE</t>
  </si>
  <si>
    <t>FENCE AVENUE</t>
  </si>
  <si>
    <t>MACCLESFIELD</t>
  </si>
  <si>
    <t>曼彻斯特</t>
  </si>
  <si>
    <t>SK10 1LT</t>
  </si>
  <si>
    <t>JIM  HALSALL</t>
  </si>
  <si>
    <t>CRYSTAL MOUNTAIN CHINA LIMITED</t>
  </si>
  <si>
    <t>NO 1 FACTORY</t>
  </si>
  <si>
    <t>PUSHI THREE ROAD</t>
  </si>
  <si>
    <t>QAIOTOU TOWN</t>
  </si>
  <si>
    <t>769-8102-0288</t>
  </si>
  <si>
    <t>ERIC AO</t>
  </si>
  <si>
    <t>CRYSTAL MOUNTAIN ICEBERG CHILLER</t>
  </si>
  <si>
    <t>制冷机1个(无牌无规格型号ICS-P1LFL2C)货样</t>
  </si>
  <si>
    <t>20191110221121</t>
  </si>
  <si>
    <t>LED灯用电路板货样</t>
  </si>
  <si>
    <t>55041</t>
  </si>
  <si>
    <t>584969632</t>
  </si>
  <si>
    <t>13903066690</t>
  </si>
  <si>
    <t>20191107221222</t>
  </si>
  <si>
    <t>制冷机货样</t>
  </si>
  <si>
    <t>20191107222029</t>
  </si>
  <si>
    <t>164227345</t>
  </si>
  <si>
    <t>NN1</t>
  </si>
  <si>
    <t>FRESENIUS KABI KOREA LTD</t>
  </si>
  <si>
    <t>9FL, APPLETOWER</t>
  </si>
  <si>
    <t>69, BAEKJEGOBUN-RO</t>
  </si>
  <si>
    <t>SONGPA-GU SEOUL</t>
  </si>
  <si>
    <t>江南</t>
  </si>
  <si>
    <t>HYO JIN CHO</t>
  </si>
  <si>
    <t>FRESENIUS KABI(GUANGZHOU) CO.,LTD</t>
  </si>
  <si>
    <t>NO.43 BAOYING STREET,</t>
  </si>
  <si>
    <t>GUANGZHOU FREE TRADE ZONE</t>
  </si>
  <si>
    <t>510730,GUANGZHOU,P.R.CHINA</t>
  </si>
  <si>
    <t>WILLIAMS.YAO</t>
  </si>
  <si>
    <t>PLASTIC BAG</t>
  </si>
  <si>
    <t>塑料袋1个(无牌无规格无型号)货样</t>
  </si>
  <si>
    <t>162841357</t>
  </si>
  <si>
    <t>BONGSHIN LOAD CELL.</t>
  </si>
  <si>
    <t>55,GAJANGSANUPSEOBUK-RO</t>
  </si>
  <si>
    <t>OSAN-SI</t>
  </si>
  <si>
    <t>DAVID SONG</t>
  </si>
  <si>
    <t>深圳市现代豪方仪器仪表科技有限公司</t>
  </si>
  <si>
    <t>MODERN HERO TECHNOLOGS(SHENZHEN)CO.,LTD.</t>
  </si>
  <si>
    <t>303ROOM, 4050  NANHAI ROAD</t>
  </si>
  <si>
    <t>NANSHAN DIST., SHENZHEN CITY</t>
  </si>
  <si>
    <t>0755-86111930</t>
  </si>
  <si>
    <t>MS_YU</t>
  </si>
  <si>
    <t>WEIGHT SENSOR</t>
  </si>
  <si>
    <t>重力传感器1个/指示器1个(无牌无规格型号CS278A-30T/BS-32-10)货样</t>
  </si>
  <si>
    <t>349879526</t>
  </si>
  <si>
    <t>JPY</t>
  </si>
  <si>
    <t>KOUSHIN INDUSTRIES,INC.</t>
  </si>
  <si>
    <t>1000-1 HIRAKATA</t>
  </si>
  <si>
    <t>AGEO</t>
  </si>
  <si>
    <t>SAITAMA</t>
  </si>
  <si>
    <t>048-781-8800</t>
  </si>
  <si>
    <t>KAZUYOSHI KADOKURA</t>
  </si>
  <si>
    <t>JOINT CHINESE LIMITED</t>
  </si>
  <si>
    <t>3F 1TH HUAFENG INDUSTRIAL WARD</t>
  </si>
  <si>
    <t>LUOTIAN COMMUNTIY SONGGANG-TOW</t>
  </si>
  <si>
    <t>BAOAN DISTRICT SHENZHEN CHINA</t>
  </si>
  <si>
    <t>86-18676049220</t>
  </si>
  <si>
    <t>ZHANG WENJIE</t>
  </si>
  <si>
    <t>PLASTIC BAND</t>
  </si>
  <si>
    <t>塑料带1600个(型号:1E027-00)/塑胶LED支架792个/LED灯用塑胶连接件792个(无牌无规格无型号)货样</t>
  </si>
  <si>
    <t>166012608</t>
  </si>
  <si>
    <t>CONXION A/S</t>
  </si>
  <si>
    <t>ENGG RDSVEJ 11</t>
  </si>
  <si>
    <t>ENGG RDEN</t>
  </si>
  <si>
    <t>NAESTVED</t>
  </si>
  <si>
    <t>BERIT HOLGERSEN</t>
  </si>
  <si>
    <t>ASIA CONXION PURCHASING OFFICE</t>
  </si>
  <si>
    <t>ROOM 1703, BLOCK 3-3</t>
  </si>
  <si>
    <t>23  MINGDA RD. XIANGZHOU DISTR</t>
  </si>
  <si>
    <t>KIM</t>
  </si>
  <si>
    <t>DUMMIES</t>
  </si>
  <si>
    <t>塑胶模型6个(无牌无规格无型号)货样</t>
  </si>
  <si>
    <t>165838391</t>
  </si>
  <si>
    <t>VIE</t>
  </si>
  <si>
    <t>AMICO HANDELS GMBH</t>
  </si>
  <si>
    <t>KAPLANSTRASSE 15</t>
  </si>
  <si>
    <t>TULLN</t>
  </si>
  <si>
    <t>维也纳</t>
  </si>
  <si>
    <t>CHRISTA PICHLER</t>
  </si>
  <si>
    <t>GUANSUI METAL PRODUCT COMPANY LIMITED</t>
  </si>
  <si>
    <t>UNIT 801 8TH FLOOR</t>
  </si>
  <si>
    <t>SHENGJIAN BUILDING NO.3</t>
  </si>
  <si>
    <t>GANGKOU SECOND ROAD</t>
  </si>
  <si>
    <t>86-13827454776</t>
  </si>
  <si>
    <t>ELLIN YEH</t>
  </si>
  <si>
    <t>CUTTING BOARDS</t>
  </si>
  <si>
    <t>塑胶砧板2块(无牌无规格无型号)货样</t>
  </si>
  <si>
    <t>165702779</t>
  </si>
  <si>
    <t>SHI B.V.</t>
  </si>
  <si>
    <t>KESKESWEG 19</t>
  </si>
  <si>
    <t>ASTEN</t>
  </si>
  <si>
    <t>NOORD-BRABANT</t>
  </si>
  <si>
    <t>5721 WS</t>
  </si>
  <si>
    <t>NAOMI LOOIJENS</t>
  </si>
  <si>
    <t>SHENZHEN ZHONGHENGHUA TECHNOLOGY CO., LTD</t>
  </si>
  <si>
    <t>4/F EAST, BUILDING A, NANKENG</t>
  </si>
  <si>
    <t>2ND INDUSTRIAL ZONE, BANTIAN,</t>
  </si>
  <si>
    <t>LONGGANG DISTRICT</t>
  </si>
  <si>
    <t>CARLY YE</t>
  </si>
  <si>
    <t>EARPLUG 3.5MM JACK PLUG</t>
  </si>
  <si>
    <t>音箱2个/耳塞用塑胶连接头6个(无牌规格3.5MM无型号)货样</t>
  </si>
  <si>
    <t>163986199</t>
  </si>
  <si>
    <t>RTM</t>
  </si>
  <si>
    <t>NOTTROT B.V.</t>
  </si>
  <si>
    <t>EVERDENBERG 79</t>
  </si>
  <si>
    <t>OOSTERHOUT NB</t>
  </si>
  <si>
    <t>鹿特丹</t>
  </si>
  <si>
    <t>4902 TT</t>
  </si>
  <si>
    <t>COEN NOTTROT</t>
  </si>
  <si>
    <t>广东泰奇克光电科技有限公司</t>
  </si>
  <si>
    <t>GUANGDONG TOUCHKIT PHOTOELECTRIC TECHNOLOGY CO.,LT</t>
  </si>
  <si>
    <t>ADD:5TH FLOOR.,R&amp;D BUILDING</t>
  </si>
  <si>
    <t>NO. 3 GUANGPU WEST RD,</t>
  </si>
  <si>
    <t>SCIENCE CITY</t>
  </si>
  <si>
    <t>LOIS CHI</t>
  </si>
  <si>
    <t>GLASS FOR ADDING TOUCH SCREEN</t>
  </si>
  <si>
    <t>玻璃片50片(用来贴合触摸屏功能片,无电子元器件的纯玻璃片加工后加功能后可用于平板电脑/无牌/规格:40cm*34cm*0.27cm/无型号)(自扣)货样</t>
  </si>
  <si>
    <t>ROM</t>
  </si>
  <si>
    <t>BARBARINI &amp; FOGLIA SRL</t>
  </si>
  <si>
    <t>VIA PORTUENSE 1555</t>
  </si>
  <si>
    <t>ROMA</t>
  </si>
  <si>
    <t>罗马</t>
  </si>
  <si>
    <t>RM</t>
  </si>
  <si>
    <t>FORTE</t>
  </si>
  <si>
    <t>海南康和船业有限公司</t>
  </si>
  <si>
    <t>HAI NAN KANG HE CHUAN YE YOU XIAN GONG SI</t>
  </si>
  <si>
    <t>DAZHOU</t>
  </si>
  <si>
    <t>洋浦</t>
  </si>
  <si>
    <t>SUN YONG</t>
  </si>
  <si>
    <t>SAMPLES OF MOTOR ACCESSORIES</t>
  </si>
  <si>
    <t>游艇上站驾驶系统1套(游艇上站驾驶操作用/VOLVO牌/D6-400型/无规格)(自扣)货样</t>
  </si>
  <si>
    <t>20191110133736</t>
  </si>
  <si>
    <t>音箱货样</t>
  </si>
  <si>
    <t>43779.844225</t>
  </si>
  <si>
    <t>43781.600509</t>
  </si>
  <si>
    <t>493680900</t>
  </si>
  <si>
    <t>-8628225393</t>
  </si>
  <si>
    <t>43779.375498</t>
  </si>
  <si>
    <t>218.55</t>
  </si>
  <si>
    <t>塑胶砧板货样</t>
  </si>
  <si>
    <t>43779.844144</t>
  </si>
  <si>
    <t>3430</t>
  </si>
  <si>
    <t>-4.3227282262e+12</t>
  </si>
  <si>
    <t>43779.375567</t>
  </si>
  <si>
    <t>163.91</t>
  </si>
  <si>
    <t>塑胶模型货样</t>
  </si>
  <si>
    <t>4700</t>
  </si>
  <si>
    <t>55777590</t>
  </si>
  <si>
    <t>13672793381</t>
  </si>
  <si>
    <t>43779.37566</t>
  </si>
  <si>
    <t>150</t>
  </si>
  <si>
    <t>塑料带货样</t>
  </si>
  <si>
    <t>43779.844375</t>
  </si>
  <si>
    <t>3620059</t>
  </si>
  <si>
    <t>43779.375856</t>
  </si>
  <si>
    <t>1802.6</t>
  </si>
  <si>
    <t>20191113134109</t>
  </si>
  <si>
    <t>玻璃片货样</t>
  </si>
  <si>
    <t>43782.515</t>
  </si>
  <si>
    <t>43782.52515</t>
  </si>
  <si>
    <t>-8.6138222419e+12</t>
  </si>
  <si>
    <t>43777.563681</t>
  </si>
  <si>
    <t>20191108134109</t>
  </si>
  <si>
    <t>塑料袋货样</t>
  </si>
  <si>
    <t>43777.8714</t>
  </si>
  <si>
    <t>43779.415683</t>
  </si>
  <si>
    <t>5556</t>
  </si>
  <si>
    <t>-8.6208208852e+11</t>
  </si>
  <si>
    <t>43777.373808</t>
  </si>
  <si>
    <t>20191106134246</t>
  </si>
  <si>
    <t>重力传感器货样</t>
  </si>
  <si>
    <t>43775.877002</t>
  </si>
  <si>
    <t>43777.678102</t>
  </si>
  <si>
    <t>113038</t>
  </si>
  <si>
    <t>43775.375949</t>
  </si>
  <si>
    <t>20191112134246</t>
  </si>
  <si>
    <t>游艇上站驾驶系统货样</t>
  </si>
  <si>
    <t>727554665</t>
  </si>
  <si>
    <t>43781.600058</t>
  </si>
  <si>
    <t>43781.617095</t>
  </si>
  <si>
    <t>8.6133799381e+12</t>
  </si>
  <si>
    <t>43775.376852</t>
  </si>
  <si>
    <t>522286520</t>
  </si>
  <si>
    <t>10020191025R101</t>
  </si>
  <si>
    <t>GEBR. GR F GMBH &amp; CO.</t>
  </si>
  <si>
    <t>DONNERFELD 6</t>
  </si>
  <si>
    <t>ARNSBERG</t>
  </si>
  <si>
    <t>BAUMANN</t>
  </si>
  <si>
    <t>广东新宝电器股份有限公司</t>
  </si>
  <si>
    <t>GUANG DONG XIN BAO DIAN QI GU FEN YOU XIAN GONG SI</t>
  </si>
  <si>
    <t>HOLDINGS CO. LTD. DAWAN BRIDGE</t>
  </si>
  <si>
    <t>LONGZHOU ROAD KEKIU TOWN</t>
  </si>
  <si>
    <t>SHUNDE DUSTRICT</t>
  </si>
  <si>
    <t>0757-66855348</t>
  </si>
  <si>
    <t>COFFEE MACHINE</t>
  </si>
  <si>
    <t>滴漏咖啡机4台(煮咖啡用/Graef牌/型号详见清单/规格:900-1000W)(自扣)货样</t>
  </si>
  <si>
    <t>20191025140534</t>
  </si>
  <si>
    <t>滴漏咖啡机货样</t>
  </si>
  <si>
    <t>20191020140851</t>
  </si>
  <si>
    <t>20191020143037</t>
  </si>
  <si>
    <t>166039455</t>
  </si>
  <si>
    <t>MAD</t>
  </si>
  <si>
    <t>NOCO ACCESORIOS SL</t>
  </si>
  <si>
    <t>HIERRO 23 NAVE 2</t>
  </si>
  <si>
    <t>SAN MARTIN DE LA VEGA</t>
  </si>
  <si>
    <t>马德里</t>
  </si>
  <si>
    <t>MADRID</t>
  </si>
  <si>
    <t>SANDRA GUTIERREZ</t>
  </si>
  <si>
    <t>GUANGZHOU OULIA TRADING CO.,LTD</t>
  </si>
  <si>
    <t>CHANGRONG ROAD SHILING TOWN,</t>
  </si>
  <si>
    <t>HUADU DISTRICT</t>
  </si>
  <si>
    <t>HANNAH HAN</t>
  </si>
  <si>
    <t>BAGS SAMPLES/MUESTRAS DE BOLSA</t>
  </si>
  <si>
    <t>PU包4个(无牌无规格无型号)货样</t>
  </si>
  <si>
    <t>745345513</t>
  </si>
  <si>
    <t>1100251721086</t>
  </si>
  <si>
    <t>MS.JOANNE LIANG</t>
  </si>
  <si>
    <t>TRADE ADVERTISING MATERIAL AND THE LIKE (OTHER THAN COMME</t>
  </si>
  <si>
    <t>产品宣传单张26千克货样(暂扣/smile.pan@atotech.com/清关方式待确定)货样</t>
  </si>
  <si>
    <t>417798850</t>
  </si>
  <si>
    <t>Wenko-Wenselaar GmbH &amp; Co.KG Export</t>
  </si>
  <si>
    <t>Im H lsenfeld 10</t>
  </si>
  <si>
    <t>HILDEN</t>
  </si>
  <si>
    <t>GABRIELA  VAN GROL</t>
  </si>
  <si>
    <t>CHINALIGHT(GUANGZHOU) HOMETREND TRADING CO.,LTD</t>
  </si>
  <si>
    <t>RM.306, NO.82 XINGANGDONG ROAD</t>
  </si>
  <si>
    <t>HAIZHU DISTIRCT</t>
  </si>
  <si>
    <t>LING WU</t>
  </si>
  <si>
    <t>厨房用具:不锈钢水刮器1个/不锈钢置物架1个/不锈钢挂钩2个(无牌无规格无型号)货样</t>
  </si>
  <si>
    <t>20191110135448</t>
  </si>
  <si>
    <t>-34917570178</t>
  </si>
  <si>
    <t>20191114135558</t>
  </si>
  <si>
    <t>产品宣传单张货样</t>
  </si>
  <si>
    <t>20191102135626</t>
  </si>
  <si>
    <t>厨房用具:不锈钢水刮器货样</t>
  </si>
  <si>
    <t>LN1</t>
  </si>
  <si>
    <t>AUDIO TECHNOLOGY SWITZERLAND S A</t>
  </si>
  <si>
    <t>CHEMIN DE L  ORIO 30A</t>
  </si>
  <si>
    <t>ROMANEL-SUR-LAUSANNE</t>
  </si>
  <si>
    <t>洛桑卫星</t>
  </si>
  <si>
    <t>VAUD</t>
  </si>
  <si>
    <t>TANGUY LEMAIRE</t>
  </si>
  <si>
    <t>BITAILI ELECTRONICS INC.</t>
  </si>
  <si>
    <t>3F-10 BUIL., ZHONGYUNTAI</t>
  </si>
  <si>
    <t>SCIENCE + INDUSTRIAL PARK,</t>
  </si>
  <si>
    <t>TANGTOU 1TH ROAD, SHIYAN TOWN,</t>
  </si>
  <si>
    <t>ANGELA YANG</t>
  </si>
  <si>
    <t>E/MATERIEL AUDIO</t>
  </si>
  <si>
    <t>音响设备配件12千克货样</t>
  </si>
  <si>
    <t>20191110140236</t>
  </si>
  <si>
    <t>音响设备配件货样</t>
  </si>
  <si>
    <t>777785145M0201</t>
  </si>
  <si>
    <t>777785145M0202</t>
  </si>
  <si>
    <t>20191110140427</t>
  </si>
  <si>
    <t>更改原因代码*</t>
    <phoneticPr fontId="20" type="noConversion"/>
  </si>
  <si>
    <t>提运单号*</t>
    <phoneticPr fontId="20" type="noConversion"/>
  </si>
  <si>
    <t>提运单信息</t>
    <phoneticPr fontId="20" type="noConversion"/>
  </si>
  <si>
    <t>海关备注</t>
    <phoneticPr fontId="20" type="noConversion"/>
  </si>
  <si>
    <t>5320 文锦渡口岸</t>
    <phoneticPr fontId="20" type="noConversion"/>
  </si>
  <si>
    <r>
      <t>过境口岸</t>
    </r>
    <r>
      <rPr>
        <sz val="11"/>
        <color rgb="FFC00000"/>
        <rFont val="宋体"/>
        <family val="3"/>
        <charset val="134"/>
        <scheme val="minor"/>
      </rPr>
      <t>*</t>
    </r>
    <phoneticPr fontId="20" type="noConversion"/>
  </si>
  <si>
    <t>公路舱单删除申报导入</t>
    <phoneticPr fontId="20" type="noConversion"/>
  </si>
  <si>
    <t>5322 沙头角保税区</t>
  </si>
  <si>
    <t>5710 拱北口岸</t>
  </si>
  <si>
    <t>5791 跨境工业区口岸</t>
  </si>
  <si>
    <t>5795 横琴口岸</t>
  </si>
  <si>
    <t>5321 福田保税区</t>
  </si>
  <si>
    <t>5303 沙头角口岸</t>
  </si>
  <si>
    <t>5345 深圳湾口岸</t>
  </si>
  <si>
    <t>5320 文锦渡口岸</t>
  </si>
  <si>
    <t>5301 皇岗口岸</t>
    <phoneticPr fontId="20" type="noConversion"/>
  </si>
  <si>
    <t>公路舱单删除申报导入</t>
    <phoneticPr fontId="20" type="noConversion"/>
  </si>
  <si>
    <t>001：货物漏装
002：临时拉货
003：错装、多装货物
004：因疏忽而造成的舱单必填数据元差错
005：更正因疏忽而造成的舱单选填数据元差错
006：补充因疏忽而造成的舱单选填数据元遗漏
007：更正因代理人等外部因素而造成的舱单必填数据元差错 
008：更正因代理人等外部因素而造成的舱单选填数据元差错</t>
    <phoneticPr fontId="20" type="noConversion"/>
  </si>
  <si>
    <t>009：补充因代理人等外部因素而造成的舱单选填数据元遗漏
010：重复的舱单数据
011：上一港口漏卸的货物
012：在本监管场所错卸的货物
013：货物在进入海关监管场所后失窃
014：货物在进入海关监管场所后失踪
015：根据案件处理结果修改
999：其他</t>
    <phoneticPr fontId="20" type="noConversion"/>
  </si>
  <si>
    <r>
      <t>货物运输批次号</t>
    </r>
    <r>
      <rPr>
        <sz val="11"/>
        <color rgb="FFC00000"/>
        <rFont val="宋体"/>
        <family val="3"/>
        <charset val="134"/>
        <scheme val="minor"/>
      </rPr>
      <t>*</t>
    </r>
    <phoneticPr fontId="20" type="noConversion"/>
  </si>
  <si>
    <r>
      <t>过境口岸</t>
    </r>
    <r>
      <rPr>
        <sz val="11"/>
        <color rgb="FFC00000"/>
        <rFont val="宋体"/>
        <family val="3"/>
        <charset val="134"/>
        <scheme val="minor"/>
      </rPr>
      <t>*</t>
    </r>
    <phoneticPr fontId="20" type="noConversion"/>
  </si>
  <si>
    <t>海关备注</t>
    <phoneticPr fontId="20" type="noConversion"/>
  </si>
  <si>
    <t>提运单信息</t>
    <phoneticPr fontId="20" type="noConversion"/>
  </si>
  <si>
    <t>提运单号*</t>
    <phoneticPr fontId="20" type="noConversion"/>
  </si>
  <si>
    <t>更改原因代码*</t>
    <phoneticPr fontId="20" type="noConversion"/>
  </si>
  <si>
    <t>20191110151105</t>
  </si>
  <si>
    <t>166955598</t>
  </si>
  <si>
    <t>1100251721096</t>
  </si>
  <si>
    <t>GT2</t>
  </si>
  <si>
    <t>INDISAS</t>
  </si>
  <si>
    <t>67D, MASJID MOTH</t>
  </si>
  <si>
    <t>NDSE -II,</t>
  </si>
  <si>
    <t>NEW DELHI</t>
  </si>
  <si>
    <t>古尔冈</t>
  </si>
  <si>
    <t>DELHI</t>
  </si>
  <si>
    <t>SASHANKA SARMAH</t>
  </si>
  <si>
    <t>AVANLINE DIGITAL-TECH. LTD.</t>
  </si>
  <si>
    <t>201A, NO71, BEIGEHU RD,</t>
  </si>
  <si>
    <t>XIAHU COMMUNITY , GUANHU,</t>
  </si>
  <si>
    <t>LONGHUA DISTRICT</t>
  </si>
  <si>
    <t>JOSIE</t>
  </si>
  <si>
    <t>INDUSTRIAL VIDEO CABLE SAMPLE</t>
  </si>
  <si>
    <t>工业内窥镜2套(无牌规格4.3寸无型号)货样</t>
  </si>
  <si>
    <t>165180905</t>
  </si>
  <si>
    <t>广州诚业环球有限公司</t>
  </si>
  <si>
    <t>GUANG ZHOU CHENG YE HUAN QIU YOU XIAN GONG SI</t>
  </si>
  <si>
    <t>UNIT 1018,</t>
  </si>
  <si>
    <t>10 /F GOLDEN LAKE BUILDING,</t>
  </si>
  <si>
    <t>NO. 2 DONG HU XI ROAD</t>
  </si>
  <si>
    <t>86-020-83780062</t>
  </si>
  <si>
    <t>CHOCO</t>
  </si>
  <si>
    <t>PLASTERERKNIFE POLISHED</t>
  </si>
  <si>
    <t>刮刀24个/三角形剃须挂钩48个(用于粉刷工具/无牌/无型号/规格详见清单)(自扣)货样</t>
  </si>
  <si>
    <t>421377714</t>
  </si>
  <si>
    <t>AT4</t>
  </si>
  <si>
    <t>OPTICREACH LTD</t>
  </si>
  <si>
    <t>UNIT B, QUAY WEST</t>
  </si>
  <si>
    <t>QUAY LANE</t>
  </si>
  <si>
    <t>GOSPORT</t>
  </si>
  <si>
    <t>奥尔顿</t>
  </si>
  <si>
    <t>HAMPSHIRE</t>
  </si>
  <si>
    <t>PO12 4LJ</t>
  </si>
  <si>
    <t>02392-580555</t>
  </si>
  <si>
    <t>KIERAN R STONE</t>
  </si>
  <si>
    <t>惠州市飞博康实业有限公司</t>
  </si>
  <si>
    <t>HUIZHOU FIBERCAN INDUSTRIAL CO.,LTD</t>
  </si>
  <si>
    <t>NO.436,LONGXI AVE</t>
  </si>
  <si>
    <t>BOLUO COUNTRY</t>
  </si>
  <si>
    <t>HUIZHOU-BOLUO</t>
  </si>
  <si>
    <t>博罗</t>
  </si>
  <si>
    <t>0086-13632639771</t>
  </si>
  <si>
    <t>JACK LONG</t>
  </si>
  <si>
    <t>FIBRE OPTIC REDUCER COUPLER</t>
  </si>
  <si>
    <t>塑料配线盒2个(用于光网络建设和光信息传输用/材质:ABS材质/无牌/规格:368mm*275mm*114mm/无型号)(自扣)货样</t>
  </si>
  <si>
    <t>20191115133809</t>
  </si>
  <si>
    <t>工业内窥镜货样</t>
  </si>
  <si>
    <t>110049</t>
  </si>
  <si>
    <t>9.1989116193e+11</t>
  </si>
  <si>
    <t>-90235865</t>
  </si>
  <si>
    <t>20191110075907</t>
  </si>
  <si>
    <t>刮刀货样</t>
  </si>
  <si>
    <t>20191110133948</t>
  </si>
  <si>
    <t>塑料配线盒货样</t>
  </si>
  <si>
    <t>166162063</t>
  </si>
  <si>
    <t>1100251721076</t>
  </si>
  <si>
    <t>KLEMKO TECHNIEK B.V.</t>
  </si>
  <si>
    <t>NIEUWEGRACHT 26</t>
  </si>
  <si>
    <t>SOEST</t>
  </si>
  <si>
    <t>UTRECHT</t>
  </si>
  <si>
    <t>3763 LB</t>
  </si>
  <si>
    <t>WINGKIT W. SHI</t>
  </si>
  <si>
    <t>HEP</t>
  </si>
  <si>
    <t>ROOM 1906, 19TH FLOOR</t>
  </si>
  <si>
    <t>IVY CHEN</t>
  </si>
  <si>
    <t>LED, LED DIMMER, CONNECTOR CABLE</t>
  </si>
  <si>
    <t>发光二极管9个/LED调光器3个/连接线3个(无牌无规格无型号)货样</t>
  </si>
  <si>
    <t>424235465</t>
  </si>
  <si>
    <t>1100251721120</t>
  </si>
  <si>
    <t>BH FASHION RETAILERS INC.</t>
  </si>
  <si>
    <t>CEO BLDG 4 EDSA COR</t>
  </si>
  <si>
    <t>CONNECTICUT ROAD</t>
  </si>
  <si>
    <t>SAN JUAN CPO</t>
  </si>
  <si>
    <t>SAN JUAN</t>
  </si>
  <si>
    <t>MS.HANNIKA LIM</t>
  </si>
  <si>
    <t>YANG JIANG SHENG SHENG</t>
  </si>
  <si>
    <t>CLOTHING CO., LTD.</t>
  </si>
  <si>
    <t>YAN JIANG XI 2ND ROAD 15TH</t>
  </si>
  <si>
    <t>LANE #22, YANG JIANG CITY</t>
  </si>
  <si>
    <t>YANGJIANG-JIANGCHENG</t>
  </si>
  <si>
    <t>阳东</t>
  </si>
  <si>
    <t>0662-3515200</t>
  </si>
  <si>
    <t>MOON LEE</t>
  </si>
  <si>
    <t>SAMPLE SHIRT POLO SHIT</t>
  </si>
  <si>
    <t>棉针织女式T恤衫1件(无牌无规格无型号)货样</t>
  </si>
  <si>
    <t>20191113154556</t>
  </si>
  <si>
    <t>-8.6135807734e+12</t>
  </si>
  <si>
    <t>20191118154626</t>
  </si>
  <si>
    <t>棉针织女式T恤衫货样</t>
  </si>
  <si>
    <t>169470939</t>
  </si>
  <si>
    <t>PF CONCEPT INTERNATIONAL B.V.</t>
  </si>
  <si>
    <t>KABELWEG 1</t>
  </si>
  <si>
    <t>ROELOFARENDSVEEN</t>
  </si>
  <si>
    <t>2371 DX</t>
  </si>
  <si>
    <t>PIELAAT</t>
  </si>
  <si>
    <t>PF CONCEPT SHENZEN</t>
  </si>
  <si>
    <t>ROOM 2011 FLOOR 2</t>
  </si>
  <si>
    <t>GUANGXIAN BLOCK, BAGUE 3TH ROA</t>
  </si>
  <si>
    <t>SHEN AI BUILDING, FUTIAN DISTR</t>
  </si>
  <si>
    <t>STELA CAI</t>
  </si>
  <si>
    <t>CURENT POWER BANK</t>
  </si>
  <si>
    <t>塑胶卡套6个/纸制记事本1个/圆珠笔6个/手机无线充1个/连接线1个/移动电源2个(avenue牌无规格无型号)货样</t>
  </si>
  <si>
    <t>N257RQP</t>
  </si>
  <si>
    <t>20191118160332</t>
  </si>
  <si>
    <t>塑胶卡套货样</t>
  </si>
  <si>
    <t>20191118194353</t>
  </si>
  <si>
    <t>8.6181212912e+12</t>
  </si>
  <si>
    <t>1500</t>
  </si>
  <si>
    <t>212.24</t>
  </si>
  <si>
    <t>20191113194652</t>
  </si>
  <si>
    <t>297.13</t>
  </si>
  <si>
    <t>快件中心进口普货公路舱单删除申请表</t>
    <phoneticPr fontId="1" type="noConversion"/>
  </si>
  <si>
    <t>642185305</t>
  </si>
  <si>
    <t>1100262570326</t>
  </si>
  <si>
    <t>HAM</t>
  </si>
  <si>
    <t>VisiConsult X-ray Systems &amp; Solutions GmbH</t>
  </si>
  <si>
    <t>Brandenbrooker Weg 2-4</t>
  </si>
  <si>
    <t>STOCKELSDORF</t>
  </si>
  <si>
    <t>汉堡</t>
  </si>
  <si>
    <t>SCHLESWIG-HOLSTEIN</t>
  </si>
  <si>
    <t>OFFICE</t>
  </si>
  <si>
    <t>JABIL CIRCUIT (GUANGZHOU) LIMITED</t>
  </si>
  <si>
    <t>128, JUN CHENG ROAD</t>
  </si>
  <si>
    <t>GUANGZHOU ECONOMIC AND</t>
  </si>
  <si>
    <t>TECHNOLOG. DEVELOPM. DISTRICT</t>
  </si>
  <si>
    <t>86-18520300069</t>
  </si>
  <si>
    <t>BRIAN LO</t>
  </si>
  <si>
    <t>TOOLS OF TWO OR MORE OF HEADINGS 8202 TO 8205, PUT UP IN</t>
  </si>
  <si>
    <t>硬质合金工具68千克货样(客户要求退运)货样</t>
  </si>
  <si>
    <t>20190303151951</t>
  </si>
  <si>
    <t>硬质合金工具货样</t>
  </si>
  <si>
    <t>20190303152804</t>
  </si>
  <si>
    <t>20191113152905</t>
  </si>
  <si>
    <t>102069777</t>
  </si>
  <si>
    <t>1100251721204</t>
  </si>
  <si>
    <t>JINKOU B.V.</t>
  </si>
  <si>
    <t>WATERGEUZENSTRAAT 14</t>
  </si>
  <si>
    <t>LEIDEN</t>
  </si>
  <si>
    <t>2313 WZ</t>
  </si>
  <si>
    <t>0031-6-11248815</t>
  </si>
  <si>
    <t>WILFRED KURPERSHOEK</t>
  </si>
  <si>
    <t>GUANGXI BINYANG BENFLY ART &amp; CRAFT CO. LTD</t>
  </si>
  <si>
    <t>THE EAST OF XINGYUAN ZHIYI RD</t>
  </si>
  <si>
    <t>XINBIN INDUSTRIAL PARK</t>
  </si>
  <si>
    <t>BINZHOU TOWN, BINYANG COUNTY</t>
  </si>
  <si>
    <t>BINYANG</t>
  </si>
  <si>
    <t>宾阳</t>
  </si>
  <si>
    <t>0086-771-8236298</t>
  </si>
  <si>
    <t>LILY ZHONG</t>
  </si>
  <si>
    <t>METAL POT</t>
  </si>
  <si>
    <t>不锈钢锅2个(无牌无规格无型号)货样</t>
  </si>
  <si>
    <t>770869831</t>
  </si>
  <si>
    <t>1100251721180</t>
  </si>
  <si>
    <t>Satisloh GmbH</t>
  </si>
  <si>
    <t>Wilhelm-Loh-Str. 2-4</t>
  </si>
  <si>
    <t>WETZLAR</t>
  </si>
  <si>
    <t>SONJA ANABEL KLIER</t>
  </si>
  <si>
    <t>SATISLOH (ZHONGSHAN) LTD.</t>
  </si>
  <si>
    <t>JIAHU GROUND FLOOR, 4TH BUILDI</t>
  </si>
  <si>
    <t>0760-88580773</t>
  </si>
  <si>
    <t>nicole_yu</t>
  </si>
  <si>
    <t>CYLINDER WITH MAGNET</t>
  </si>
  <si>
    <t>机械配件88千克货样</t>
  </si>
  <si>
    <t>91442000782011539E</t>
  </si>
  <si>
    <t>20191124210429</t>
  </si>
  <si>
    <t>不锈钢锅货样</t>
  </si>
  <si>
    <t>20191122210601</t>
  </si>
  <si>
    <t>108322</t>
  </si>
  <si>
    <t>35578</t>
  </si>
  <si>
    <t>6441912480</t>
  </si>
  <si>
    <t xml:space="preserve">    由于客户不了解清关要求,经海关审核转“普货报关”报关，现向贵关申请新增舱单正式报关。请予以批准！谢谢！</t>
  </si>
  <si>
    <t>20191124211722</t>
  </si>
  <si>
    <t>428282901</t>
  </si>
  <si>
    <t>ARH</t>
  </si>
  <si>
    <t>INTRONICS B.V.</t>
  </si>
  <si>
    <t>KOOLHOVENSTRAAT 1E</t>
  </si>
  <si>
    <t>BARNEVELD</t>
  </si>
  <si>
    <t>阿纳姆</t>
  </si>
  <si>
    <t>3772 MT</t>
  </si>
  <si>
    <t>ARNOLD A SCHOUTE</t>
  </si>
  <si>
    <t>ZONG CABLE TECHNOLOGY CO., LTD.</t>
  </si>
  <si>
    <t>NO.11 LIANFA RD., LIANGANG IND</t>
  </si>
  <si>
    <t>ZONE, JINWAN, ZHUHAI, GUANGDO</t>
  </si>
  <si>
    <t>CARRIE GONG</t>
  </si>
  <si>
    <t>HDMI PREMIUM CABLE 2</t>
  </si>
  <si>
    <t>电缆11个(无牌规格:2M无型号)货样</t>
  </si>
  <si>
    <t>730032258</t>
  </si>
  <si>
    <t>1100251721190</t>
  </si>
  <si>
    <t>GRS</t>
  </si>
  <si>
    <t>MONTECRISTO SRL</t>
  </si>
  <si>
    <t>VIA TOPAZIO, 7/C</t>
  </si>
  <si>
    <t>GROSSETO</t>
  </si>
  <si>
    <t>格罗塞托</t>
  </si>
  <si>
    <t>LEONARDO MORETTI</t>
  </si>
  <si>
    <t>HESHAN STD GARMET MANUFACTUR.</t>
  </si>
  <si>
    <t>SHAPIN TOWN HESHAN CITY</t>
  </si>
  <si>
    <t>JIANGMEN-HESHAN</t>
  </si>
  <si>
    <t>鹤山</t>
  </si>
  <si>
    <t>NICOLE</t>
  </si>
  <si>
    <t>塑胶纽扣214个/牛皮拉手385个/布标签0.5千克/铜扣280个/纸标签0.5千克(均为RRD牌无规格型号A19027)货样</t>
  </si>
  <si>
    <t xml:space="preserve">008675  08826719 </t>
  </si>
  <si>
    <t>20191124132520</t>
  </si>
  <si>
    <t>电缆货样</t>
  </si>
  <si>
    <t>20191124132558</t>
  </si>
  <si>
    <t>塑胶纽扣货样</t>
  </si>
  <si>
    <t>424705481</t>
  </si>
  <si>
    <t>1100251721100</t>
  </si>
  <si>
    <t>VAPE DINNER LADY</t>
  </si>
  <si>
    <t>GM HOUSE</t>
  </si>
  <si>
    <t>WILKINSON WAY</t>
  </si>
  <si>
    <t>BLACKBURN</t>
  </si>
  <si>
    <t>BB1 2EH</t>
  </si>
  <si>
    <t>KRIS TATTERSALL</t>
  </si>
  <si>
    <t>NICOLE LIU - VAPORESSO</t>
  </si>
  <si>
    <t>BLOCK 8TH DONGCAI IND PARK</t>
  </si>
  <si>
    <t>GUSHU VILLAGE</t>
  </si>
  <si>
    <t>XIXIANG TOWN</t>
  </si>
  <si>
    <t>0755-23635515</t>
  </si>
  <si>
    <t>NICOLE LIU</t>
  </si>
  <si>
    <t>MARKED SAMPLES NOT FOR RESALE OR COMMERCIAL USE</t>
  </si>
  <si>
    <t>液体5千克货样(无电话/暂扣)货样</t>
  </si>
  <si>
    <t>20191116133713</t>
  </si>
  <si>
    <t>液体货样</t>
  </si>
  <si>
    <t>101310222</t>
  </si>
  <si>
    <t>BROAD AIR CONDITIONING</t>
  </si>
  <si>
    <t>BLK664A,16-260, JURONG WEST</t>
  </si>
  <si>
    <t>STREET 64 , SINGAPORE</t>
  </si>
  <si>
    <t>ZHANG HAIFEI</t>
  </si>
  <si>
    <t>湖南科诚科技发展有限公司</t>
  </si>
  <si>
    <t>HUNAN KECHENG H-TECH DEV.CO.LTD</t>
  </si>
  <si>
    <t>RM 3103,BUILDING 3,RONGSHENG I</t>
  </si>
  <si>
    <t>NTERNATIONAL,NO.568,RENMIN MID</t>
  </si>
  <si>
    <t>DLE RD,YUHUA DISTRICT,CHANGSHA</t>
  </si>
  <si>
    <t>CHANGSHA-YUHUA</t>
  </si>
  <si>
    <t>0731-85362359</t>
  </si>
  <si>
    <t>Danfen_Zhang</t>
  </si>
  <si>
    <t>LITHIUM BROMIDE SOLUTIONS</t>
  </si>
  <si>
    <t>溴化锂溶液13p瓶(液体暂扣)货样</t>
  </si>
  <si>
    <t>20191122140216</t>
  </si>
  <si>
    <t>溴化锂溶液货样</t>
  </si>
  <si>
    <t>325025956</t>
  </si>
  <si>
    <t>60 SYMBOLS TRADING</t>
  </si>
  <si>
    <t xml:space="preserve"> SYMBOLS TRADING</t>
  </si>
  <si>
    <t>BANANA PEAR MANGO BITE 15-1, J</t>
  </si>
  <si>
    <t>ALAN DATARAN CHERAS 1,DATARAN</t>
  </si>
  <si>
    <t>PERNIAGAAN CHERAS BELAKONG</t>
  </si>
  <si>
    <t>CHERAS</t>
  </si>
  <si>
    <t>KEN</t>
  </si>
  <si>
    <t>EASY GLOBAL LOGISTICS COMPANY</t>
  </si>
  <si>
    <t>106 1 FLOOR 10 BUILDING 3  HUA</t>
  </si>
  <si>
    <t>IDECUIGANG INDUSTRY FUYONG TOW</t>
  </si>
  <si>
    <t>N BAOAN</t>
  </si>
  <si>
    <t>0755-88848151</t>
  </si>
  <si>
    <t>huan_WANG</t>
  </si>
  <si>
    <t>ICC MENTHOL TOBACCO</t>
  </si>
  <si>
    <t>茶叶烟草18千克货样(食品暂扣)货样</t>
  </si>
  <si>
    <t>20191122141125</t>
  </si>
  <si>
    <t>茶叶烟草货样</t>
  </si>
  <si>
    <t>765929505</t>
  </si>
  <si>
    <t>13A</t>
  </si>
  <si>
    <t>BEUCHAT CHEZ MISTRAL SERVICES</t>
  </si>
  <si>
    <t>43 CHEMIN VICINAL DE LA MILLIE</t>
  </si>
  <si>
    <t>SITE CHOCOLATERIE DE PROVENCE</t>
  </si>
  <si>
    <t>MARSEILLE</t>
  </si>
  <si>
    <t xml:space="preserve">马蒂格 </t>
  </si>
  <si>
    <t>CHRISTOPHE GUIEN</t>
  </si>
  <si>
    <t>SONG TAO TRADING (SHENZHEN) CO LTD</t>
  </si>
  <si>
    <t>RM630, TOWER WEST, PHASE II</t>
  </si>
  <si>
    <t>TIAN AN HIGH TECH PLAZA</t>
  </si>
  <si>
    <t>CHEGONGMIAO, FUTIAN DISTRICT</t>
  </si>
  <si>
    <t>DIVING EQUIPMENTS</t>
  </si>
  <si>
    <t>潜水设备152千克货样</t>
  </si>
  <si>
    <t>20191122142822</t>
  </si>
  <si>
    <t>潜水设备货样</t>
  </si>
  <si>
    <t>20191122143455</t>
  </si>
  <si>
    <t>3071099</t>
  </si>
  <si>
    <t>275.91</t>
  </si>
  <si>
    <t>3008463</t>
  </si>
  <si>
    <t>3346.29</t>
  </si>
  <si>
    <t>7973741</t>
  </si>
  <si>
    <t>75542361233</t>
  </si>
  <si>
    <t>26740.62</t>
  </si>
  <si>
    <t>20191122145616</t>
  </si>
  <si>
    <t>20191122145654</t>
  </si>
  <si>
    <t>770869886</t>
  </si>
  <si>
    <t>1100240420035</t>
  </si>
  <si>
    <t>ELKE LACKNER</t>
  </si>
  <si>
    <t>HIGH SPEED LENS LOADING SYSTEM WITH CONVERYOR BELT</t>
  </si>
  <si>
    <t>传送装置2个货样</t>
  </si>
  <si>
    <t>传送装置货样</t>
  </si>
  <si>
    <t>20191126160542</t>
  </si>
  <si>
    <t>102032675</t>
  </si>
  <si>
    <t>MCQ</t>
  </si>
  <si>
    <t>ROBERT BOSCH POWER TOOL KFT.</t>
  </si>
  <si>
    <t>ROBERT BOSCH PARK 1.</t>
  </si>
  <si>
    <t>MISKOLC</t>
  </si>
  <si>
    <t>米什科尔茨</t>
  </si>
  <si>
    <t>GONCZINE NEMETH ZSUZSA</t>
  </si>
  <si>
    <t>BEST ACHIEVE INDUSTRIAL LIMITED</t>
  </si>
  <si>
    <t>NO. 17, 6TH INDUSTRIAL ROAD</t>
  </si>
  <si>
    <t>WU SHA, CHANG AN TOWN</t>
  </si>
  <si>
    <t>BOSCH WAREHOUSE AT HK</t>
  </si>
  <si>
    <t>GAVIN JIN</t>
  </si>
  <si>
    <t>GEAR BOX</t>
  </si>
  <si>
    <t>齿轮箱2个(无牌无规格型号:1.600.A01.4A1)货样</t>
  </si>
  <si>
    <t>452810565</t>
  </si>
  <si>
    <t>1100240420022</t>
  </si>
  <si>
    <t>CAI</t>
  </si>
  <si>
    <t>EGYPTIAN AUTO FEEDING</t>
  </si>
  <si>
    <t>EG</t>
  </si>
  <si>
    <t>埃及</t>
  </si>
  <si>
    <t>3 BABEL SQUARE,</t>
  </si>
  <si>
    <t>DOKKI</t>
  </si>
  <si>
    <t>GIZA</t>
  </si>
  <si>
    <t>开罗</t>
  </si>
  <si>
    <t>SILVANA MAGDY</t>
  </si>
  <si>
    <t>HAYA METAL MANUFACTORY CO. LTD</t>
  </si>
  <si>
    <t>RM 301 - 2 NO.118 3RD STREET</t>
  </si>
  <si>
    <t>CUIAIAN NORTH ZHUHAL GUANGDONG</t>
  </si>
  <si>
    <t>VIVLI</t>
  </si>
  <si>
    <t>FLEX PIPE</t>
  </si>
  <si>
    <t>塑胶制挠管2个(无牌规格:54.5*130mm无型号)货样</t>
  </si>
  <si>
    <t>20191124150230</t>
  </si>
  <si>
    <t>齿轮箱货样</t>
  </si>
  <si>
    <t>20191125150448</t>
  </si>
  <si>
    <t>塑胶制挠管货样</t>
  </si>
  <si>
    <t>20191124154914</t>
  </si>
  <si>
    <t>20191125154937</t>
  </si>
  <si>
    <t>9.9285546659</t>
  </si>
  <si>
    <t>251376215</t>
  </si>
  <si>
    <t>1100240420093</t>
  </si>
  <si>
    <t>QFR</t>
  </si>
  <si>
    <t>MUSIC &amp; LIGHTS SRL</t>
  </si>
  <si>
    <t>VIA APPIA KM 136,200</t>
  </si>
  <si>
    <t>ITRI</t>
  </si>
  <si>
    <t>弗罗西诺内</t>
  </si>
  <si>
    <t>ROBERTO IURATO</t>
  </si>
  <si>
    <t>GUANGZHOU LIANGYI LIGHTING EQU</t>
  </si>
  <si>
    <t>37 INDUSTRIAL AVENUE, XINHUA</t>
  </si>
  <si>
    <t>SUSAN</t>
  </si>
  <si>
    <t>舞台灯具9个(PROLIGHTS牌无规格型号PIXBELT)货样</t>
  </si>
  <si>
    <t>20191129134309</t>
  </si>
  <si>
    <t>舞台灯具货样</t>
  </si>
  <si>
    <t>251459025</t>
  </si>
  <si>
    <t>1100240420113</t>
  </si>
  <si>
    <t>粤ZCS21港E</t>
  </si>
  <si>
    <t>SAMPLE JACKETS</t>
  </si>
  <si>
    <t>布色卡1块/男式夹克3件(涤纶+尼龙制)/男童夹克2件(尼龙+拉架制)/女式夹克1件(涤纶+尼龙制/均为RRD牌无规格无型号)货样</t>
  </si>
  <si>
    <t>20191130154638</t>
  </si>
  <si>
    <t>106405749</t>
  </si>
  <si>
    <t>MINILAND, S.A.</t>
  </si>
  <si>
    <t>LA PATRONAL 8-10</t>
  </si>
  <si>
    <t>PGNO IND LA MARJAL</t>
  </si>
  <si>
    <t>ONIL</t>
  </si>
  <si>
    <t>NURIA SANTONJA</t>
  </si>
  <si>
    <t>HTYS BOUTIQUE HOTEL</t>
  </si>
  <si>
    <t>ROOM-328</t>
  </si>
  <si>
    <t>NO.1 PINGLIN RD (CHAUNGRUN BLD</t>
  </si>
  <si>
    <t>DONGGUAN CITY, CHA SHAN TOWN,</t>
  </si>
  <si>
    <t>ATT. MR. TOMMY CHAN</t>
  </si>
  <si>
    <t>SPARE PARTS/PARTES MU ECAS</t>
  </si>
  <si>
    <t>毛绒玩具6个(无牌无规格无型号)货样</t>
  </si>
  <si>
    <t>730315118</t>
  </si>
  <si>
    <t>VRN</t>
  </si>
  <si>
    <t>MANSPEED SOCIETA COOPERATIVA</t>
  </si>
  <si>
    <t>VIA VASSANELLI 11/C</t>
  </si>
  <si>
    <t>BUSSOLENGO</t>
  </si>
  <si>
    <t>维罗纳</t>
  </si>
  <si>
    <t>VR</t>
  </si>
  <si>
    <t>STEFANO AMBROSI</t>
  </si>
  <si>
    <t>RELAX FURNITURE</t>
  </si>
  <si>
    <t>N304 FURNITUR RD SHUANGGANG V</t>
  </si>
  <si>
    <t>MRS BELLA</t>
  </si>
  <si>
    <t>BOVINE LEATHER</t>
  </si>
  <si>
    <t>皮革76千克货样</t>
  </si>
  <si>
    <t>20191130155829</t>
  </si>
  <si>
    <t>毛绒玩具货样</t>
  </si>
  <si>
    <t>20191129155938</t>
  </si>
  <si>
    <t>皮革货样</t>
  </si>
  <si>
    <t>511906845</t>
  </si>
  <si>
    <t>KT4</t>
  </si>
  <si>
    <t>PROMIS SP.Z O.O</t>
  </si>
  <si>
    <t>UL.SOBIESKIEGO 14</t>
  </si>
  <si>
    <t>KATOWICE</t>
  </si>
  <si>
    <t>迈斯拉弗里斯</t>
  </si>
  <si>
    <t>40-082</t>
  </si>
  <si>
    <t>MIROSLAW KNAPIK</t>
  </si>
  <si>
    <t>GOLDENSEA METAL FACTORY</t>
  </si>
  <si>
    <t>SIQIAN STIT, JIANGMEN CITY,</t>
  </si>
  <si>
    <t>XIN HUI DISTRICT GUANGDONG</t>
  </si>
  <si>
    <t>JIANGMEN-XINHUI</t>
  </si>
  <si>
    <t>新会</t>
  </si>
  <si>
    <t>RAE BOO</t>
  </si>
  <si>
    <t>COMPONENTS</t>
  </si>
  <si>
    <t>不锈钢水壶1个(无牌无规格无型号)货样</t>
  </si>
  <si>
    <t>729577624</t>
  </si>
  <si>
    <t>1100251721170</t>
  </si>
  <si>
    <t>ADIM SCANDOLARA SPA</t>
  </si>
  <si>
    <t>zona ind.le campolungo</t>
  </si>
  <si>
    <t>FIORAVANTI DANILO</t>
  </si>
  <si>
    <t>A AND T PACKAGING COMPANY</t>
  </si>
  <si>
    <t>DAXIAN INDUSTRIAL PARK</t>
  </si>
  <si>
    <t>EMILY LIU</t>
  </si>
  <si>
    <t>MASTER</t>
  </si>
  <si>
    <t>塑胶粒82千克货样</t>
  </si>
  <si>
    <t>757578807</t>
  </si>
  <si>
    <t>57A</t>
  </si>
  <si>
    <t>GRUNDFOS OPERATION A/S</t>
  </si>
  <si>
    <t>Rte de Faulquemont</t>
  </si>
  <si>
    <t>LONGEVILLE LES ST AVOLD</t>
  </si>
  <si>
    <t>维勒</t>
  </si>
  <si>
    <t>MR</t>
  </si>
  <si>
    <t>GRUNDFOS PUMPS SHANGHAI CO LTD</t>
  </si>
  <si>
    <t>SHANGHAI MAXDO CENTER</t>
  </si>
  <si>
    <t>10F TOWER 3 NO.33 SUHONG RD</t>
  </si>
  <si>
    <t>MINHANG</t>
  </si>
  <si>
    <t>SHANGHAI</t>
  </si>
  <si>
    <t>上海</t>
  </si>
  <si>
    <t>QUN XIN LONG</t>
  </si>
  <si>
    <t>PARTS OF PUMP</t>
  </si>
  <si>
    <t>电缆1.1米(无牌无规格无型号)货样</t>
  </si>
  <si>
    <t>20191121144752</t>
  </si>
  <si>
    <t>63100</t>
  </si>
  <si>
    <t>20191130144917</t>
  </si>
  <si>
    <t>不锈钢水壶货样</t>
  </si>
  <si>
    <t>57740</t>
  </si>
  <si>
    <t>503961743</t>
  </si>
  <si>
    <t>EF3</t>
  </si>
  <si>
    <t>Schenker Deutschland AG</t>
  </si>
  <si>
    <t>Gottfried-Schenker-Strasse 1</t>
  </si>
  <si>
    <t>D-99334 Amt Wachsenburg</t>
  </si>
  <si>
    <t>Germany</t>
  </si>
  <si>
    <t>AMT WACHSENBURG</t>
  </si>
  <si>
    <t>埃尔福特</t>
  </si>
  <si>
    <t>THUERINGEN</t>
  </si>
  <si>
    <t>0049-362866461-0</t>
  </si>
  <si>
    <t>Weinkauf</t>
  </si>
  <si>
    <t>SUZHOU JJY TRADING COLTD</t>
  </si>
  <si>
    <t>NO980 WEST BEIHUAN RD SUZHOU</t>
  </si>
  <si>
    <t>SUZHOU-WUZHONG</t>
  </si>
  <si>
    <t>苏州</t>
  </si>
  <si>
    <t>JIANGSU</t>
  </si>
  <si>
    <t>1855-1170466</t>
  </si>
  <si>
    <t>Cherry_Fan</t>
  </si>
  <si>
    <t>- - - POLYETHYLENE GRANULES, CONTAINING BY WEIGHT 10   OR</t>
  </si>
  <si>
    <t>塑胶粒79千克货样</t>
  </si>
  <si>
    <t>91320507MA1XEB291N</t>
  </si>
  <si>
    <t>20191129151459</t>
  </si>
  <si>
    <t>106284334</t>
  </si>
  <si>
    <t>SPRING TOOLING LTD</t>
  </si>
  <si>
    <t>SAXON BUSINESS PARK</t>
  </si>
  <si>
    <t>HANBURY ROAD</t>
  </si>
  <si>
    <t>STOKE PRIOR</t>
  </si>
  <si>
    <t>BROMSGROVE</t>
  </si>
  <si>
    <t>WORCESTERSHIRE</t>
  </si>
  <si>
    <t>B60 4AD</t>
  </si>
  <si>
    <t>MICHELLE NEATH</t>
  </si>
  <si>
    <t>DONGGUAN KAICHUANG PRECISION MACHINERY CO LTD</t>
  </si>
  <si>
    <t>SHUILIAN PENGDONG IND. PARK</t>
  </si>
  <si>
    <t>NANCHENG DISTRICT</t>
  </si>
  <si>
    <t>0769-22024833</t>
  </si>
  <si>
    <t>DORA</t>
  </si>
  <si>
    <t>WIRE TO MAKE SAMPLE</t>
  </si>
  <si>
    <t>电线8千克(无牌无规格无型号)货样</t>
  </si>
  <si>
    <t>20191130160621</t>
  </si>
  <si>
    <t>电线货样</t>
  </si>
  <si>
    <t>1100240420168</t>
  </si>
  <si>
    <t>TEJ</t>
  </si>
  <si>
    <t>LINDY ELECTRONICS LIMITED</t>
  </si>
  <si>
    <t>SADLER FORSTER WAY TEESSIDE IN</t>
  </si>
  <si>
    <t>DUSTRIAL ESTATE STOCKTON-ON-TE</t>
  </si>
  <si>
    <t>ES TS17 9JY  ENGLAND</t>
  </si>
  <si>
    <t>STOCKTON-ON-TEES</t>
  </si>
  <si>
    <t>蒂赛德</t>
  </si>
  <si>
    <t>CLEVELAND</t>
  </si>
  <si>
    <t>TS17 9JY</t>
  </si>
  <si>
    <t>CHRIS?SHIPLEY</t>
  </si>
  <si>
    <t>LINDY USB 3.0 GIGABIT ETHERNET ADAPTER</t>
  </si>
  <si>
    <t>电脑用无线网卡554个(LINDY牌无规格无型号)货样</t>
  </si>
  <si>
    <t>20191203134505</t>
  </si>
  <si>
    <t>电脑用无线网卡货样</t>
  </si>
  <si>
    <t>1100251821827</t>
  </si>
  <si>
    <t>CONG TY TNHH RISHI VIETNAM</t>
  </si>
  <si>
    <t>LO SO 4 DUONG TS6</t>
  </si>
  <si>
    <t>KCN TIEN SON, XA HOAN SON</t>
  </si>
  <si>
    <t>TIEN DU</t>
  </si>
  <si>
    <t>TINH BAC NINH</t>
  </si>
  <si>
    <t>DINH MINH THUY</t>
  </si>
  <si>
    <t>ETERNITY MOULD AND PLASTIC ( HUIZHOU) CO., LTD</t>
  </si>
  <si>
    <t>BANQIAO INDUSTRY PARK</t>
  </si>
  <si>
    <t>TAIMEI TOWN,BOLUO DISTRICT</t>
  </si>
  <si>
    <t>HUIZHOU CITY,CHINA</t>
  </si>
  <si>
    <t>0752-66898030</t>
  </si>
  <si>
    <t>xiaojiao_hu</t>
  </si>
  <si>
    <t>INSERT FOR MOULD</t>
  </si>
  <si>
    <t>注塑模具配件:钢制型芯123个(无牌无规格无型号)货样</t>
  </si>
  <si>
    <t>91441322MA4WBTWU1R</t>
  </si>
  <si>
    <t>251380246</t>
  </si>
  <si>
    <t>BRI</t>
  </si>
  <si>
    <t>MAT.TA. SRL</t>
  </si>
  <si>
    <t>VIA VITTORIO VENETO 235/237</t>
  </si>
  <si>
    <t>MONOPOLI</t>
  </si>
  <si>
    <t>巴里</t>
  </si>
  <si>
    <t>BA</t>
  </si>
  <si>
    <t>080-9303545</t>
  </si>
  <si>
    <t>MATTA</t>
  </si>
  <si>
    <t>ZHONGSHAN BODEGA ELECTRICAL APPLIANCE CO.,LTD</t>
  </si>
  <si>
    <t>NO.20 JIAN MIN RD, HUANGPU TOW</t>
  </si>
  <si>
    <t>GUANGZHOU-HUANGPU</t>
  </si>
  <si>
    <t>0086-760-8877031</t>
  </si>
  <si>
    <t>0086 760-88770357</t>
  </si>
  <si>
    <t>REFRIGIRATOR,FREEZER</t>
  </si>
  <si>
    <t>冰柜用塑胶连接件140个(无牌无规格无型号)货样</t>
  </si>
  <si>
    <t>20191205151241</t>
  </si>
  <si>
    <t>注塑模具配件:钢制型芯货样</t>
  </si>
  <si>
    <t>108283141</t>
  </si>
  <si>
    <t>3109806</t>
  </si>
  <si>
    <t>84968727061</t>
  </si>
  <si>
    <t>20191130151352</t>
  </si>
  <si>
    <t>冰柜用塑胶连接件货样</t>
  </si>
  <si>
    <t>1100240420048</t>
  </si>
  <si>
    <t>DONGGUAN QUANLIN ELECTRONICS CO.,LTD</t>
  </si>
  <si>
    <t>NO.5 HETANGANG INDUSTRY PARK,</t>
  </si>
  <si>
    <t>BEICE COMMUNITY, HUMEN TOWN,</t>
  </si>
  <si>
    <t>PLASTICCASE EM MIC SET</t>
  </si>
  <si>
    <t>塑料外壳1600套/橡胶圈1650个(无牌无规格无型号)货样</t>
  </si>
  <si>
    <t>20191127155730</t>
  </si>
  <si>
    <t>塑料外壳货样</t>
  </si>
  <si>
    <t>1100240420142</t>
  </si>
  <si>
    <t>BHS TABLETOP AG</t>
  </si>
  <si>
    <t>DEKORATIONS UND LOGISTIK-ZENTR</t>
  </si>
  <si>
    <t>UM TAFELSTERN PROFESSIONAL</t>
  </si>
  <si>
    <t>PORCELAIN ROLAND DORSCHNER STR</t>
  </si>
  <si>
    <t>SELB</t>
  </si>
  <si>
    <t>KERSTIN POPP</t>
  </si>
  <si>
    <t>SHENZHEN NS CO.,LTD</t>
  </si>
  <si>
    <t>A506 BODIKEJIPK FUYONG BAOAN S</t>
  </si>
  <si>
    <t>HENZHEN</t>
  </si>
  <si>
    <t>0138-02285354</t>
  </si>
  <si>
    <t>mr_lu</t>
  </si>
  <si>
    <t>TABLEWARE AND KITCHENWARE, OF PORCELAIN OR CHINA</t>
  </si>
  <si>
    <t>瓷餐具95个(无牌无规格无型号)货样</t>
  </si>
  <si>
    <t>91440300MA5DHTWL5L</t>
  </si>
  <si>
    <t>AMPHENOL-TUCHEL ELECTRONICS GMBH-ORGANIZACNI SLOZK</t>
  </si>
  <si>
    <t>HROZNETINSKA 1344</t>
  </si>
  <si>
    <t>OSTROV NAD OHRI</t>
  </si>
  <si>
    <t>363 01</t>
  </si>
  <si>
    <t>LYDIE KRIZOVA</t>
  </si>
  <si>
    <t>AMPHENOL PCD SHENZHEN CO. LTD.</t>
  </si>
  <si>
    <t>BUILDING 21</t>
  </si>
  <si>
    <t>1ST LIAO INDUSTRIAL ZONE</t>
  </si>
  <si>
    <t>SHI YAN STREET BAO AN DISTRICT</t>
  </si>
  <si>
    <t>0755-81738000</t>
  </si>
  <si>
    <t>xiansheng_du</t>
  </si>
  <si>
    <t>电子配件238千克货样</t>
  </si>
  <si>
    <t>190631070</t>
  </si>
  <si>
    <t>1100240420171</t>
  </si>
  <si>
    <t>Eao GmbH</t>
  </si>
  <si>
    <t>Langenberger Str. 570</t>
  </si>
  <si>
    <t>ESSEN</t>
  </si>
  <si>
    <t>DETLEF JAD JANISCH</t>
  </si>
  <si>
    <t>EAO (GUANGZHOU) LTD.</t>
  </si>
  <si>
    <t>3/F, BLOCK G4, SOUTH CHINA NEW</t>
  </si>
  <si>
    <t>MATERIALS INNOVATION PARK,</t>
  </si>
  <si>
    <t>31 KEFENG ROAD</t>
  </si>
  <si>
    <t>tina_zhu</t>
  </si>
  <si>
    <t>MACHINERY PARTS OF CHAPTER 84, NOT INTENDED FOR A SPECIFI</t>
  </si>
  <si>
    <t>调光器5个(EAO牌无规格型号UDS2254NE)货样</t>
  </si>
  <si>
    <t>20191202133628</t>
  </si>
  <si>
    <t>瓷餐具货样</t>
  </si>
  <si>
    <t>105832564</t>
  </si>
  <si>
    <t>95100</t>
  </si>
  <si>
    <t>20191205134054</t>
  </si>
  <si>
    <t>电子配件货样</t>
  </si>
  <si>
    <t>106820001</t>
  </si>
  <si>
    <t>20191204134133</t>
  </si>
  <si>
    <t>调光器货样</t>
  </si>
  <si>
    <t>TXG</t>
  </si>
  <si>
    <t>OPAS UV CURING CORPORATION</t>
  </si>
  <si>
    <t>NO.18-2, LANE 852 TUCHENG RD.,</t>
  </si>
  <si>
    <t>DALI DIST., TAICHUNG CITY</t>
  </si>
  <si>
    <t>TAICHUNG,TA LI</t>
  </si>
  <si>
    <t>台中市</t>
  </si>
  <si>
    <t>SIH YUE  SONG</t>
  </si>
  <si>
    <t>SHENZHEN UWET ELECTRIC TECHNOLOGIES CO., LTD</t>
  </si>
  <si>
    <t>FLOOR 2, B BUILDING,</t>
  </si>
  <si>
    <t>YONGXING INDUSTRIAL PARK,</t>
  </si>
  <si>
    <t>DALANG STREET, LONGHUA DIST.,</t>
  </si>
  <si>
    <t>EVA ZHONG</t>
  </si>
  <si>
    <t>POWER SUPPLY</t>
  </si>
  <si>
    <t>电源供应器2套货样(暂扣/客户要求联系发件方处理清关业务)货样</t>
  </si>
  <si>
    <t>20191202144716</t>
  </si>
  <si>
    <t>20191202145001</t>
  </si>
  <si>
    <t xml:space="preserve">    由于退单,经海关审核转“普货报关”报关，现向贵关申请新增舱单正式报关。请予以批准！谢谢！</t>
  </si>
  <si>
    <t>AM SRLS</t>
  </si>
  <si>
    <t>VIALE DON MINZONI 7</t>
  </si>
  <si>
    <t>LEGNAGO</t>
  </si>
  <si>
    <t>0442-99587</t>
  </si>
  <si>
    <t>MARGONARI</t>
  </si>
  <si>
    <t>ALLEN DU</t>
  </si>
  <si>
    <t>51 2ND RING ROAD, SOUTH 4TH SE</t>
  </si>
  <si>
    <t>ROOM 603, BUILDING 1</t>
  </si>
  <si>
    <t>WINE SAMPLES</t>
  </si>
  <si>
    <t>红酒9瓶货样(个人酒/退运/客户无法清关15882345724)货样</t>
  </si>
  <si>
    <t>ZMU</t>
  </si>
  <si>
    <t>Dedo Weigert Film GmbH</t>
  </si>
  <si>
    <t>Karl-Weinmair-Str. 10</t>
  </si>
  <si>
    <t>MUENCHEN</t>
  </si>
  <si>
    <t>慕尼黑</t>
  </si>
  <si>
    <t>SANDRA FAKOUSSA</t>
  </si>
  <si>
    <t>BRIGHTCAST (HK) CO</t>
  </si>
  <si>
    <t>LIMITED3RD LEVEL, BUILDING 33</t>
  </si>
  <si>
    <t>HENGZHAO INDUSTRIAL PARK,</t>
  </si>
  <si>
    <t>HONGQIAOTOU, SONGGANG</t>
  </si>
  <si>
    <t>ALAN LIU</t>
  </si>
  <si>
    <t>LITEFLEX POWER STICK</t>
  </si>
  <si>
    <t>灯配件37千克货样(暂扣/发邮件liujiang01@163.com)货样</t>
  </si>
  <si>
    <t>431393970</t>
  </si>
  <si>
    <t>10020191206R101</t>
  </si>
  <si>
    <t>LBA</t>
  </si>
  <si>
    <t>PACK&amp; SEND LEEDS</t>
  </si>
  <si>
    <t>11 KIRKSTALL ROAD</t>
  </si>
  <si>
    <t>LEEDS</t>
  </si>
  <si>
    <t>利兹</t>
  </si>
  <si>
    <t>WEST YORKSHIRE</t>
  </si>
  <si>
    <t>LS3 1LH</t>
  </si>
  <si>
    <t>ROB RAYNER</t>
  </si>
  <si>
    <t>深圳市金谷丰科技有限公司</t>
  </si>
  <si>
    <t>ZHU LI MIN TECH SHENZHEN CO LTD</t>
  </si>
  <si>
    <t>SHUTIANPU, GONGMING</t>
  </si>
  <si>
    <t>GUANGMINGXINQU</t>
  </si>
  <si>
    <t>ZHU LI MIN</t>
  </si>
  <si>
    <t>ELECTRIC WAND MASSAGER-CON: 2 PER  EOX ELECTRIC WAND MASS</t>
  </si>
  <si>
    <t>硅胶按摩棒112个(用于身体按摩/bed geek牌/无规格/型号:play:two)(自扣)货样</t>
  </si>
  <si>
    <t>1T0001</t>
  </si>
  <si>
    <t>778017192</t>
  </si>
  <si>
    <t>TNT EXPRESS AUSTRIA GMBH      OPS</t>
  </si>
  <si>
    <t>CARGO NORD, OBJ 3</t>
  </si>
  <si>
    <t>WIEN FLUGHAFEN</t>
  </si>
  <si>
    <t>GABRIEL,TIJANA</t>
  </si>
  <si>
    <t>CHONGQING GUOGUI TRADING CO.,LTD</t>
  </si>
  <si>
    <t>NO.27-2,JIADE ROAD,CAIJIA TOW</t>
  </si>
  <si>
    <t>BEIBEI DISTRICT,CHONGQING,CHI</t>
  </si>
  <si>
    <t>023-68369167</t>
  </si>
  <si>
    <t>MEIBO_LIN</t>
  </si>
  <si>
    <t>BODY PULL ROD</t>
  </si>
  <si>
    <t>汽车配件4个货样(暂扣/无电话)货样</t>
  </si>
  <si>
    <t>91500109787452982Q</t>
  </si>
  <si>
    <t>20191202152010</t>
  </si>
  <si>
    <t>红酒货样</t>
  </si>
  <si>
    <t>251292847</t>
  </si>
  <si>
    <t>37045</t>
  </si>
  <si>
    <t>-8.6158823457e+12</t>
  </si>
  <si>
    <t>灯配件货样</t>
  </si>
  <si>
    <t>431107073</t>
  </si>
  <si>
    <t>80807</t>
  </si>
  <si>
    <t>8935616108</t>
  </si>
  <si>
    <t>-13301170568</t>
  </si>
  <si>
    <t>20191206152010</t>
  </si>
  <si>
    <t>硅胶按摩棒货样</t>
  </si>
  <si>
    <t>1132436393</t>
  </si>
  <si>
    <t>8.6137148782e+12</t>
  </si>
  <si>
    <t>3059222</t>
  </si>
  <si>
    <t>1300</t>
  </si>
  <si>
    <t>57700</t>
  </si>
  <si>
    <t>20191202152022</t>
  </si>
  <si>
    <t>20191206152022</t>
  </si>
  <si>
    <t>108937277</t>
  </si>
  <si>
    <t>1100251821867</t>
  </si>
  <si>
    <t>BRAEMAC LIMITED</t>
  </si>
  <si>
    <t>BRAEMAC HOUSE 1 MANDARIN COURT</t>
  </si>
  <si>
    <t>WA1 1GG</t>
  </si>
  <si>
    <t>GARY WOOD</t>
  </si>
  <si>
    <t>BEIJING IR TOUCH SYSTEMS LTD</t>
  </si>
  <si>
    <t>3RD FLOOR, BUILDING B, BLOCK B</t>
  </si>
  <si>
    <t>SHITOULING QIHUA INDUSTRIAL PA</t>
  </si>
  <si>
    <t>WULIAN VILLAGE, FENGGANG TOWN</t>
  </si>
  <si>
    <t>0769-01084573471</t>
  </si>
  <si>
    <t>YU_CHEN</t>
  </si>
  <si>
    <t>TOUCHSCREEN SENSORS</t>
  </si>
  <si>
    <t>触摸屏传感器12个(无牌无规格/型号E10D03U-45)货样</t>
  </si>
  <si>
    <t>91110105777699877M</t>
  </si>
  <si>
    <t>110847986</t>
  </si>
  <si>
    <t>PINS DESIGN SWEDEN AB</t>
  </si>
  <si>
    <t>OBSERVATORIEGATAN 3</t>
  </si>
  <si>
    <t>STOCKHOLM</t>
  </si>
  <si>
    <t>113 29</t>
  </si>
  <si>
    <t>LARS BJELKENSTEDT</t>
  </si>
  <si>
    <t>EVER RICH GIFT LIMITED C/O YASMINE</t>
  </si>
  <si>
    <t>NO.59, YONGSHENG ROAD</t>
  </si>
  <si>
    <t>YASMINE</t>
  </si>
  <si>
    <t>METAL PINS</t>
  </si>
  <si>
    <t>铁针5个(无牌无规格无型号)货样</t>
  </si>
  <si>
    <t>192525384</t>
  </si>
  <si>
    <t>1100251821847</t>
  </si>
  <si>
    <t>TUBOUL BUILDING SUPPLIES (1990) LTD</t>
  </si>
  <si>
    <t>TUBOUL BUILDING SUPPLIES () LTD</t>
  </si>
  <si>
    <t>7, HA BANAI STREET</t>
  </si>
  <si>
    <t>EINAV CENTER</t>
  </si>
  <si>
    <t>MODIIN</t>
  </si>
  <si>
    <t>ORLY  BGN</t>
  </si>
  <si>
    <t>SUNGLORY TECHNOLOGY CO LTD</t>
  </si>
  <si>
    <t>LIN BIN</t>
  </si>
  <si>
    <t>XINGFUHAIAN 1C18B</t>
  </si>
  <si>
    <t>LUOTIAN ROAD</t>
  </si>
  <si>
    <t>BAOAN CENTER DISTRICT</t>
  </si>
  <si>
    <t>PLASTIC HOUSING SAMPLES</t>
  </si>
  <si>
    <t>遥控器用塑胶壳5个(无牌无规格无型号)货样</t>
  </si>
  <si>
    <t>192837271</t>
  </si>
  <si>
    <t>GEKA GmbH Accessoires</t>
  </si>
  <si>
    <t>Schulweg 3</t>
  </si>
  <si>
    <t>BECHHOFEN A D HEIDE</t>
  </si>
  <si>
    <t>MARCO MH HERZOG</t>
  </si>
  <si>
    <t>JIANGMEN HUAJIE</t>
  </si>
  <si>
    <t>NO. 21, TONGLE ROAD,</t>
  </si>
  <si>
    <t>TANGXIA TOWN</t>
  </si>
  <si>
    <t>SHUN HO</t>
  </si>
  <si>
    <t>TOILET LINEN AND KITCHEN LINEN OF MAN-MADE FIBRES (EXCL.</t>
  </si>
  <si>
    <t>棉制手套3个/棉制网眼球4个(无牌无规格无型号)货样</t>
  </si>
  <si>
    <t>193055435</t>
  </si>
  <si>
    <t>EMRICH IND PTY LTD</t>
  </si>
  <si>
    <t>UNIT 8  72-76 FENTON STREET</t>
  </si>
  <si>
    <t>HUNTINGDALE</t>
  </si>
  <si>
    <t>MATTHEW RICHARDSON</t>
  </si>
  <si>
    <t>KEEPACKAGING CO.,LTD</t>
  </si>
  <si>
    <t>1 NO.6 XINGCHENG ROAD</t>
  </si>
  <si>
    <t>SHAPU XINCHENG INDUSTRIAL ZONE</t>
  </si>
  <si>
    <t>JUNAN TOWN SHUNDE FOSHAN CITY</t>
  </si>
  <si>
    <t>86--75725510099</t>
  </si>
  <si>
    <t>JOHN OUYANG</t>
  </si>
  <si>
    <t>BAG SAMPLES-POUCHES-PLASTIC BAGS</t>
  </si>
  <si>
    <t>塑料袋1.65千克(无牌无规格无型号)货样</t>
  </si>
  <si>
    <t>193429165</t>
  </si>
  <si>
    <t>ACADEMY COSMETIC CO., LTD</t>
  </si>
  <si>
    <t>NO. 27 GUIYUAN ROAD</t>
  </si>
  <si>
    <t>XINGHUA COMMUNITY</t>
  </si>
  <si>
    <t>GUANGLAN STREET</t>
  </si>
  <si>
    <t>MS. SUNNY LEE/MS MINHE</t>
  </si>
  <si>
    <t>BRUSHES FOR THE APPLICATION OF COSMETICS</t>
  </si>
  <si>
    <t>化妆刷8个(无牌无规格无型号)货样</t>
  </si>
  <si>
    <t>252169360</t>
  </si>
  <si>
    <t>IPS</t>
  </si>
  <si>
    <t>BIESSE S.P.A.</t>
  </si>
  <si>
    <t>VIA DELLA MECCANICA 16</t>
  </si>
  <si>
    <t>PESARO</t>
  </si>
  <si>
    <t>佩萨罗</t>
  </si>
  <si>
    <t>LOGISTICA RICAMBI</t>
  </si>
  <si>
    <t>BIESSE TRADING (SHANGHAI) CO.,</t>
  </si>
  <si>
    <t>ZONE E, CHASHAN INDUSTRIAL PAR</t>
  </si>
  <si>
    <t>CHASHAN TOWN</t>
  </si>
  <si>
    <t>DAVID ZHONG</t>
  </si>
  <si>
    <t>ENCODER</t>
  </si>
  <si>
    <t>木板钻孔机转换电机信号用编码器2个(HOHNER牌无规格型号5011)货样</t>
  </si>
  <si>
    <t>745079628</t>
  </si>
  <si>
    <t>JL5</t>
  </si>
  <si>
    <t>SOCCER INTERNATIONAL PVT LTD</t>
  </si>
  <si>
    <t>BASTI SHEIKH ROAD</t>
  </si>
  <si>
    <t>JALANDHAR</t>
  </si>
  <si>
    <t>贾朗达尔</t>
  </si>
  <si>
    <t>PUNJAB</t>
  </si>
  <si>
    <t>SURINDER RAJPAL</t>
  </si>
  <si>
    <t>INTERTEK TESTING SERVICE SHENZ</t>
  </si>
  <si>
    <t>E 201  NO 7-2  CAIPIN ROAD</t>
  </si>
  <si>
    <t>GUANGZHOU SCIENCE CITY GETDD</t>
  </si>
  <si>
    <t>MR RACE  CHEN</t>
  </si>
  <si>
    <t>SHIN GUARDS</t>
  </si>
  <si>
    <t>涤纶护膝18对(无牌无规格无型号)货样</t>
  </si>
  <si>
    <t>20191202135552</t>
  </si>
  <si>
    <t>43801.83412</t>
  </si>
  <si>
    <t>43803.413958</t>
  </si>
  <si>
    <t>3108588</t>
  </si>
  <si>
    <t>43801.579225</t>
  </si>
  <si>
    <t>3336.14</t>
  </si>
  <si>
    <t>20191208135644</t>
  </si>
  <si>
    <t>遥控器用塑胶壳货样</t>
  </si>
  <si>
    <t>43807.485729</t>
  </si>
  <si>
    <t>43809.422141</t>
  </si>
  <si>
    <t>7178366</t>
  </si>
  <si>
    <t>8.6137984086e+12</t>
  </si>
  <si>
    <t>43806.378218</t>
  </si>
  <si>
    <t>196.07</t>
  </si>
  <si>
    <t>棉制手套货样</t>
  </si>
  <si>
    <t>91572</t>
  </si>
  <si>
    <t>8.67503739e+12</t>
  </si>
  <si>
    <t>43806.378414</t>
  </si>
  <si>
    <t>210.08</t>
  </si>
  <si>
    <t>木板钻孔机转换电机信号用编码器货样</t>
  </si>
  <si>
    <t>43807.485891</t>
  </si>
  <si>
    <t>61100</t>
  </si>
  <si>
    <t>76988658999</t>
  </si>
  <si>
    <t>43806.378553</t>
  </si>
  <si>
    <t>20191208140018</t>
  </si>
  <si>
    <t>触摸屏传感器货样</t>
  </si>
  <si>
    <t>43807.824572</t>
  </si>
  <si>
    <t>43809.438669</t>
  </si>
  <si>
    <t>3073505</t>
  </si>
  <si>
    <t>43807.379595</t>
  </si>
  <si>
    <t>420.16</t>
  </si>
  <si>
    <t>43807.824641</t>
  </si>
  <si>
    <t>-8.6760897679e+12</t>
  </si>
  <si>
    <t>43807.569178</t>
  </si>
  <si>
    <t>3166</t>
  </si>
  <si>
    <t>43807.380486</t>
  </si>
  <si>
    <t>化妆刷货样</t>
  </si>
  <si>
    <t>43807.824722</t>
  </si>
  <si>
    <t>-8.6755280898e+12</t>
  </si>
  <si>
    <t>43807.380741</t>
  </si>
  <si>
    <t>涤纶护膝货样</t>
  </si>
  <si>
    <t>43807.824803</t>
  </si>
  <si>
    <t>144002</t>
  </si>
  <si>
    <t>8.6208213929e+11</t>
  </si>
  <si>
    <t>43807.569734</t>
  </si>
  <si>
    <t>322.12</t>
  </si>
  <si>
    <t>840645607</t>
  </si>
  <si>
    <t>TECHNOLOGY, OOO</t>
  </si>
  <si>
    <t>SOFIYSKAYA STR., 8,</t>
  </si>
  <si>
    <t>OFFICE 516</t>
  </si>
  <si>
    <t>ANDREY KALININ</t>
  </si>
  <si>
    <t>ASIMETO LTD</t>
  </si>
  <si>
    <t>402 BUILD B YUSHU INDUSTRIAL</t>
  </si>
  <si>
    <t>ZONE LUOGANG DISTRICT</t>
  </si>
  <si>
    <t>JAMES YIN</t>
  </si>
  <si>
    <t>CALIPER MARKING</t>
  </si>
  <si>
    <t>不锈钢卡尺1个(无牌无规格无型号)货样</t>
  </si>
  <si>
    <t>839901651</t>
  </si>
  <si>
    <t>VO6</t>
  </si>
  <si>
    <t>OOO  MK</t>
  </si>
  <si>
    <t>TRUDA PROSPECT,  69</t>
  </si>
  <si>
    <t>VORONEZH</t>
  </si>
  <si>
    <t>斯塔托洛切沃</t>
  </si>
  <si>
    <t>VORONEZH REGION</t>
  </si>
  <si>
    <t>ALEKSEJ</t>
  </si>
  <si>
    <t>HUALI (ASIA) INDUSTRIES CO., LTD</t>
  </si>
  <si>
    <t>SONG BAI TANG, HUALI</t>
  </si>
  <si>
    <t>INDUSTRIAL DISTRICT,</t>
  </si>
  <si>
    <t>CHANG PING</t>
  </si>
  <si>
    <t>LINDA</t>
  </si>
  <si>
    <t>SAMPLES OF FURNITURE EDGES, PVC</t>
  </si>
  <si>
    <t>家具用塑胶连接件7个(无牌无规格无型号)货样</t>
  </si>
  <si>
    <t>20191208141017</t>
  </si>
  <si>
    <t>不锈钢卡尺货样</t>
  </si>
  <si>
    <t>20191208141105</t>
  </si>
  <si>
    <t>家具用塑胶连接件货样</t>
  </si>
  <si>
    <t>192235831</t>
  </si>
  <si>
    <t>ORB</t>
  </si>
  <si>
    <t>MASTERFLOW AB</t>
  </si>
  <si>
    <t>HULTMANSGATAN 1</t>
  </si>
  <si>
    <t>VASTERVIK</t>
  </si>
  <si>
    <t>厄勒布鲁</t>
  </si>
  <si>
    <t>593 32</t>
  </si>
  <si>
    <t>ANDREAS STORGARD</t>
  </si>
  <si>
    <t>NAMDEO INDUSTRIAL CO., LTD</t>
  </si>
  <si>
    <t>HONG AN IND. PARK, CAI WU</t>
  </si>
  <si>
    <t>WUSHA DIST., CHANGAN TOWN,</t>
  </si>
  <si>
    <t>COCO KOU</t>
  </si>
  <si>
    <t>MASTERFLOW BUSHING</t>
  </si>
  <si>
    <t>热流道衬套1个(MASTERFLOW牌无规格型号NDT18009-100)货样</t>
  </si>
  <si>
    <t>325164943</t>
  </si>
  <si>
    <t>IBD</t>
  </si>
  <si>
    <t>BENACCHIO S.R.L.</t>
  </si>
  <si>
    <t>VIA DELLE INDUSTRIE</t>
  </si>
  <si>
    <t>CARTIGLIANO</t>
  </si>
  <si>
    <t>巴萨诺</t>
  </si>
  <si>
    <t>VI</t>
  </si>
  <si>
    <t>MAURO</t>
  </si>
  <si>
    <t>东莞市瑜鹏金属制品有限公司</t>
  </si>
  <si>
    <t>DONG GUAN SHI YU PENG JIN SHU ZHI PIN YOU XIAN GONG SI</t>
  </si>
  <si>
    <t>零件输送器12个(五金冲压模具配件/铁制/STRACK牌/无型号/无规格)(自扣)货样</t>
  </si>
  <si>
    <t>粤ZGS74港_1100251721204</t>
  </si>
  <si>
    <t>20191208155240</t>
  </si>
  <si>
    <t>热流道衬套货样</t>
  </si>
  <si>
    <t>104392</t>
  </si>
  <si>
    <t>-76933691304</t>
  </si>
  <si>
    <t>20191203155410</t>
  </si>
  <si>
    <t>零件输送器货样</t>
  </si>
  <si>
    <t>36050</t>
  </si>
  <si>
    <t>721244719</t>
  </si>
  <si>
    <t>OSA</t>
  </si>
  <si>
    <t>TAGAWA SANGYO CO LTD</t>
  </si>
  <si>
    <t>1924 YUGETA</t>
  </si>
  <si>
    <t>BUSINESS DEVELOPMENT MANAGER</t>
  </si>
  <si>
    <t>TAGAWA</t>
  </si>
  <si>
    <t>大阪</t>
  </si>
  <si>
    <t>FUKUOKA</t>
  </si>
  <si>
    <t>0947-442240</t>
  </si>
  <si>
    <t>RAN NAGASHIMA</t>
  </si>
  <si>
    <t>NANNING YINTAI ZHUANGSHI CO., LTD.</t>
  </si>
  <si>
    <t>11F DONGGE BUILDING NO.20-1</t>
  </si>
  <si>
    <t>DONGGE ROAD QINGXIU</t>
  </si>
  <si>
    <t>NANNING CITY GUANGXI</t>
  </si>
  <si>
    <t>NING SU QING</t>
  </si>
  <si>
    <t>PLASTER PRODUCTS</t>
  </si>
  <si>
    <t>涂料硅藻泥40千克(无牌无规格无型号)货样</t>
  </si>
  <si>
    <t>20191208155930</t>
  </si>
  <si>
    <t>涂料硅藻泥货样</t>
  </si>
  <si>
    <t>192757946</t>
  </si>
  <si>
    <t>WITEC GMBH</t>
  </si>
  <si>
    <t>LISE-MEITNER-STR 6</t>
  </si>
  <si>
    <t>LICHANG  HUANG</t>
  </si>
  <si>
    <t>DONGGUAN UNIVERSITY OF TECHNOLOGY</t>
  </si>
  <si>
    <t>NO.1, DAXUE RD. SONGSHAN LAKE,</t>
  </si>
  <si>
    <t>SCHOOL OF ECONOMIC MANAGEMENT</t>
  </si>
  <si>
    <t>#105 BUILDING</t>
  </si>
  <si>
    <t>WANG RONGRONG</t>
  </si>
  <si>
    <t>SAMPLE OF MODULE FOR TESTING</t>
  </si>
  <si>
    <t>显微镜模块1个(无牌无规格无型号)货样</t>
  </si>
  <si>
    <t>626040224</t>
  </si>
  <si>
    <t>DEB</t>
  </si>
  <si>
    <t>DIVIAN-MEGAFA KFT.</t>
  </si>
  <si>
    <t>TUNDE U.18. 8522/131.HRSZ.</t>
  </si>
  <si>
    <t>NYIREGYHAZA</t>
  </si>
  <si>
    <t>德布勒森</t>
  </si>
  <si>
    <t>BALOGH TIMEA</t>
  </si>
  <si>
    <t>MONSOON IMPORT EXPORT</t>
  </si>
  <si>
    <t>ROOM 401-501, NO. 15 MENGCHONG</t>
  </si>
  <si>
    <t>STREET, DASHI</t>
  </si>
  <si>
    <t>JANNA ZHANG</t>
  </si>
  <si>
    <t>FURNITURE COMPONENT</t>
  </si>
  <si>
    <t>家具用塑胶连接件1个(无牌无规格无型号)货样</t>
  </si>
  <si>
    <t>20191208171242</t>
  </si>
  <si>
    <t>显微镜模块货样</t>
  </si>
  <si>
    <t>20191208171306</t>
  </si>
  <si>
    <t>110563613</t>
  </si>
  <si>
    <t>1100251821941</t>
  </si>
  <si>
    <t>SO8</t>
  </si>
  <si>
    <t>T-PLASZTIK KFT</t>
  </si>
  <si>
    <t>TISZA U.4.</t>
  </si>
  <si>
    <t>JASZLADANY</t>
  </si>
  <si>
    <t>索尔诺克</t>
  </si>
  <si>
    <t>REKA  BERENYINE KATONA</t>
  </si>
  <si>
    <t>SAM GRAND TOOLING LTD.</t>
  </si>
  <si>
    <t>XIADONG HIGH TECH INDRUSTIAL P</t>
  </si>
  <si>
    <t>KEVIN SAMGRAND</t>
  </si>
  <si>
    <t>GRANULAT</t>
  </si>
  <si>
    <t>PA66聚酯塑胶粒25千克(无牌无规格/型号technyl A217)货样</t>
  </si>
  <si>
    <t>20191212155247</t>
  </si>
  <si>
    <t xml:space="preserve">    由于客户提供的资料与实物不符,查扣转D类报关，现向贵关申请新增舱单正式报关。请予以批准！谢谢！</t>
  </si>
  <si>
    <t xml:space="preserve">    由于我司清关系统获取重量错误，导入公路舱单数据不正确。现向海关提出删除舱单修改后重发。给海关工作带来不便深表歉意，请予以批准！谢谢！</t>
  </si>
  <si>
    <t xml:space="preserve">    由于此票货物需要拆单申报，现向贵关申请新增舱单正式报关。请予以批准！谢谢！</t>
  </si>
  <si>
    <t xml:space="preserve">    由于我司客户要求转正式报关。现向海关提出新增舱单。给海关工作带来不便深表歉意，盼请予以批准！谢谢！</t>
  </si>
  <si>
    <t xml:space="preserve">    由于我司客户要求分单报关。现向海关提出删除并新增舱单。给海关工作带来不便深表歉意，盼请予以批准！谢谢！</t>
  </si>
  <si>
    <t xml:space="preserve">    由于查验后扣留,经处置科审核转“普货报关”报关，现向贵关申请新增舱单正式报关。请予以批准！谢谢！</t>
  </si>
  <si>
    <t xml:space="preserve">    由于我司清关系统获取重量错误，导入公路舱单数据不正确。现向海关提出删除舱单。给海关工作带来不便深表歉意，请予以批准！谢谢！</t>
  </si>
  <si>
    <r>
      <t xml:space="preserve">    </t>
    </r>
    <r>
      <rPr>
        <sz val="18"/>
        <rFont val="宋体"/>
        <family val="3"/>
        <charset val="134"/>
      </rPr>
      <t>由于客户申报信息与实物不符转</t>
    </r>
    <r>
      <rPr>
        <sz val="18"/>
        <rFont val="Arial"/>
        <family val="2"/>
      </rPr>
      <t>“</t>
    </r>
    <r>
      <rPr>
        <sz val="18"/>
        <rFont val="宋体"/>
        <family val="3"/>
        <charset val="134"/>
      </rPr>
      <t>普货报关</t>
    </r>
    <r>
      <rPr>
        <sz val="18"/>
        <rFont val="Arial"/>
        <family val="2"/>
      </rPr>
      <t>”</t>
    </r>
    <r>
      <rPr>
        <sz val="18"/>
        <rFont val="宋体"/>
        <family val="3"/>
        <charset val="134"/>
      </rPr>
      <t>，现向海关申请新增舱单报关。</t>
    </r>
    <phoneticPr fontId="1" type="noConversion"/>
  </si>
  <si>
    <t>325811920</t>
  </si>
  <si>
    <t>SOLAR ELECTRIC VN</t>
  </si>
  <si>
    <t>CT1 DREAM TOWN</t>
  </si>
  <si>
    <t>TAY MO</t>
  </si>
  <si>
    <t>NAM TU LIEM</t>
  </si>
  <si>
    <t>MS DUNG</t>
  </si>
  <si>
    <t>AGC LIGHTING CO.,LTD</t>
  </si>
  <si>
    <t>A ,FACTORY,NO.3 JIANAN RD,TANG</t>
  </si>
  <si>
    <t>WEI COMMUNITY,FUYONG</t>
  </si>
  <si>
    <t>0755-33581002</t>
  </si>
  <si>
    <t>QIUBO_LI</t>
  </si>
  <si>
    <t>POWER SUPPY</t>
  </si>
  <si>
    <t>电源2个(无牌无规格无型号)货样</t>
  </si>
  <si>
    <t>9144030031168899X6</t>
  </si>
  <si>
    <t>325934232</t>
  </si>
  <si>
    <t>XYZPRINTING INC</t>
  </si>
  <si>
    <t>BLDGA NO147 SEC 3 BEISHEN RD W</t>
  </si>
  <si>
    <t>ANSHUEN TWUN SHENKENG</t>
  </si>
  <si>
    <t>MR HSU*27303/02-77058001</t>
  </si>
  <si>
    <t>NEW TAIPEI,SHEN KENG</t>
  </si>
  <si>
    <t>MR HSU</t>
  </si>
  <si>
    <t>科莱恩化工(中国)有限公司</t>
  </si>
  <si>
    <t>CLARIANT CHEMICALS (CHINA)LTD</t>
  </si>
  <si>
    <t>4F  2 L168 LIN HONG RD</t>
  </si>
  <si>
    <t>SHANGHAI-CHANGNING</t>
  </si>
  <si>
    <t>0150-13023772</t>
  </si>
  <si>
    <t>miss_yao</t>
  </si>
  <si>
    <t>PLASTIC SAMPLE</t>
  </si>
  <si>
    <t>塑胶板1个(无牌无规格无型号)货样</t>
  </si>
  <si>
    <t>9131000060730553XG</t>
  </si>
  <si>
    <t>20191212143646</t>
  </si>
  <si>
    <t>电源货样</t>
  </si>
  <si>
    <t>20191212143657</t>
  </si>
  <si>
    <t>195802176</t>
  </si>
  <si>
    <t>1100251821961</t>
  </si>
  <si>
    <t>THE TOOL HUB (SHENZHEN) LTD</t>
  </si>
  <si>
    <t>BUILDING B-102, 1ST FLOOR</t>
  </si>
  <si>
    <t>TENGDAXIANG PARK ZHUANG VILLAG</t>
  </si>
  <si>
    <t>SHAJING STREET, BAOAN</t>
  </si>
  <si>
    <t>TYLER TAN</t>
  </si>
  <si>
    <t>注塑模具用热流道系统1个(无牌无规格/型号EWB1912AG-TTH19099)货样</t>
  </si>
  <si>
    <t>20191214151732</t>
  </si>
  <si>
    <t>注塑模具用热流道系统货样</t>
  </si>
  <si>
    <t>325927770</t>
  </si>
  <si>
    <t>1100251821951</t>
  </si>
  <si>
    <t>SD MEDICAL CO.,LTD</t>
  </si>
  <si>
    <t>3-3-1 MINAMIMEGAKI</t>
  </si>
  <si>
    <t>IBARAKI</t>
  </si>
  <si>
    <t>OSAKA</t>
  </si>
  <si>
    <t>KURIYAMA HITOSHI</t>
  </si>
  <si>
    <t>GUANGZHOU AJAX MEDICAL EQUIPME</t>
  </si>
  <si>
    <t>2F NO.2 BUILDING DAGANG GONGYE</t>
  </si>
  <si>
    <t>QU SHILOUZHEN PANYU GUANGZHOU</t>
  </si>
  <si>
    <t>020-84847938</t>
  </si>
  <si>
    <t>ella_x</t>
  </si>
  <si>
    <t>MAIN BOARD</t>
  </si>
  <si>
    <t>牙科治疗仪用电路板26块(无牌无规格无型号)货样</t>
  </si>
  <si>
    <t>521367981</t>
  </si>
  <si>
    <t>SOU</t>
  </si>
  <si>
    <t>南安普敦</t>
  </si>
  <si>
    <t>SUPREEM CARBON CO.,LTD</t>
  </si>
  <si>
    <t>399A, JINQIANG INDUSTRIAL PARK</t>
  </si>
  <si>
    <t>YADI NAN 1 RD</t>
  </si>
  <si>
    <t>SHANHE, QIAOTOU TOWN</t>
  </si>
  <si>
    <t>MIKE HU</t>
  </si>
  <si>
    <t>CAR BONNET BADGE</t>
  </si>
  <si>
    <t>ABS徽章1个(方向盘装饰用/无牌无规格无型号)货样</t>
  </si>
  <si>
    <t>745080215</t>
  </si>
  <si>
    <t>1100251821921</t>
  </si>
  <si>
    <t>RAMCO INTERNATIONAL</t>
  </si>
  <si>
    <t>DHOGRI ROAD</t>
  </si>
  <si>
    <t>NEAR PATHANKOT BYE PASS</t>
  </si>
  <si>
    <t>JALANDHAR CITY</t>
  </si>
  <si>
    <t>RAMCO</t>
  </si>
  <si>
    <t>BOND SHENZHEN OUTDOOR PROD</t>
  </si>
  <si>
    <t>27A  MAOYE TIMES SQUARE</t>
  </si>
  <si>
    <t>HAIDE 2ND ROAD,</t>
  </si>
  <si>
    <t>86-75586616696</t>
  </si>
  <si>
    <t>ANDERSON</t>
  </si>
  <si>
    <t>GARDEN TOOLS</t>
  </si>
  <si>
    <t>花园用铁制铲子2个/叉子1个(无牌无规格无型号)货样</t>
  </si>
  <si>
    <t>20191213175933</t>
  </si>
  <si>
    <t>牙科治疗仪用电路板货样</t>
  </si>
  <si>
    <t>40617</t>
  </si>
  <si>
    <t>5670837</t>
  </si>
  <si>
    <t>20191212180118</t>
  </si>
  <si>
    <t>ABS徽章货样</t>
  </si>
  <si>
    <t>8.6137985859e+12</t>
  </si>
  <si>
    <t>20191211180137</t>
  </si>
  <si>
    <t>花园用铁制铲子货样</t>
  </si>
  <si>
    <t>325913000</t>
  </si>
  <si>
    <t>PILOT SOLUTIONS</t>
  </si>
  <si>
    <t>8 MERESIDE GARDENS WHALEY BRID</t>
  </si>
  <si>
    <t>GE HIGH PEAK</t>
  </si>
  <si>
    <t>WHALEY BRIDGE</t>
  </si>
  <si>
    <t>DERBYSHIRE</t>
  </si>
  <si>
    <t>SK23 7SB</t>
  </si>
  <si>
    <t>MR BRIAN HILL</t>
  </si>
  <si>
    <t>DEQING WESTTECH COMPANY</t>
  </si>
  <si>
    <t>1939 WEINIINTL LINHEXILU167 TI</t>
  </si>
  <si>
    <t>ANHE GUANGZHOU</t>
  </si>
  <si>
    <t>020-38090168</t>
  </si>
  <si>
    <t>miss_wang</t>
  </si>
  <si>
    <t>PILOTEST DIPSLIDES</t>
  </si>
  <si>
    <t>液体化工用测试纸15盒(无牌规格:10个/每盒/无型号)货样</t>
  </si>
  <si>
    <t>91441226588318553A</t>
  </si>
  <si>
    <t>20191214161837</t>
  </si>
  <si>
    <t>液体化工用测试纸货样</t>
  </si>
  <si>
    <t xml:space="preserve">    由于客户申报信息与实物不符转“普货报关”，现向海关申请新增舱单报关。</t>
  </si>
  <si>
    <t>110951697</t>
  </si>
  <si>
    <t>1100251822005</t>
  </si>
  <si>
    <t>Euro Gifts</t>
  </si>
  <si>
    <t>Hoogweg 38</t>
  </si>
  <si>
    <t>WERVIK</t>
  </si>
  <si>
    <t>RIK VANDERSYPPE</t>
  </si>
  <si>
    <t>SHENZHEN VASTDIGI TECHNOLOGY CO. LTD</t>
  </si>
  <si>
    <t>EAST 4/F, EAST 8 ,</t>
  </si>
  <si>
    <t>SHANGXUE INDUSTRIAL PARK</t>
  </si>
  <si>
    <t>JIHUA ROAD, LONGGANG DISTRICT</t>
  </si>
  <si>
    <t>86-13510915204</t>
  </si>
  <si>
    <t>JENNY XU</t>
  </si>
  <si>
    <t>USB KEY</t>
  </si>
  <si>
    <t>U盘300个(无牌规格8G无型号)货样</t>
  </si>
  <si>
    <t>112675586</t>
  </si>
  <si>
    <t>BI6</t>
  </si>
  <si>
    <t>JUAN CARLOS HERAS ADAM</t>
  </si>
  <si>
    <t>IBERLUCE 9 BAJO</t>
  </si>
  <si>
    <t>GALDAKAO</t>
  </si>
  <si>
    <t>毕尔巴鄂</t>
  </si>
  <si>
    <t>VIZCAYA</t>
  </si>
  <si>
    <t>JUAN CARLOS HERAS</t>
  </si>
  <si>
    <t>SHENZHEN LED COLOR</t>
  </si>
  <si>
    <t>FITH FLOOR DADONG MING SCIENCE</t>
  </si>
  <si>
    <t>&amp; TECHNOLOGY PARK YUE QUN ROAD</t>
  </si>
  <si>
    <t>CHANGZHENGUANMING NEW DISTRICT</t>
  </si>
  <si>
    <t>ALAN WANG</t>
  </si>
  <si>
    <t>LIGHTING FITTINGS/APARATOS DE ALUMBRADO</t>
  </si>
  <si>
    <t>LED灯条12个(无牌无规格型号CCTX-2835-BC-002X-25/CCTX-2835-BC-2X-25/CCTX-2835-BN-002X-25/CCTX-2835-BN-2X-25)货样</t>
  </si>
  <si>
    <t>113366396</t>
  </si>
  <si>
    <t>SGD</t>
  </si>
  <si>
    <t>BR METALS PTE. LTD.</t>
  </si>
  <si>
    <t>NORDIX 51</t>
  </si>
  <si>
    <t>WOODLAND INDUSTRIAL PARK E2</t>
  </si>
  <si>
    <t>ESTHER CHEN</t>
  </si>
  <si>
    <t>BR METALS LTD</t>
  </si>
  <si>
    <t>ROOM 1001 FANG YUAN BAI YUN</t>
  </si>
  <si>
    <t>SHI GUANG AIRPORT ROAD  1630</t>
  </si>
  <si>
    <t>BAIYUN DISTRICT</t>
  </si>
  <si>
    <t>020-66679400</t>
  </si>
  <si>
    <t>ELLA</t>
  </si>
  <si>
    <t>CARRIER CATALYST SAMPLE</t>
  </si>
  <si>
    <t>载体催化剂1千克(无牌无规格无型号)货样</t>
  </si>
  <si>
    <t>521259602</t>
  </si>
  <si>
    <t>SHENZHEN GENO ENTERPRISE CO. LTD.</t>
  </si>
  <si>
    <t>XINGHUA ROAD 1</t>
  </si>
  <si>
    <t>HUA CHUANG DA CENTRE BUSINESS</t>
  </si>
  <si>
    <t>UNIT G217</t>
  </si>
  <si>
    <t>CINDY HE</t>
  </si>
  <si>
    <t>BATHING TRUNKS</t>
  </si>
  <si>
    <t>棉针织女式泳衣1件/棉针织男士泳裤1件(无牌无规格无型号)货样</t>
  </si>
  <si>
    <t>1100251821421</t>
  </si>
  <si>
    <t>20191217152218</t>
  </si>
  <si>
    <t>U盘货样</t>
  </si>
  <si>
    <t>4511.11</t>
  </si>
  <si>
    <t>20191214152358</t>
  </si>
  <si>
    <t>LED灯条货样</t>
  </si>
  <si>
    <t>-8.6136327732e+12</t>
  </si>
  <si>
    <t>540</t>
  </si>
  <si>
    <t>20191212152603</t>
  </si>
  <si>
    <t>载体催化剂货样</t>
  </si>
  <si>
    <t>257.03</t>
  </si>
  <si>
    <t>棉针织女式泳衣货样</t>
  </si>
  <si>
    <t>-8.6755287009e+12</t>
  </si>
  <si>
    <t>231.34</t>
  </si>
  <si>
    <t>113089211</t>
  </si>
  <si>
    <t>MKA</t>
  </si>
  <si>
    <t>H&amp;B GROUP S R O</t>
  </si>
  <si>
    <t>ZATECKA 1388</t>
  </si>
  <si>
    <t>PLZEN</t>
  </si>
  <si>
    <t>301 00</t>
  </si>
  <si>
    <t>VOJTECH ZIMA</t>
  </si>
  <si>
    <t>ZHONGSHAN JIXIN CORE LOCK CO., LTD</t>
  </si>
  <si>
    <t>NO.6, XINGYU ROAD</t>
  </si>
  <si>
    <t>XIAOLAN INDUSTRIAL ZONE</t>
  </si>
  <si>
    <t>XIAOLAN TOWN</t>
  </si>
  <si>
    <t>MILLY HONG</t>
  </si>
  <si>
    <t>EL PARTS</t>
  </si>
  <si>
    <t>铜制锁芯3套(无牌无规格无型号)货样</t>
  </si>
  <si>
    <t>197984721</t>
  </si>
  <si>
    <t>BY4</t>
  </si>
  <si>
    <t>TCB Arrow Ltd</t>
  </si>
  <si>
    <t>Watchmoor House</t>
  </si>
  <si>
    <t>Watchmoor Road</t>
  </si>
  <si>
    <t>CAMBERLEY</t>
  </si>
  <si>
    <t>拜弗利特</t>
  </si>
  <si>
    <t>SURREY</t>
  </si>
  <si>
    <t>GU15 3AQ</t>
  </si>
  <si>
    <t>NICK  WRIGHT</t>
  </si>
  <si>
    <t>SHENZHEN MIRACLE INDUSTRIAL LIMITED</t>
  </si>
  <si>
    <t>ROOM 1301 , BUILDING 4</t>
  </si>
  <si>
    <t>FANGDACHENG</t>
  </si>
  <si>
    <t>LONGZHU FORTH RD</t>
  </si>
  <si>
    <t>0086-755-86659102</t>
  </si>
  <si>
    <t>EVE</t>
  </si>
  <si>
    <t>EVOPRENE G 963 BLACK TPR /IUV STABILISER ADDITIVE</t>
  </si>
  <si>
    <t>TPR/UV聚酯塑胶粒21千克(无牌无规格型号G963)货样</t>
  </si>
  <si>
    <t>20191214160702</t>
  </si>
  <si>
    <t>铜制锁芯货样</t>
  </si>
  <si>
    <t>-8.6760222825e+12</t>
  </si>
  <si>
    <t>20191218160904</t>
  </si>
  <si>
    <t>TPR/UV聚酯塑胶粒货样</t>
  </si>
  <si>
    <t>110705206</t>
  </si>
  <si>
    <t>INX</t>
  </si>
  <si>
    <t>RM 209-3, KOLONASTON</t>
  </si>
  <si>
    <t>212, GASAN DIGITAL 1-RO</t>
  </si>
  <si>
    <t>MINSOO YUN</t>
  </si>
  <si>
    <t>HAN S LASER TECHNOLOGY INDUSTRY GROUP CO.,LTD</t>
  </si>
  <si>
    <t>HAN S LASER BUILDING, NORTH</t>
  </si>
  <si>
    <t>CIRCLE ROAD, NORTHERN SECTION,</t>
  </si>
  <si>
    <t>HITECH INDUSTRIAL PARK NANSHAN</t>
  </si>
  <si>
    <t>XIANG JUN</t>
  </si>
  <si>
    <t>LASER MARKING TEST</t>
  </si>
  <si>
    <t>塑料外壳20个（BOSUNG CHEMICAL牌/规格:300MM*70MM/型号:malana tester)货样</t>
  </si>
  <si>
    <t>114819623</t>
  </si>
  <si>
    <t>AUDIENS NORGE AS</t>
  </si>
  <si>
    <t>INDUSTRIVEIEN 20 A</t>
  </si>
  <si>
    <t>SKEDSMOKORSET</t>
  </si>
  <si>
    <t>46-96-95-15</t>
  </si>
  <si>
    <t>STEFAN SCHUTZER</t>
  </si>
  <si>
    <t>DONGGUAN 3G AUDIO TECHNOLOGY CO., LTD.</t>
  </si>
  <si>
    <t>NO.28 XIANGHE ROAD</t>
  </si>
  <si>
    <t>XIANGSHAN INDUSTRIAL PARK</t>
  </si>
  <si>
    <t>TRUMAN XIA</t>
  </si>
  <si>
    <t>COLOUR SAMPLE</t>
  </si>
  <si>
    <t>着色颜料0.3千克(无牌无规格无型号)货样</t>
  </si>
  <si>
    <t>117294045</t>
  </si>
  <si>
    <t>1100251821441</t>
  </si>
  <si>
    <t>MOR-GAL PLASTIC LTD</t>
  </si>
  <si>
    <t>HA SHOHAM  STREET</t>
  </si>
  <si>
    <t>CORNER HA SHINHAR STREET</t>
  </si>
  <si>
    <t>INDUSTRIAL AREA</t>
  </si>
  <si>
    <t>BARKAN</t>
  </si>
  <si>
    <t>VERED ZABIB</t>
  </si>
  <si>
    <t>W-TOOLING</t>
  </si>
  <si>
    <t>NO 188 INDUSTRY PARK</t>
  </si>
  <si>
    <t>PINGSHAN VILLAGE, TANGXIA TOWN</t>
  </si>
  <si>
    <t>DONGGUAN CITY,</t>
  </si>
  <si>
    <t>86-18938202488</t>
  </si>
  <si>
    <t>GRACE LIN</t>
  </si>
  <si>
    <t>PP聚酯塑胶粒31千克(无牌无规格无型号)货样</t>
  </si>
  <si>
    <t>200683350</t>
  </si>
  <si>
    <t>1100240420204</t>
  </si>
  <si>
    <t>GPE - Plast Engineering GmbH</t>
  </si>
  <si>
    <t>Oderstr. 68</t>
  </si>
  <si>
    <t>NEUMUENSTER</t>
  </si>
  <si>
    <t>PASCAL NEUMANN</t>
  </si>
  <si>
    <t>VICO MOLD LIMITED</t>
  </si>
  <si>
    <t>ROOM103,BUILDING A, NO.57</t>
  </si>
  <si>
    <t>SHACHONG ROAD, SHATOU DISTRICT</t>
  </si>
  <si>
    <t>CHANG'AN TOWN,</t>
  </si>
  <si>
    <t>KRIS JIN</t>
  </si>
  <si>
    <t>- - SCREWS; BOLTS AND NUTS</t>
  </si>
  <si>
    <t>铜制螺钉700个(无牌规格:8MM/无型号)货样</t>
  </si>
  <si>
    <t>522547358</t>
  </si>
  <si>
    <t>1100251821431</t>
  </si>
  <si>
    <t>Interparcel Ltd</t>
  </si>
  <si>
    <t>Magellan Terrace</t>
  </si>
  <si>
    <t>Gatwick Road</t>
  </si>
  <si>
    <t>CRAWLEY</t>
  </si>
  <si>
    <t>WEST SUSSEX</t>
  </si>
  <si>
    <t>RH10 9RD</t>
  </si>
  <si>
    <t>03333000-700</t>
  </si>
  <si>
    <t>佛山市佛可光电有限公司</t>
  </si>
  <si>
    <t>CAMILLA HUANG</t>
  </si>
  <si>
    <t>NO 888 ZONE B SCIENCE  TECH</t>
  </si>
  <si>
    <t>SHISHAN TOWN NANHAI DIST</t>
  </si>
  <si>
    <t>LED LIGHTS &amp; FITTING KIT</t>
  </si>
  <si>
    <t>LED照明灯具1套(无牌无规格无型号)货样</t>
  </si>
  <si>
    <t>777430915</t>
  </si>
  <si>
    <t>PRESTECH INDUSTRIAL AUTOMATION PTE LTD</t>
  </si>
  <si>
    <t>NO.50 UBI AVE 3</t>
  </si>
  <si>
    <t>FRONTIER BUILDING</t>
  </si>
  <si>
    <t>IRENE  PHANG</t>
  </si>
  <si>
    <t>PF INDUSTRY CO LTD</t>
  </si>
  <si>
    <t>NO 49 JINKANG ROAD</t>
  </si>
  <si>
    <t>PINGSHAN SHENZHEN</t>
  </si>
  <si>
    <t>MR PETER JIA</t>
  </si>
  <si>
    <t>PART SAMPLE OF ALUMINIUM</t>
  </si>
  <si>
    <t>家具用铝制保护套1个(无牌无规格无型号)货样</t>
  </si>
  <si>
    <t>20191208160447</t>
  </si>
  <si>
    <t>8502</t>
  </si>
  <si>
    <t>82220828880</t>
  </si>
  <si>
    <t>-13509689666</t>
  </si>
  <si>
    <t>280.1</t>
  </si>
  <si>
    <t>20191218160512</t>
  </si>
  <si>
    <t>着色颜料货样</t>
  </si>
  <si>
    <t>2020</t>
  </si>
  <si>
    <t>-8.6189385084e+12</t>
  </si>
  <si>
    <t>169.65</t>
  </si>
  <si>
    <t>20191220160524</t>
  </si>
  <si>
    <t>PP聚酯塑胶粒货样</t>
  </si>
  <si>
    <t>4482000</t>
  </si>
  <si>
    <t>39349886</t>
  </si>
  <si>
    <t>1588</t>
  </si>
  <si>
    <t>20191222160535</t>
  </si>
  <si>
    <t>铜制螺钉货样</t>
  </si>
  <si>
    <t>24539</t>
  </si>
  <si>
    <t>432181122</t>
  </si>
  <si>
    <t>-7552702</t>
  </si>
  <si>
    <t>487.51</t>
  </si>
  <si>
    <t>20191219160548</t>
  </si>
  <si>
    <t>LED照明灯具货样</t>
  </si>
  <si>
    <t>8.6136508365e+12</t>
  </si>
  <si>
    <t>314.94</t>
  </si>
  <si>
    <t>家具用铝制保护套货样</t>
  </si>
  <si>
    <t>43565</t>
  </si>
  <si>
    <t>408866</t>
  </si>
  <si>
    <t>67433880</t>
  </si>
  <si>
    <t>75527615521</t>
  </si>
  <si>
    <t>115805546</t>
  </si>
  <si>
    <t>76A</t>
  </si>
  <si>
    <t>CELEC</t>
  </si>
  <si>
    <t>3 Boulevard de l Europe</t>
  </si>
  <si>
    <t>BP 21</t>
  </si>
  <si>
    <t>NEUFCHATEL EN BRAY</t>
  </si>
  <si>
    <t>圣杰曼</t>
  </si>
  <si>
    <t>MURIEL PRIDOT</t>
  </si>
  <si>
    <t>FEETECH  RC MODEL CO.,LTD</t>
  </si>
  <si>
    <t>FLOOR 2,NO 60,PUXIA ROAD</t>
  </si>
  <si>
    <t>LIUYUE HENGGANG TOWN</t>
  </si>
  <si>
    <t>LONG GANG DISTRICT</t>
  </si>
  <si>
    <t>JENNY DENG</t>
  </si>
  <si>
    <t>微电机1台(无牌无规格无型号)货样</t>
  </si>
  <si>
    <t>118122890</t>
  </si>
  <si>
    <t>NZD</t>
  </si>
  <si>
    <t>AKL</t>
  </si>
  <si>
    <t>POLYFLOR NZ</t>
  </si>
  <si>
    <t>NZ</t>
  </si>
  <si>
    <t>新西兰</t>
  </si>
  <si>
    <t>2 NAREK PLACE</t>
  </si>
  <si>
    <t>WIRI</t>
  </si>
  <si>
    <t>奥克兰</t>
  </si>
  <si>
    <t>STEVE TROON</t>
  </si>
  <si>
    <t>DONGGUAN MEIJER PLASTIC PRODUCTS CO., LTD.</t>
  </si>
  <si>
    <t>HUANGYONG 3RD INDUSTRY DIST.</t>
  </si>
  <si>
    <t>ZHONGTANG TOWN</t>
  </si>
  <si>
    <t>MR KENT CHAN</t>
  </si>
  <si>
    <t>PVC  FLOORING  SAMPLE</t>
  </si>
  <si>
    <t>塑胶地板1个(无牌无规格无型号)货样</t>
  </si>
  <si>
    <t>20191219170338</t>
  </si>
  <si>
    <t>微电机货样</t>
  </si>
  <si>
    <t>20191220170437</t>
  </si>
  <si>
    <t>塑胶地板货样</t>
  </si>
  <si>
    <t>20191220170844</t>
  </si>
  <si>
    <t>20191219170908</t>
  </si>
  <si>
    <t>108860710</t>
  </si>
  <si>
    <t>ROBERT BOSCH KFT - CM</t>
  </si>
  <si>
    <t>GYOMROI UT 104.</t>
  </si>
  <si>
    <t>FODOR BALINT</t>
  </si>
  <si>
    <t>SHENZHEN WANGBO TECHNOLOGY CO., LTD.</t>
  </si>
  <si>
    <t>1F BUILDING G</t>
  </si>
  <si>
    <t>ZHIAXUANHAN INDUSTRIAL PARK</t>
  </si>
  <si>
    <t>SHOIYAN STREET</t>
  </si>
  <si>
    <t>VIVIAN JIANG</t>
  </si>
  <si>
    <t>DIAPLATE</t>
  </si>
  <si>
    <t>塑料折叠板1个(无牌无规格无型号)货样</t>
  </si>
  <si>
    <t>116470702</t>
  </si>
  <si>
    <t>VERHAGEN GROUP</t>
  </si>
  <si>
    <t>DOORNEPOL 5</t>
  </si>
  <si>
    <t>ZALTBOMMEL</t>
  </si>
  <si>
    <t>5301 LV</t>
  </si>
  <si>
    <t>WIM W MOSINK</t>
  </si>
  <si>
    <t>ALIYUN CO LTD</t>
  </si>
  <si>
    <t>111 XIANG YUE ROAD</t>
  </si>
  <si>
    <t>ROOM 1505, BUILDING 2</t>
  </si>
  <si>
    <t>XIANG ZHOU DISTRICT</t>
  </si>
  <si>
    <t>JANE WU</t>
  </si>
  <si>
    <t>GLASS BOTTLE</t>
  </si>
  <si>
    <t>玻璃瓶9个(无牌无规格无型号)货样</t>
  </si>
  <si>
    <t>117448714</t>
  </si>
  <si>
    <t>1100240420197</t>
  </si>
  <si>
    <t>69A</t>
  </si>
  <si>
    <t>VIALATON  MARTIN &amp; FILS</t>
  </si>
  <si>
    <t>RTE DE CHAZELLES</t>
  </si>
  <si>
    <t>Z.I. DU COLOMBIER</t>
  </si>
  <si>
    <t>ST SYMPHORIEN SUR COISE</t>
  </si>
  <si>
    <t>圣吉拉布西耶</t>
  </si>
  <si>
    <t>FABIENNE DEGUT</t>
  </si>
  <si>
    <t>INTES TEXTILE CORP</t>
  </si>
  <si>
    <t>13/F RM.1312</t>
  </si>
  <si>
    <t>DONG FENG BUILDING</t>
  </si>
  <si>
    <t>N?2010 SHEN NAN ZHONG ROAD</t>
  </si>
  <si>
    <t>0755-83786871</t>
  </si>
  <si>
    <t>X_HE</t>
  </si>
  <si>
    <t>印花聚酯长丝布36米货样</t>
  </si>
  <si>
    <t>118237994</t>
  </si>
  <si>
    <t>SAW</t>
  </si>
  <si>
    <t>ELASTRON KIMYA SAN.VE.TIC.AS.</t>
  </si>
  <si>
    <t>GEBZE ORGANIZE SAN.BOL.</t>
  </si>
  <si>
    <t>TEMBELOVA ALANI 3300 SOKAK</t>
  </si>
  <si>
    <t>NO:3322 GEBZE</t>
  </si>
  <si>
    <t>GEBZE</t>
  </si>
  <si>
    <t>卡特佩</t>
  </si>
  <si>
    <t>KOCAELI</t>
  </si>
  <si>
    <t>ABDURRAHIM BASTUG</t>
  </si>
  <si>
    <t>CHONGQING JINGDA PLASTIC</t>
  </si>
  <si>
    <t>TONGSHAN RD NO 84</t>
  </si>
  <si>
    <t>BISHAN DISTRICT</t>
  </si>
  <si>
    <t>CHONGQING-BISHAN</t>
  </si>
  <si>
    <t>MU ZUKUAN</t>
  </si>
  <si>
    <t>THEREMOPLASTIC ELASTOMER COMPO</t>
  </si>
  <si>
    <t>TPE聚酯塑胶粒41千克(无牌无规格无型号)货样</t>
  </si>
  <si>
    <t>196473362</t>
  </si>
  <si>
    <t>BALMID AB</t>
  </si>
  <si>
    <t>ELEKTRAV GEN 22</t>
  </si>
  <si>
    <t>HAGERSTEN</t>
  </si>
  <si>
    <t>126 30</t>
  </si>
  <si>
    <t>CAMILLA ERIKSSON</t>
  </si>
  <si>
    <t>ROOTSMEN COMPANY</t>
  </si>
  <si>
    <t>NO. 28, FIRST ALLEY</t>
  </si>
  <si>
    <t>2ND DUAN-ZHOU ROAD, ZHAO-QING</t>
  </si>
  <si>
    <t>VIRGINIA</t>
  </si>
  <si>
    <t>MAKE UP BAG (1PCS)</t>
  </si>
  <si>
    <t>塑胶化妆包1个(无牌无规格无型号)货样</t>
  </si>
  <si>
    <t>MT4</t>
  </si>
  <si>
    <t>OGM Ltd</t>
  </si>
  <si>
    <t>Unitr 1-4 Oxford Ind Pk</t>
  </si>
  <si>
    <t>Mead Rd</t>
  </si>
  <si>
    <t>Yarnton</t>
  </si>
  <si>
    <t>KIDLINGTON</t>
  </si>
  <si>
    <t>米尔顿</t>
  </si>
  <si>
    <t>OXFORDSHIRE</t>
  </si>
  <si>
    <t>OX5 1QU</t>
  </si>
  <si>
    <t>WILLIAM DRAKE</t>
  </si>
  <si>
    <t>HYS INTERNATIONAL LIMITED</t>
  </si>
  <si>
    <t>HUAYISHENG INDUSTRIAL PARK</t>
  </si>
  <si>
    <t>NO.4 INDUSTRIAL ZONE</t>
  </si>
  <si>
    <t>FENGHUANG VILLAGE, FUYONG TOWN</t>
  </si>
  <si>
    <t>SALLY GUI</t>
  </si>
  <si>
    <t>1 X MATERBATCH HCM 29445H1 OPAL WHITE 0.815KG   26.99</t>
  </si>
  <si>
    <t>PP聚酯色母粒1千克(无牌无规格无型号)货样</t>
  </si>
  <si>
    <t>254475610</t>
  </si>
  <si>
    <t>QSS</t>
  </si>
  <si>
    <t>MATRICA SPA</t>
  </si>
  <si>
    <t>VIA POLO MARCO Z.I LA MARINELL</t>
  </si>
  <si>
    <t>PORTO TORRES</t>
  </si>
  <si>
    <t>萨萨里</t>
  </si>
  <si>
    <t>ALESSIO MUSU</t>
  </si>
  <si>
    <t>HUNAN JK INTERNATIONAL TRADE C</t>
  </si>
  <si>
    <t>ROOM 15018, BUILDING NO.2,</t>
  </si>
  <si>
    <t>TIANDU MANSION</t>
  </si>
  <si>
    <t>CHANGSHA</t>
  </si>
  <si>
    <t>MR. FRANK LEE</t>
  </si>
  <si>
    <t>MATRILOX LA001M</t>
  </si>
  <si>
    <t>增塑剂:壬二酸颗粒6千克(无牌无规格无型号)货样</t>
  </si>
  <si>
    <t>199473794</t>
  </si>
  <si>
    <t>20191222145737</t>
  </si>
  <si>
    <t>印花聚酯长丝布货样</t>
  </si>
  <si>
    <t>69854</t>
  </si>
  <si>
    <t>69590</t>
  </si>
  <si>
    <t>8119.3</t>
  </si>
  <si>
    <t>20191219145824</t>
  </si>
  <si>
    <t>玻璃瓶货样</t>
  </si>
  <si>
    <t>20191220145924</t>
  </si>
  <si>
    <t>TPE聚酯塑胶粒货样</t>
  </si>
  <si>
    <t>41400</t>
  </si>
  <si>
    <t>1900</t>
  </si>
  <si>
    <t>PP聚酯色母粒货样</t>
  </si>
  <si>
    <t>242.87</t>
  </si>
  <si>
    <t>增塑剂:壬二酸颗粒货样</t>
  </si>
  <si>
    <t>7046</t>
  </si>
  <si>
    <t>350</t>
  </si>
  <si>
    <t>20191220150135</t>
  </si>
  <si>
    <t>20191208150235</t>
  </si>
  <si>
    <t>塑料折叠板货样</t>
  </si>
  <si>
    <t>1103</t>
  </si>
  <si>
    <t>20191214150510</t>
  </si>
  <si>
    <t>塑胶化妆包货样</t>
  </si>
  <si>
    <t>254868276</t>
  </si>
  <si>
    <t>OS3</t>
  </si>
  <si>
    <t>DES.AR. SRL</t>
  </si>
  <si>
    <t>VIA DEI FRASCHI  56</t>
  </si>
  <si>
    <t>ORBASSANO</t>
  </si>
  <si>
    <t>奥尔巴萨诺</t>
  </si>
  <si>
    <t>. .</t>
  </si>
  <si>
    <t>YY MOLD CO, LTD.</t>
  </si>
  <si>
    <t>1ST FLOOR, BLOCK 90-6 AREA</t>
  </si>
  <si>
    <t>1ST INDUSTRY ZONE OF LI SONG</t>
  </si>
  <si>
    <t>LANG COMUNITY GONG MING OFFIC</t>
  </si>
  <si>
    <t>CELINE LEE</t>
  </si>
  <si>
    <t>PP聚酯塑胶粒38千克(MGG POLYMERS牌无规格型号DB5404.42)货样</t>
  </si>
  <si>
    <t>116928325</t>
  </si>
  <si>
    <t>93A</t>
  </si>
  <si>
    <t>WALOMO</t>
  </si>
  <si>
    <t>70 RUE DE LA PERDRIX</t>
  </si>
  <si>
    <t>ZI PARIS NORD 2</t>
  </si>
  <si>
    <t>TREMBLAY EN FRANCE</t>
  </si>
  <si>
    <t>高尔彻</t>
  </si>
  <si>
    <t>AGNES -</t>
  </si>
  <si>
    <t>JIANGXI BOHAN IMP.EXP.CO.,LTD</t>
  </si>
  <si>
    <t>NO.2666 SOUTH GAOXIN ROAD</t>
  </si>
  <si>
    <t>CHANGDONG INDUSTRIAL ZONE</t>
  </si>
  <si>
    <t>QINGSHANHU DISTRICT</t>
  </si>
  <si>
    <t>NANCHANG-QINGSHANHU</t>
  </si>
  <si>
    <t>南昌</t>
  </si>
  <si>
    <t>SEBRINA LEE</t>
  </si>
  <si>
    <t>CLOTHES</t>
  </si>
  <si>
    <t>棉针织男式背心1件/棉针织男式T恤3件/棉针织儿童T恤1件/棉针织女式T恤2件(无牌无规格无型号)货样</t>
  </si>
  <si>
    <t>20191222152100</t>
  </si>
  <si>
    <t>10043</t>
  </si>
  <si>
    <t>20191218152312</t>
  </si>
  <si>
    <t>棉针织男式背心货样</t>
  </si>
  <si>
    <t>93290</t>
  </si>
  <si>
    <t>20191214152343</t>
  </si>
  <si>
    <t>VLC</t>
  </si>
  <si>
    <t>CONTAVAL SL</t>
  </si>
  <si>
    <t>AVENIDA BENJAMIN FRANKLIN, 22</t>
  </si>
  <si>
    <t>PATERNA</t>
  </si>
  <si>
    <t>巴伦西亚</t>
  </si>
  <si>
    <t>VALENCIA</t>
  </si>
  <si>
    <t>JAVIER GONZALEZ GARCIA</t>
  </si>
  <si>
    <t>CREAT ELECTRONIC GROUP</t>
  </si>
  <si>
    <t>2F E BUILDING</t>
  </si>
  <si>
    <t>HUA FENG HIGH TECHNOLOGY PARK</t>
  </si>
  <si>
    <t>SHAJING, BAO'AN DISTRICT</t>
  </si>
  <si>
    <t>MR. ALLEN CHEN</t>
  </si>
  <si>
    <t>LIGHTING APPLIANCES/APARATOS DE ALUMBRADO</t>
  </si>
  <si>
    <t>电梯照明设备配件:LED灯条1个(型号:7.62HP)/塑胶电子连接器1个(菲尼克斯牌/规格:7.62mm/型号:02)/印刷线路板1块(带电子元器件/无牌无规格/型号:180G)货样</t>
  </si>
  <si>
    <t>1100240420184</t>
  </si>
  <si>
    <t>BEST LIGHT PRODUCTION LTD. ZWNL.  DEUTSCHLAND</t>
  </si>
  <si>
    <t>LOCONER WEG 23</t>
  </si>
  <si>
    <t>MENDEN</t>
  </si>
  <si>
    <t>02373-9162010</t>
  </si>
  <si>
    <t>SUSANNE  THRAEN</t>
  </si>
  <si>
    <t>FOSHAN MY LIGHT TECHNOLOGY LTD</t>
  </si>
  <si>
    <t>5TH FLOOR AREA C,BUILDING NO.4</t>
  </si>
  <si>
    <t>4 BLOCK B1,HAO SCIENCE PARK,</t>
  </si>
  <si>
    <t>PINGZHOU, NANHAI DISTRICT</t>
  </si>
  <si>
    <t>RAN CHEN</t>
  </si>
  <si>
    <t>SINGLE SPOT LAMP SAMPLES</t>
  </si>
  <si>
    <t>聚光灯1个(无牌无规格无型号)货样</t>
  </si>
  <si>
    <t>UNIOS</t>
  </si>
  <si>
    <t>17 NICHE PDE</t>
  </si>
  <si>
    <t>WANGARA</t>
  </si>
  <si>
    <t>LAURA</t>
  </si>
  <si>
    <t>ONIKE OPTOELECTRONICS S&amp;T CO LTD</t>
  </si>
  <si>
    <t>NO.11 THE 2ND STREET,</t>
  </si>
  <si>
    <t>HENGLING INDUSTRIAL ESTATE</t>
  </si>
  <si>
    <t>CAROL WANG</t>
  </si>
  <si>
    <t>LIGHT FITTING - TITANIUM SURFACE MMOUNTED STARLIGHT BLACK</t>
  </si>
  <si>
    <t>灯具适配器2个/驱动电源1个/灯具5个(无牌无规格无型号)货样</t>
  </si>
  <si>
    <t>936245962</t>
  </si>
  <si>
    <t>HA3</t>
  </si>
  <si>
    <t>Paulmann (N) Licht GmbH Norwegen Sendungen</t>
  </si>
  <si>
    <t>Quezinger Feld 2</t>
  </si>
  <si>
    <t>SPRINGE</t>
  </si>
  <si>
    <t>汉诺威</t>
  </si>
  <si>
    <t>NIEDERSACHSEN</t>
  </si>
  <si>
    <t>HERR DOLLE</t>
  </si>
  <si>
    <t>PAULMANN CHINA OFFICE</t>
  </si>
  <si>
    <t>NO 50, NANXIAN 1ST ROAD</t>
  </si>
  <si>
    <t>DECKENLEUCHTE FUER LED,DECKENLEUCHTE FUER LED,DECKENLEUCHTE FUER LED</t>
  </si>
  <si>
    <t>枝形吊灯8个(无牌/规格230W 18W 250MM/型号IP44 E27)货样</t>
  </si>
  <si>
    <t>106143464</t>
  </si>
  <si>
    <t>LED灯条4根/LED线材2根/LED灯条测试板1块/连接器120个(无品牌规格型号详见清单)货样</t>
  </si>
  <si>
    <t>BA4</t>
  </si>
  <si>
    <t>CHRIS BULL</t>
  </si>
  <si>
    <t>INTERIOR GOODS DIRECT</t>
  </si>
  <si>
    <t>UNIT 2 JUBILEE WAY</t>
  </si>
  <si>
    <t>GRANGE MOOR</t>
  </si>
  <si>
    <t>WAKEFIELD</t>
  </si>
  <si>
    <t>布拉德福德</t>
  </si>
  <si>
    <t>WF4 4TD</t>
  </si>
  <si>
    <t>隔利莱德铝业有限公司</t>
  </si>
  <si>
    <t>STEVEN SHEN</t>
  </si>
  <si>
    <t>GREENLAND METAL</t>
  </si>
  <si>
    <t>31 GUANGFO ROAD</t>
  </si>
  <si>
    <t>DALI</t>
  </si>
  <si>
    <t>ROLLER BLIND MECHANISMS</t>
  </si>
  <si>
    <t>塑料卷帘卷轴制头1个(无牌无规格无型号)货样</t>
  </si>
  <si>
    <t>20191130194403</t>
  </si>
  <si>
    <t>电梯照明设备配件:LED灯条货样</t>
  </si>
  <si>
    <t>46980</t>
  </si>
  <si>
    <t>963843700</t>
  </si>
  <si>
    <t>20191221194436</t>
  </si>
  <si>
    <t>聚光灯货样</t>
  </si>
  <si>
    <t>200218410</t>
  </si>
  <si>
    <t>58708</t>
  </si>
  <si>
    <t>灯具适配器货样</t>
  </si>
  <si>
    <t>200399754</t>
  </si>
  <si>
    <t>6065</t>
  </si>
  <si>
    <t>892481888</t>
  </si>
  <si>
    <t>枝形吊灯货样</t>
  </si>
  <si>
    <t>31832</t>
  </si>
  <si>
    <t>5041998277</t>
  </si>
  <si>
    <t>20191218194529</t>
  </si>
  <si>
    <t>塑料卷帘卷轴制头货样</t>
  </si>
  <si>
    <t>521980528</t>
  </si>
  <si>
    <t>LD2</t>
  </si>
  <si>
    <t>MAD DOGG ATHLETICS EUROPE</t>
  </si>
  <si>
    <t>SCHELDEWEG 3</t>
  </si>
  <si>
    <t>MAASSLUIS</t>
  </si>
  <si>
    <t>莱岑丹</t>
  </si>
  <si>
    <t>3144 ES</t>
  </si>
  <si>
    <t>JOHN WAGEVELD</t>
  </si>
  <si>
    <t>东莞宏扬工艺制品有限公司</t>
  </si>
  <si>
    <t>HUNG YANG ARTWARE PRODUCTS. CO.LTD</t>
  </si>
  <si>
    <t>SHUILANG VILLAGE</t>
  </si>
  <si>
    <t>DALINGSHAN TOWN</t>
  </si>
  <si>
    <t>PENNY PAN</t>
  </si>
  <si>
    <t>FIT REF. WHEEL MAIN HORIZONTAL</t>
  </si>
  <si>
    <t>滚轮260个等品名详见清单(瑜伽机用/PU制/无牌/无型号/规格详见清单)(自扣)货样</t>
  </si>
  <si>
    <t>CB6</t>
  </si>
  <si>
    <t>TARA CITRA KUSUMA , PT</t>
  </si>
  <si>
    <t>JL.MERANTI III BLOK L10 NO.3&amp;5</t>
  </si>
  <si>
    <t>DELTA SILICON I INDUST. PARK</t>
  </si>
  <si>
    <t>LIPPO CIKARANG</t>
  </si>
  <si>
    <t>BEKASI</t>
  </si>
  <si>
    <t>西爪哇</t>
  </si>
  <si>
    <t>BUDI BUDI HAN</t>
  </si>
  <si>
    <t>TUV RHEILAND (GUANGDONG) LTD</t>
  </si>
  <si>
    <t>NO.199 KEZHU ROAD,</t>
  </si>
  <si>
    <t>GUANGZHOU SCIENCE CITY</t>
  </si>
  <si>
    <t>MR. TONY YAN/ MS. SUNN</t>
  </si>
  <si>
    <t>MOTORCYCLE HELMETS AND PARTS FINISH HELMET TT-COURSE PLAI</t>
  </si>
  <si>
    <t>DONGGUAN PLASTIFLEX HOSE TECHNOLOGY LIMITED</t>
  </si>
  <si>
    <t>QIAOZI VILLAGE, CHANGPING TOWN</t>
  </si>
  <si>
    <t>DONGGUAN CITY, GUANGDONG PROVI</t>
  </si>
  <si>
    <t>CAROL CEN</t>
  </si>
  <si>
    <t>THERMOPLASTIC ELASTOMER</t>
  </si>
  <si>
    <t>PP聚酯塑胶粒25千克(无牌无规格无型号)货样</t>
  </si>
  <si>
    <t>197908454</t>
  </si>
  <si>
    <t>SHENZHEN HAIDE MOULD CO., LTD</t>
  </si>
  <si>
    <t>1ST FL, BLD-B JIANXING IND.ZON</t>
  </si>
  <si>
    <t>NO.37 HUANZHEN RD, SHAJING TN,</t>
  </si>
  <si>
    <t>BAO?N DISTICT</t>
  </si>
  <si>
    <t>ALI ZENG</t>
  </si>
  <si>
    <t>MASTERFLOW SYSTEM</t>
  </si>
  <si>
    <t>钢制热嘴1个(Masterflow牌规格37*37*27CM无型号)货样</t>
  </si>
  <si>
    <t>523292597</t>
  </si>
  <si>
    <t>WZB</t>
  </si>
  <si>
    <t>Jumingo GmbH</t>
  </si>
  <si>
    <t>Zum Scheider Feld  16</t>
  </si>
  <si>
    <t>BERGISCH GLADBACH</t>
  </si>
  <si>
    <t>维尔茨堡</t>
  </si>
  <si>
    <t>JUMINGO GMBH</t>
  </si>
  <si>
    <t>ISA MOULD ENGINEERING LIMITED</t>
  </si>
  <si>
    <t>SHUIKU ROAD, CHANG AN</t>
  </si>
  <si>
    <t>WORKSHOP B, NO. 9</t>
  </si>
  <si>
    <t>MS. CASSIE</t>
  </si>
  <si>
    <t>- POLYAMIDE-6, -11, -12, -6,6, -6,9, -6,10 OR -6,12</t>
  </si>
  <si>
    <t>PP聚酯塑胶粒19千克(无牌无规格无型号)货样</t>
  </si>
  <si>
    <t>LOIPART AB</t>
  </si>
  <si>
    <t>HEMV GEN 20 B</t>
  </si>
  <si>
    <t>ALINGSAS</t>
  </si>
  <si>
    <t>441 40</t>
  </si>
  <si>
    <t>FRIDA HJORTH</t>
  </si>
  <si>
    <t>COSCO SHIPPING HEAVY INDUSTRY (GUANGDONG) CO LTD</t>
  </si>
  <si>
    <t>DASHENG INDUSTRIAL PARK, MACHO</t>
  </si>
  <si>
    <t>DONGGUAN, CONSIGNEE USCI: 9144</t>
  </si>
  <si>
    <t>MR. XIAN JIA SHENG</t>
  </si>
  <si>
    <t>SHIP SPARES IN TRANSIT</t>
  </si>
  <si>
    <t>电源板1个(无牌无规格无型号)货样</t>
  </si>
  <si>
    <t>GIANTECH ENGINEERING PTE. LTD.</t>
  </si>
  <si>
    <t>18 BOON LAY WAY</t>
  </si>
  <si>
    <t>05-133/134</t>
  </si>
  <si>
    <t>TRADEHUB21</t>
  </si>
  <si>
    <t>SINDY TOH</t>
  </si>
  <si>
    <t>SHENZHEN LUCKY SHIPPING SERVICE CO LTD</t>
  </si>
  <si>
    <t>ROOM 1111-2 LINHAI ROAD</t>
  </si>
  <si>
    <t>SHIPPING CENTER</t>
  </si>
  <si>
    <t>MAIN TOWER</t>
  </si>
  <si>
    <t>MS ANNA</t>
  </si>
  <si>
    <t>LEVEL SWITCH NRS1-50</t>
  </si>
  <si>
    <t>开关1个(无牌无规格/型号NRS1-50)货样</t>
  </si>
  <si>
    <t>105783925</t>
  </si>
  <si>
    <t>1100251821991</t>
  </si>
  <si>
    <t>摩托头盔6个/摩托车头盔镜片7片(驾驶摩托车用/塑胶制/牌子详见清单/TT COURSE型/无规格)(一科重报)货样</t>
  </si>
  <si>
    <t>WHEN CHEN</t>
  </si>
  <si>
    <t>11 TAKARO CLOSE</t>
  </si>
  <si>
    <t>COE STREET</t>
  </si>
  <si>
    <t>BRIDGWATER</t>
  </si>
  <si>
    <t>SOMERSET</t>
  </si>
  <si>
    <t>TA6 6XR</t>
  </si>
  <si>
    <t>WEN CHEN</t>
  </si>
  <si>
    <t>广州飞鱼商务服务有限公司</t>
  </si>
  <si>
    <t>GUANG ZHOU FEI YU SHANG WU FU WU YOU XIAN GONG SI</t>
  </si>
  <si>
    <t>XIN MING JIU DOU</t>
  </si>
  <si>
    <t>TAO SHAN CUN XIN MIING CUN PAO</t>
  </si>
  <si>
    <t>TAI ZHEN RONG CHEN</t>
  </si>
  <si>
    <t>JIEYANG-JIEDONG</t>
  </si>
  <si>
    <t>揭东</t>
  </si>
  <si>
    <t>SI TU SHENG WEI</t>
  </si>
  <si>
    <t>VODAFONE SIM CARDS</t>
  </si>
  <si>
    <t>空白SIM卡1000张(沃达丰牌/无型号/规格:标准)(自扣)货样</t>
  </si>
  <si>
    <t>119106788</t>
  </si>
  <si>
    <t>20191222152839</t>
  </si>
  <si>
    <t>43821.811528</t>
  </si>
  <si>
    <t>43821.830995</t>
  </si>
  <si>
    <t>43821.401736</t>
  </si>
  <si>
    <t>滚轮货样</t>
  </si>
  <si>
    <t>120681380</t>
  </si>
  <si>
    <t>43824.455961</t>
  </si>
  <si>
    <t>43824.463796</t>
  </si>
  <si>
    <t>43821.402581</t>
  </si>
  <si>
    <t>钢制热嘴货样</t>
  </si>
  <si>
    <t>43821.811505</t>
  </si>
  <si>
    <t>43821.811655</t>
  </si>
  <si>
    <t>43821.402697</t>
  </si>
  <si>
    <t>43821.811296</t>
  </si>
  <si>
    <t>51467</t>
  </si>
  <si>
    <t>43821.40441</t>
  </si>
  <si>
    <t>20191225153129</t>
  </si>
  <si>
    <t>空白SIM卡货样</t>
  </si>
  <si>
    <t>523032481</t>
  </si>
  <si>
    <t>43824.455972</t>
  </si>
  <si>
    <t>43819.374525</t>
  </si>
  <si>
    <t>20191216153355</t>
  </si>
  <si>
    <t>摩托头盔货样</t>
  </si>
  <si>
    <t>43817.625509</t>
  </si>
  <si>
    <t>43819.605914</t>
  </si>
  <si>
    <t>17550</t>
  </si>
  <si>
    <t>43815.392789</t>
  </si>
  <si>
    <t>20191216153613</t>
  </si>
  <si>
    <t>20191218153652</t>
  </si>
  <si>
    <t>电源板货样</t>
  </si>
  <si>
    <t>20191219153728</t>
  </si>
  <si>
    <t>MORTEK EPE-THLEPIKOINQNIES EPE</t>
  </si>
  <si>
    <t>110, AGIAS MARINAS STR.</t>
  </si>
  <si>
    <t>PEANIA</t>
  </si>
  <si>
    <t>190 02</t>
  </si>
  <si>
    <t>ALEXANDRA DERNELI</t>
  </si>
  <si>
    <t>SHENZHEN ACTION  TECHNOLOGIES CO.,LTD</t>
  </si>
  <si>
    <t>3/F,LIFENG BUILDING,</t>
  </si>
  <si>
    <t>42  OF LIUXIAN 1ST ROAD</t>
  </si>
  <si>
    <t>BAO'AN 71ST DISTRICT</t>
  </si>
  <si>
    <t>MS SERENA WANG</t>
  </si>
  <si>
    <t>MODULES</t>
  </si>
  <si>
    <t>塑胶模型3个(无牌无规格无型号)货样</t>
  </si>
  <si>
    <t>1100251821451</t>
  </si>
  <si>
    <t>粤ZDF52港i</t>
  </si>
  <si>
    <t>LMP LICHTTECHNIK VERTRIEBS GMBH</t>
  </si>
  <si>
    <t>GILDESTR. 55</t>
  </si>
  <si>
    <t>IBBENBUEREN</t>
  </si>
  <si>
    <t>THOMAS HANTELMANN</t>
  </si>
  <si>
    <t>LITEWISE LIMITED</t>
  </si>
  <si>
    <t>37 GONGYEDADAO XINHUA</t>
  </si>
  <si>
    <t>020-66609088</t>
  </si>
  <si>
    <t>xiansheng_liang</t>
  </si>
  <si>
    <t>ELECTRIC LAMPS AND LIGHTING FITTINGS, N.E.S. (EXCL. OF PL</t>
  </si>
  <si>
    <t>LED灯具1个(无牌无规格无型号)货样</t>
  </si>
  <si>
    <t>91440114556666043C</t>
  </si>
  <si>
    <t>LNZ</t>
  </si>
  <si>
    <t>MANFRED EISNER</t>
  </si>
  <si>
    <t>GEWERBEPARK 4 ING. EISNER MANF</t>
  </si>
  <si>
    <t>RED INDUSTRIEELEKTRONIK GMBH</t>
  </si>
  <si>
    <t>GRAMASTETTEN</t>
  </si>
  <si>
    <t>林茨</t>
  </si>
  <si>
    <t>SOUTHERN STARS ENTERPRISES CO.</t>
  </si>
  <si>
    <t>4F,BLDG3, 1 DIST,DAWANG IND PK</t>
  </si>
  <si>
    <t>,66XINXIA RD,PINGHU,LONGGANG D</t>
  </si>
  <si>
    <t>IST,SHENZHEN,CHINA</t>
  </si>
  <si>
    <t>0755-89253964</t>
  </si>
  <si>
    <t>miss_li</t>
  </si>
  <si>
    <t>CONTROLLER</t>
  </si>
  <si>
    <t>机床用控制器3个(AIMOSEN牌无规格无型号)货样</t>
  </si>
  <si>
    <t>91440300733083181B</t>
  </si>
  <si>
    <t>20191221185121</t>
  </si>
  <si>
    <t>106672</t>
  </si>
  <si>
    <t>7558623897</t>
  </si>
  <si>
    <t>20191223185256</t>
  </si>
  <si>
    <t>LED灯具货样</t>
  </si>
  <si>
    <t>70159054</t>
  </si>
  <si>
    <t>20191219185311</t>
  </si>
  <si>
    <t>机床用控制器货样</t>
  </si>
  <si>
    <t>ABERTAX QUALITY LTD</t>
  </si>
  <si>
    <t>KW17A, CORRADINO IND. ESTATE</t>
  </si>
  <si>
    <t>PAOLA</t>
  </si>
  <si>
    <t>PLA 3000</t>
  </si>
  <si>
    <t>ANDREAS KAST</t>
  </si>
  <si>
    <t>JUNWANG ENTERPRISE CO.,LTD</t>
  </si>
  <si>
    <t>BLOCK B, DIGUANG IND.PARK,</t>
  </si>
  <si>
    <t>SOUTH QINGZHANG RD,</t>
  </si>
  <si>
    <t>QINGXI TOWN,DONGGUAN CITY</t>
  </si>
  <si>
    <t>CHERRY PENG</t>
  </si>
  <si>
    <t>PLASTIC SAMPLES</t>
  </si>
  <si>
    <t>ASA聚酯塑胶粒26千克(Samgsung牌无规格型号ASA Starex WX 9130)货样</t>
  </si>
  <si>
    <t>INTERPLEX PRECISION ENGINEERING CZECH REPUBLIC S.R</t>
  </si>
  <si>
    <t>ZA PAZDERNOU 1531</t>
  </si>
  <si>
    <t>PISEK</t>
  </si>
  <si>
    <t>397 01</t>
  </si>
  <si>
    <t>KATERINA LAW</t>
  </si>
  <si>
    <t>SCALE CHECKING FIXTURE CO.,LTD</t>
  </si>
  <si>
    <t>SCALE CHECKING FIXTURE CO., LTD</t>
  </si>
  <si>
    <t>ZHULI ROAD NO. 1</t>
  </si>
  <si>
    <t>YULIANGWEI</t>
  </si>
  <si>
    <t>SENSOR, HOLDER, BRACKET</t>
  </si>
  <si>
    <t>传感器用夹具4个货样(发票价值3300USD)货样</t>
  </si>
  <si>
    <t>1100251821481</t>
  </si>
  <si>
    <t>DRESSER EUROPE NL / DE / BE</t>
  </si>
  <si>
    <t>3 RUE SAINT PIERRE BP 87</t>
  </si>
  <si>
    <t>CHAMPION</t>
  </si>
  <si>
    <t>SHENZHEN VISION ELECTROMECHANICAL EQUIPMENTS CO.,</t>
  </si>
  <si>
    <t>CONTROL MATERIEL</t>
  </si>
  <si>
    <t>阀门配件1170千克货样(发票显示价值318220.52EUR)货样</t>
  </si>
  <si>
    <t>20191221143900</t>
  </si>
  <si>
    <t>20191220143948</t>
  </si>
  <si>
    <t>ASA聚酯塑胶粒货样</t>
  </si>
  <si>
    <t>8.6133777828e+12</t>
  </si>
  <si>
    <t>896468090M0201</t>
  </si>
  <si>
    <t>896468090M0202</t>
  </si>
  <si>
    <t>20191223144052</t>
  </si>
  <si>
    <t>传感器用夹具货样</t>
  </si>
  <si>
    <t>194821336</t>
  </si>
  <si>
    <t>20191223144114</t>
  </si>
  <si>
    <t>20191226144210</t>
  </si>
  <si>
    <t>20191226144248</t>
  </si>
  <si>
    <t>1100221419210</t>
  </si>
  <si>
    <t>BTH</t>
  </si>
  <si>
    <t>EXCELITAS TECHNOLOGIES BATAM, PT</t>
  </si>
  <si>
    <t>JL BERINGIN LOT 207</t>
  </si>
  <si>
    <t>BATAMINDO INDUSTRIAL PARK</t>
  </si>
  <si>
    <t>MUKA KUNING</t>
  </si>
  <si>
    <t>BATAM</t>
  </si>
  <si>
    <t>巴淡岛</t>
  </si>
  <si>
    <t>MARTINI</t>
  </si>
  <si>
    <t>EXCELITAS TECHNOLOGIES (SHENZHEN) C</t>
  </si>
  <si>
    <t>AUTUMN VALLEY, MEI SHENG</t>
  </si>
  <si>
    <t>CREATIVE V NO.10 LONGCHANG RD,</t>
  </si>
  <si>
    <t>BLOCK 68 BAO#AN DISTRICT GUANG</t>
  </si>
  <si>
    <t>0755-26718948</t>
  </si>
  <si>
    <t>lihua_JIN</t>
  </si>
  <si>
    <t>TRIGGER COIL &amp; FLASHTUBE</t>
  </si>
  <si>
    <t>闪光管80个/线圈10000个货样</t>
  </si>
  <si>
    <t>91440300618815711J</t>
  </si>
  <si>
    <t>20200104152740</t>
  </si>
  <si>
    <t>闪光管货样</t>
  </si>
  <si>
    <t>1100221419864</t>
  </si>
  <si>
    <t>SANGHAVI SHOE ACCESSORIES PVT LTD</t>
  </si>
  <si>
    <t>2/2 ABDULLAPURAM VILLAGE</t>
  </si>
  <si>
    <t>ABDULLAPURAM POST</t>
  </si>
  <si>
    <t>VELLORE</t>
  </si>
  <si>
    <t>KRIBAKARAN</t>
  </si>
  <si>
    <t>DONGGUAN OUJING CNC TECHNOLOGY CO LTD</t>
  </si>
  <si>
    <t>NO 1 JIUNING JI INDUSTRY AARA</t>
  </si>
  <si>
    <t>XINCUN COMMUNITY</t>
  </si>
  <si>
    <t>WANJIANG TOWN DONGGUAN CITY</t>
  </si>
  <si>
    <t>PLASTIC SHOE</t>
  </si>
  <si>
    <t>塑胶鞋楦4只(无牌无规格无型号)货样</t>
  </si>
  <si>
    <t>1100251821743</t>
  </si>
  <si>
    <t>TRE</t>
  </si>
  <si>
    <t>TAMTRON OY</t>
  </si>
  <si>
    <t>VESTONKATU 11</t>
  </si>
  <si>
    <t>TAMPERE</t>
  </si>
  <si>
    <t>坦佩雷</t>
  </si>
  <si>
    <t>SARI ANTINAHO</t>
  </si>
  <si>
    <t>WUZHOU CITY TAMTRON SCIENCE AND TECHNOLOGY</t>
  </si>
  <si>
    <t>CANGWU COUNTY INDUSTRIAL ZONE</t>
  </si>
  <si>
    <t>GUANGWU COUNTY,</t>
  </si>
  <si>
    <t>WUZHOU CITY</t>
  </si>
  <si>
    <t>CANGWU</t>
  </si>
  <si>
    <t>苍梧</t>
  </si>
  <si>
    <t>JIMMY OKAYLY</t>
  </si>
  <si>
    <t>PRESSURE SENSOR</t>
  </si>
  <si>
    <t>压力传感器18个(无牌无规格无型号)货样</t>
  </si>
  <si>
    <t>20200129144751</t>
  </si>
  <si>
    <t>PLASTIC SHOE货样</t>
  </si>
  <si>
    <t>20200220144847</t>
  </si>
  <si>
    <t>PRESSURE SENSOR货样</t>
  </si>
  <si>
    <t>1100221419358</t>
  </si>
  <si>
    <t>ISISI TREND DESIGN SL</t>
  </si>
  <si>
    <t>JUAN DE LA CIERVA, 68</t>
  </si>
  <si>
    <t>ELCHE PARQUE INDUSTRIAL</t>
  </si>
  <si>
    <t>ELCHE</t>
  </si>
  <si>
    <t>FELIPE AGULLO</t>
  </si>
  <si>
    <t>MING ZHENG CO LTD</t>
  </si>
  <si>
    <t>NO. 8, LANE 10 SONG SHAN</t>
  </si>
  <si>
    <t>DONG TOU VILLAHE</t>
  </si>
  <si>
    <t>HE TIEAN DISTRICT</t>
  </si>
  <si>
    <t>FABRICS/TEJIDOS</t>
  </si>
  <si>
    <t>布99.5米货样</t>
  </si>
  <si>
    <t>TLS INTERNATIONAL (PTE) LTD</t>
  </si>
  <si>
    <t>7030 ANG MO KIO AVENUE 5</t>
  </si>
  <si>
    <t>02-57  NORTHSTAR   AMK</t>
  </si>
  <si>
    <t>CHERIE GOH</t>
  </si>
  <si>
    <t>佛山市南海区诠奕办公设备经营部</t>
  </si>
  <si>
    <t>FO SHAN SHI NAN HAI QU QUAN YI BAN GONG SHE BEI JING YING BU</t>
  </si>
  <si>
    <t>BLK B, 3 FL, YAO JIANCAI COMPL</t>
  </si>
  <si>
    <t>HENGGANG SECTION, GUANGFO</t>
  </si>
  <si>
    <t>SHINKANSEN, DAIL TOWN</t>
  </si>
  <si>
    <t>MR. ZOU BING BING</t>
  </si>
  <si>
    <t>PRINTER BOARD(USED),CONTROL PANEL</t>
  </si>
  <si>
    <t>电路板41块(打印机显示控制板/五层,带电子元器件/佳能牌/4035型/规格:53*39*18cm)(自扣)货样</t>
  </si>
  <si>
    <t>1100251821679</t>
  </si>
  <si>
    <t>20200225150832</t>
  </si>
  <si>
    <t>20200116151015</t>
  </si>
  <si>
    <t>布货样</t>
  </si>
  <si>
    <t>1100221419418</t>
  </si>
  <si>
    <t>MG1</t>
  </si>
  <si>
    <t>CURTUMES IBERIA, SA.</t>
  </si>
  <si>
    <t>LEZIRIA-ZONA INDUSTRIAL</t>
  </si>
  <si>
    <t>VILA MOREIRA</t>
  </si>
  <si>
    <t>APARTADO 18</t>
  </si>
  <si>
    <t>莱里亚</t>
  </si>
  <si>
    <t>SANTAREM</t>
  </si>
  <si>
    <t>2380-631</t>
  </si>
  <si>
    <t>SUSANA CALDEIRA</t>
  </si>
  <si>
    <t>ALDO FAR EAST</t>
  </si>
  <si>
    <t>12TH FLOOR, TOWER B, FORTUNE</t>
  </si>
  <si>
    <t>PLAZA, YUANMEI ROAD, NANCHENG</t>
  </si>
  <si>
    <t>DISTRICT, DOGGUAN</t>
  </si>
  <si>
    <t>AUGUST LIU</t>
  </si>
  <si>
    <t>LEATHER</t>
  </si>
  <si>
    <t>牛皮革4平方米(块/非整张/已鞣制/厚 度:0.05-0.08MM)货样</t>
  </si>
  <si>
    <t>1100221419430</t>
  </si>
  <si>
    <t>粤ZGS74港I</t>
  </si>
  <si>
    <t>ERZI-Flock-Technik GmbH &amp; Co. KG</t>
  </si>
  <si>
    <t>Germanenstr. 3-7</t>
  </si>
  <si>
    <t>REUTLINGEN</t>
  </si>
  <si>
    <t>DANIELA  STAIGER</t>
  </si>
  <si>
    <t>LIBO COSMETICS</t>
  </si>
  <si>
    <t>JINLONG ROAD, MULBERRY FIELD</t>
  </si>
  <si>
    <t>SHIJIAO INDUSTRIAL PARK,</t>
  </si>
  <si>
    <t>DONGCHEN DISTRICT, GUANDONG</t>
  </si>
  <si>
    <t>DORA WEN</t>
  </si>
  <si>
    <t>化妆刷1个(无牌无规格无型号)货样</t>
  </si>
  <si>
    <t>YAMEIT INDUSTRY LIMITED</t>
  </si>
  <si>
    <t>NO. 51, HUANGUAN SOUTH ROAD,</t>
  </si>
  <si>
    <t>GUANLAN</t>
  </si>
  <si>
    <t>MS. ANGELA</t>
  </si>
  <si>
    <t>DISPLAY</t>
  </si>
  <si>
    <t>液晶显示器1个(无牌规格:10寸无型号)货样</t>
  </si>
  <si>
    <t>1100221419452</t>
  </si>
  <si>
    <t>NAGROM &amp; CO</t>
  </si>
  <si>
    <t>49 OWEN RD</t>
  </si>
  <si>
    <t>KELMSCOTT</t>
  </si>
  <si>
    <t>ALICE HOEVE</t>
  </si>
  <si>
    <t>SICHUAN CALINER TECH</t>
  </si>
  <si>
    <t>703 BUILDING NEW HOPE</t>
  </si>
  <si>
    <t>IMTERNATIONL STREET CHEGOU</t>
  </si>
  <si>
    <t>MR CHANGKAI WEN</t>
  </si>
  <si>
    <t>SPODUMENE ORE SAMPLE</t>
  </si>
  <si>
    <t>锂辉石矿石7.95千克(无牌无规格无型号)货样</t>
  </si>
  <si>
    <t>20200226172754</t>
  </si>
  <si>
    <t>牛皮革货样</t>
  </si>
  <si>
    <t>20200228172832</t>
  </si>
  <si>
    <t>液晶显示器货样</t>
  </si>
  <si>
    <t>20200229172849</t>
  </si>
  <si>
    <t>锂辉石矿石货样</t>
  </si>
  <si>
    <t>00077777770</t>
  </si>
  <si>
    <t>1号进口无数据</t>
  </si>
  <si>
    <t>XMN</t>
  </si>
  <si>
    <t>nk</t>
  </si>
  <si>
    <t>UPAG AG</t>
  </si>
  <si>
    <t>UNTERKULM</t>
  </si>
  <si>
    <t>SEMBRANCHER</t>
  </si>
  <si>
    <t>ABB HIGH VOLTAGE SWITCHGEAR</t>
  </si>
  <si>
    <t>XIAMEN-XIANGAN</t>
  </si>
  <si>
    <t>ZHANGZHOU-NANJING</t>
  </si>
  <si>
    <t>ERZEUG.DER CHEM.INDUSTRIE,EMULSION ZUR ERZEUG.LICH</t>
  </si>
  <si>
    <t>感光乳液94千克货样</t>
  </si>
  <si>
    <t>20200301143231</t>
  </si>
  <si>
    <t>感光乳液货样</t>
  </si>
  <si>
    <t>车牌错误</t>
  </si>
  <si>
    <t>20200301143400</t>
  </si>
  <si>
    <r>
      <t xml:space="preserve">    </t>
    </r>
    <r>
      <rPr>
        <sz val="18"/>
        <rFont val="宋体"/>
        <family val="3"/>
        <charset val="134"/>
      </rPr>
      <t>由于客户不了解清关要求</t>
    </r>
    <r>
      <rPr>
        <sz val="18"/>
        <rFont val="Arial"/>
        <family val="2"/>
      </rPr>
      <t>,</t>
    </r>
    <r>
      <rPr>
        <sz val="18"/>
        <rFont val="宋体"/>
        <family val="3"/>
        <charset val="134"/>
      </rPr>
      <t>为规范申报</t>
    </r>
    <r>
      <rPr>
        <sz val="18"/>
        <rFont val="Arial"/>
        <family val="2"/>
      </rPr>
      <t>,</t>
    </r>
    <r>
      <rPr>
        <sz val="18"/>
        <rFont val="宋体"/>
        <family val="3"/>
        <charset val="134"/>
      </rPr>
      <t>现向贵关申请转“普货报关”报关，新增舱单正式报关。请予以批准！谢谢！</t>
    </r>
    <phoneticPr fontId="1" type="noConversion"/>
  </si>
  <si>
    <t>20200301143923</t>
  </si>
  <si>
    <t>1100221419512</t>
  </si>
  <si>
    <t>022-395-6533</t>
  </si>
  <si>
    <t>HIROKI CHIBA</t>
  </si>
  <si>
    <t>MF-PIGMENT BL</t>
  </si>
  <si>
    <t>环氧颜料17千克(MG(MAGFINE)牌无规格/型号:MF-COLOR)货样</t>
  </si>
  <si>
    <t>20200306153702</t>
  </si>
  <si>
    <t>环氧颜料货样</t>
  </si>
  <si>
    <t>1100221419590</t>
  </si>
  <si>
    <t>MESA ELECTRONIC GMBH</t>
  </si>
  <si>
    <t>JOHANN-FLITSCH-STR. 2</t>
  </si>
  <si>
    <t>BAD FEILNBACH</t>
  </si>
  <si>
    <t>MR.SASCHA SCHMID</t>
  </si>
  <si>
    <t>GZ HAPPY LOGISTICS CO.,LTD</t>
  </si>
  <si>
    <t>A207JINNATOUZI BUILDING.NO1.QI</t>
  </si>
  <si>
    <t>NGLIAN STREET.YINGBINDADAO.HUA</t>
  </si>
  <si>
    <t>DU.GZ</t>
  </si>
  <si>
    <t>ms li_ms li</t>
  </si>
  <si>
    <t>ELECTRONIC INSTRUMENTS OR APPARATUS FOR MEASURING OR CHEC</t>
  </si>
  <si>
    <t>测量仪器2千克货样</t>
  </si>
  <si>
    <t>1100221419282</t>
  </si>
  <si>
    <t>BRU</t>
  </si>
  <si>
    <t>SUN CHEMICAL PIGMENTS DIVISION</t>
  </si>
  <si>
    <t>AVENUE FLEMING 2</t>
  </si>
  <si>
    <t>SAMPLING DIVISION (ERIC BEYNAE</t>
  </si>
  <si>
    <t>WAVRE</t>
  </si>
  <si>
    <t>布鲁塞尔</t>
  </si>
  <si>
    <t>EMILIE SOMME</t>
  </si>
  <si>
    <t>DIC GRAPHICS(GUANGZHOU)LTD</t>
  </si>
  <si>
    <t>NA  77 XIN ZHUANG ER ROAD</t>
  </si>
  <si>
    <t>YONGHE SUBZONE, GUANZHOU ECON</t>
  </si>
  <si>
    <t>O</t>
  </si>
  <si>
    <t>YAOJIA LI</t>
  </si>
  <si>
    <t>COLOURANT PIGMENT</t>
  </si>
  <si>
    <t>有机颜料35瓶等品名详见清单(用于生产油墨.油漆,涂料及塑胶等产品时的着色剂/太阳化学牌/型号详见清单/规格:200克/瓶)(一科重报)货样</t>
  </si>
  <si>
    <t>1100221419534</t>
  </si>
  <si>
    <t>URMET SPA</t>
  </si>
  <si>
    <t>VIA BOLOGNA, 188/C</t>
  </si>
  <si>
    <t>FEDERICO PERRACHIO</t>
  </si>
  <si>
    <t>JADE CO.LTD</t>
  </si>
  <si>
    <t>ROOM 228, BUILDING B, NO.1 OF</t>
  </si>
  <si>
    <t>PINGDONG FOURTH ROAD NANPING T</t>
  </si>
  <si>
    <t>XIANGZHOU DISTRICT OF ZHUHAI C</t>
  </si>
  <si>
    <t>SALLY</t>
  </si>
  <si>
    <t>ELECTRIC MATERIAL</t>
  </si>
  <si>
    <t>电子锁2个(无牌无规格无型号)货样</t>
  </si>
  <si>
    <t>20200313151830</t>
  </si>
  <si>
    <t>测量仪器货样</t>
  </si>
  <si>
    <t>73107</t>
  </si>
  <si>
    <t>20200111152133</t>
  </si>
  <si>
    <t>有机颜料货样</t>
  </si>
  <si>
    <t>20200308152243</t>
  </si>
  <si>
    <t>电子锁货样</t>
  </si>
  <si>
    <t>1100221419056</t>
  </si>
  <si>
    <t>ABB POWER GRIDS SWITZERLAND LTD</t>
  </si>
  <si>
    <t>BROWN BOVERI STRASSE 5</t>
  </si>
  <si>
    <t>ZURICH</t>
  </si>
  <si>
    <t>CAROLINE NATHALIE DREH</t>
  </si>
  <si>
    <t>厦门ABB高压开关有限公司</t>
  </si>
  <si>
    <t>ABBGAOYAYUANCAILIAOCANGKU, 895</t>
  </si>
  <si>
    <t>FANGSHANXIERLU,XIANGANDIST,XIA</t>
  </si>
  <si>
    <t>MEN,FUJIAN</t>
  </si>
  <si>
    <t>同安</t>
  </si>
  <si>
    <t>0592-5703773</t>
  </si>
  <si>
    <t>Ariel_Xie</t>
  </si>
  <si>
    <t>E/WECHSELGETRIEBE BIS 100 KG</t>
  </si>
  <si>
    <t>传动装置44千克货样(无发票)货样</t>
  </si>
  <si>
    <t>91350200612038886J</t>
  </si>
  <si>
    <t>328994610M0201</t>
  </si>
  <si>
    <t>328994610M0202</t>
  </si>
  <si>
    <t>20200317152100</t>
  </si>
  <si>
    <t>传动装置货样</t>
  </si>
  <si>
    <t>227771261</t>
  </si>
  <si>
    <t>SW2</t>
  </si>
  <si>
    <t>MCHUGH &amp; EASTWOOD (AUST) P/L</t>
  </si>
  <si>
    <t>103 MORNINGTON STREET</t>
  </si>
  <si>
    <t>GEELONG NORTH</t>
  </si>
  <si>
    <t>切斯特希尔</t>
  </si>
  <si>
    <t>EXPORT OPERATIONS</t>
  </si>
  <si>
    <t>SAP PRODUCT LTD.</t>
  </si>
  <si>
    <t>XIAN SHA NO. 2 INDUSTRIAL ZONE</t>
  </si>
  <si>
    <t>GAO BU</t>
  </si>
  <si>
    <t>0769-89911088</t>
  </si>
  <si>
    <t>KRYSTAL MO</t>
  </si>
  <si>
    <t>GOLF CLUB SHAFT HAIR CURLER</t>
  </si>
  <si>
    <t>塑料高尔夫球杆5个/卷发器1个(无牌无规格无型号)货样</t>
  </si>
  <si>
    <t>228267082</t>
  </si>
  <si>
    <t>ARLEC AUSTRALIA PTY LTD</t>
  </si>
  <si>
    <t>BLG 3  31-41 JOSEPH STREET</t>
  </si>
  <si>
    <t>BLACKBURN NORTH</t>
  </si>
  <si>
    <t>PRODUCT MANAGEMENT</t>
  </si>
  <si>
    <t>LUX ELECTRICAL &amp; LIGHTING CO LTD</t>
  </si>
  <si>
    <t>ROOM 506, BUILDING 2, ZHAOYUAN</t>
  </si>
  <si>
    <t>COMMERCIAL CITY, BIGUI AVENUE,</t>
  </si>
  <si>
    <t>PANYU GUANGZHOU, CHINA</t>
  </si>
  <si>
    <t>ERIC YU</t>
  </si>
  <si>
    <t>FLOOR LAMPS</t>
  </si>
  <si>
    <t>20200306145221</t>
  </si>
  <si>
    <t>塑料高尔夫球杆货样</t>
  </si>
  <si>
    <t>20200313145449</t>
  </si>
  <si>
    <t>-13560043241</t>
  </si>
  <si>
    <t>169276688</t>
  </si>
  <si>
    <t>1100221419062</t>
  </si>
  <si>
    <t>GCP (SINGAPORE) PTE LTD (FACTORY ADMIN CONC</t>
  </si>
  <si>
    <t>25 TANJONG PENJURU</t>
  </si>
  <si>
    <t>CHUI WENDY</t>
  </si>
  <si>
    <t>LOPAREX(GUANGZHOU) PAPER PRODUCTS LTD.</t>
  </si>
  <si>
    <t>NO.7 LIAN TAN RD</t>
  </si>
  <si>
    <t>EASTERN SECTION OF GETDD</t>
  </si>
  <si>
    <t>GUANGZHOU 510053,P.R.CHINA</t>
  </si>
  <si>
    <t>MR. SPARK LIN</t>
  </si>
  <si>
    <t>MEMBRANE &amp; PAPER SAMPLE</t>
  </si>
  <si>
    <t>753689484</t>
  </si>
  <si>
    <t>1100221419084</t>
  </si>
  <si>
    <t>ALTEX CORP</t>
  </si>
  <si>
    <t>10-1 NAKAIZUMI 2-CHOME</t>
  </si>
  <si>
    <t>POKET BLDG 3A</t>
  </si>
  <si>
    <t>KOMAE</t>
  </si>
  <si>
    <t>03-54975331</t>
  </si>
  <si>
    <t>SHIHO SASAKI</t>
  </si>
  <si>
    <t>LINK-PP INT L TECHNOLOGY CO., LTD</t>
  </si>
  <si>
    <t>CHENJIANG TOWN</t>
  </si>
  <si>
    <t>JIA-AN INDUSTRIAL PARK,</t>
  </si>
  <si>
    <t>0752-3161808</t>
  </si>
  <si>
    <t>Owen_Zhang</t>
  </si>
  <si>
    <t>CONNECTOR,P.N: LPJ0017AFNL, BRAND: LINK-PP</t>
  </si>
  <si>
    <t>塑胶电子连接器1个(无牌无规格/型号:LPJ0017AAFNL)货样</t>
  </si>
  <si>
    <t>91441300MA4UM6AK56</t>
  </si>
  <si>
    <t>20200318154957</t>
  </si>
  <si>
    <t>6566602209</t>
  </si>
  <si>
    <t>-8.6203210103e+11</t>
  </si>
  <si>
    <t>9-</t>
  </si>
  <si>
    <t>20200320155024</t>
  </si>
  <si>
    <t>3053076</t>
  </si>
  <si>
    <t>159089270</t>
  </si>
  <si>
    <t>SZZ</t>
  </si>
  <si>
    <t>SKYMASTER SP. Z O.O. S.K</t>
  </si>
  <si>
    <t>UL.GRYFINSKA 42</t>
  </si>
  <si>
    <t>SZCZECIN</t>
  </si>
  <si>
    <t>什切青</t>
  </si>
  <si>
    <t>70-772</t>
  </si>
  <si>
    <t>MATEUSZ ZIELENSKI</t>
  </si>
  <si>
    <t>EXPRESS LUCK GROUP</t>
  </si>
  <si>
    <t>NO. 88, BAO TONG NAN ROAD</t>
  </si>
  <si>
    <t>NEIGHBORHOOD COMMITTEE,HEN</t>
  </si>
  <si>
    <t>GGANG TOWN, LONGGANG DISTRICT</t>
  </si>
  <si>
    <t>-8613590485371-</t>
  </si>
  <si>
    <t>ALEX/???</t>
  </si>
  <si>
    <t>PROBKA USZKODZONEGO TELEWIZORZA 22 Z EKRANEM CIEKLOKRYSTA</t>
  </si>
  <si>
    <t>液晶显示屏2个(SKYMASTER牌/规格:22寸/无型号)货样</t>
  </si>
  <si>
    <t>165906750</t>
  </si>
  <si>
    <t>1100221419028</t>
  </si>
  <si>
    <t>DUB</t>
  </si>
  <si>
    <t>THEO BENNINGS IRL LTD         43/15839/1020</t>
  </si>
  <si>
    <t>THEO BENNINGS IRL LTD         //</t>
  </si>
  <si>
    <t>WHITEMILL IND ESTATE</t>
  </si>
  <si>
    <t>WEXFORD</t>
  </si>
  <si>
    <t>都柏林</t>
  </si>
  <si>
    <t>CO WEXFORD</t>
  </si>
  <si>
    <t>WXX</t>
  </si>
  <si>
    <t>GER  HARPUR</t>
  </si>
  <si>
    <t>GLOBAL SUPPLY CHAIN SERVICE CO. LTD.</t>
  </si>
  <si>
    <t>FLOOR 6,BUILDING B,NO.1 ANLE I</t>
  </si>
  <si>
    <t>HEZHOU NORTH 8TH ROAD</t>
  </si>
  <si>
    <t>HANGCHENG, BAOAN DISTRICT</t>
  </si>
  <si>
    <t>0755-86199539</t>
  </si>
  <si>
    <t>x_Liz</t>
  </si>
  <si>
    <t>PCB,S SAMPLES</t>
  </si>
  <si>
    <t>四层空白线路板11块(无牌/规格:FR4;283.5*370mm/型号:10147236)(一科重报)货样</t>
  </si>
  <si>
    <t>91440300670002697G</t>
  </si>
  <si>
    <t>453266981</t>
  </si>
  <si>
    <t>1100221419090</t>
  </si>
  <si>
    <t>EG1</t>
  </si>
  <si>
    <t>EL ARABY GROUP TOSHIBA</t>
  </si>
  <si>
    <t>12 SABRY ABO ALAM .,</t>
  </si>
  <si>
    <t>EL KORBA .HELIOPLIS</t>
  </si>
  <si>
    <t>CAIRO</t>
  </si>
  <si>
    <t>HEND SOBHY</t>
  </si>
  <si>
    <t>HAIYANG MOULD CO LT</t>
  </si>
  <si>
    <t>SUILDING NO 35 ZHENXING EAST</t>
  </si>
  <si>
    <t>RD LIUJIA</t>
  </si>
  <si>
    <t>MR\ PETER</t>
  </si>
  <si>
    <t>PLASTIC SPIN BASKET BOTTOMS BALANCE RING PARTS</t>
  </si>
  <si>
    <t>聚乙烯塑胶颗粒16.6千克(无牌无规格无型号)货样</t>
  </si>
  <si>
    <t>479568622</t>
  </si>
  <si>
    <t>Freudenberg Performance Materials SE &amp; Co. KG Impo</t>
  </si>
  <si>
    <t>H hnerweg 2-4</t>
  </si>
  <si>
    <t>WEINHEIM</t>
  </si>
  <si>
    <t>SEBASTIAN BAUER</t>
  </si>
  <si>
    <t>GUANGDONGWIREKING DISPL.FIX.CO</t>
  </si>
  <si>
    <t>NO.3 WEST ROAD SHILONG AVENUE</t>
  </si>
  <si>
    <t>LUNJIA SHUNDE FOSHAN</t>
  </si>
  <si>
    <t>GRACE ZENG</t>
  </si>
  <si>
    <t>PLUG FOR CASTOR FITING</t>
  </si>
  <si>
    <t>插座2个/塑料锁2个/塑料板1个(无牌无规格无型号)货样</t>
  </si>
  <si>
    <t>759635440</t>
  </si>
  <si>
    <t>1100221419496</t>
  </si>
  <si>
    <t>ISK</t>
  </si>
  <si>
    <t>TDK INDIA PVT LTD</t>
  </si>
  <si>
    <t>E 22-25 MIDC SATPUR</t>
  </si>
  <si>
    <t>NASHIK</t>
  </si>
  <si>
    <t>纳西克</t>
  </si>
  <si>
    <t>RAJENDRA ALIKATTE</t>
  </si>
  <si>
    <t>TDK SHANGHAI ELECTRONICS LTD</t>
  </si>
  <si>
    <t>69/F PING AN FIANANCIAL CENTER</t>
  </si>
  <si>
    <t>5033 YITIAN ROAD FUTIAN DIST</t>
  </si>
  <si>
    <t>SAMPLE OF AC NASHIK FILM CAPACITOR ROHS COMPATIBLE                         1000 ST/PCS L3</t>
  </si>
  <si>
    <t>电容器200个(无牌无规格无型号)货样</t>
  </si>
  <si>
    <t>电容器100个(品牌EPCOS规格4.8*0.8cm型号B32356*5UF B32356*2UF)货样</t>
  </si>
  <si>
    <t>20200306142954</t>
  </si>
  <si>
    <t>800</t>
  </si>
  <si>
    <t>20200316143026</t>
  </si>
  <si>
    <t>四层空白线路板货样</t>
  </si>
  <si>
    <t>3057310</t>
  </si>
  <si>
    <t>1102</t>
  </si>
  <si>
    <t>20200321143056</t>
  </si>
  <si>
    <t>聚乙烯塑胶颗粒货样</t>
  </si>
  <si>
    <t>8.6198173565e+12</t>
  </si>
  <si>
    <t>664</t>
  </si>
  <si>
    <t>20200320143114</t>
  </si>
  <si>
    <t>插座货样</t>
  </si>
  <si>
    <t>69469</t>
  </si>
  <si>
    <t>8.6075727759e+13</t>
  </si>
  <si>
    <t>229.85</t>
  </si>
  <si>
    <t>20200304143132</t>
  </si>
  <si>
    <t>电容器货样</t>
  </si>
  <si>
    <t>422007</t>
  </si>
  <si>
    <t>15246125883</t>
  </si>
  <si>
    <t>488.8</t>
  </si>
  <si>
    <t>20200318143215</t>
  </si>
  <si>
    <t>75537583188</t>
  </si>
  <si>
    <t>20200306164444</t>
  </si>
  <si>
    <t>20200316165053</t>
  </si>
  <si>
    <t>20200321165106</t>
  </si>
  <si>
    <t>20200320165200</t>
  </si>
  <si>
    <t>TE CONNECTIVITY SOLUTIONS GMBH</t>
  </si>
  <si>
    <t>INDUSTRIESTRASSE 14</t>
  </si>
  <si>
    <t>WOHLEN AG</t>
  </si>
  <si>
    <t>AARGAU</t>
  </si>
  <si>
    <t>FRAU JEILA</t>
  </si>
  <si>
    <t>AD/ISOLIERTEILE AUS KUNSTSTOFF</t>
  </si>
  <si>
    <t>塑料制绝缘零件765千克货样</t>
  </si>
  <si>
    <t>1100221419122</t>
  </si>
  <si>
    <t>EICHENBERGER GEWINDE AG</t>
  </si>
  <si>
    <t>GRENZSTRASSE 30</t>
  </si>
  <si>
    <t>BURG</t>
  </si>
  <si>
    <t>BLUM</t>
  </si>
  <si>
    <t>球杆螺钉54千克货样</t>
  </si>
  <si>
    <t>328982415M0201</t>
  </si>
  <si>
    <t>328982415M0202</t>
  </si>
  <si>
    <t>20200321143549</t>
  </si>
  <si>
    <t>AD/ISOLIERTEILE AUS KUNSTSTOFF货样</t>
  </si>
  <si>
    <t>111145.38</t>
  </si>
  <si>
    <t>329143146M0201</t>
  </si>
  <si>
    <t>329143146M0202</t>
  </si>
  <si>
    <t>20200323150339</t>
  </si>
  <si>
    <t>E/WECHSELGETRIEBE BIS 货样</t>
  </si>
  <si>
    <t>31573</t>
  </si>
  <si>
    <t>102499.2</t>
  </si>
  <si>
    <t>749860914</t>
  </si>
  <si>
    <t>QSR</t>
  </si>
  <si>
    <t>LOGISTICA E SPEDIZIONI</t>
  </si>
  <si>
    <t>VIA XXV LUGLIO 22</t>
  </si>
  <si>
    <t>CAVA DE  TIRRENI</t>
  </si>
  <si>
    <t>萨勒诺</t>
  </si>
  <si>
    <t>STEFANO MACARIO</t>
  </si>
  <si>
    <t>深圳易鑫时代贸易有限公司</t>
  </si>
  <si>
    <t>EXIN (ALI EXPRESS)</t>
  </si>
  <si>
    <t>RM1220  12/F BID A</t>
  </si>
  <si>
    <t>STARS NORTH NOPRTH FUTIAN</t>
  </si>
  <si>
    <t>BETTY</t>
  </si>
  <si>
    <t>液晶显示屏1个(无牌规格11"无型号)货样</t>
  </si>
  <si>
    <t>20200308154419</t>
  </si>
  <si>
    <t>DISPLAY货样</t>
  </si>
  <si>
    <t>237368736</t>
  </si>
  <si>
    <t>1100271750870</t>
  </si>
  <si>
    <t>MILSPEED LIMITED</t>
  </si>
  <si>
    <t>WILLOW COURT</t>
  </si>
  <si>
    <t>BOURTON INDUSTRIAL PARK</t>
  </si>
  <si>
    <t>BOURTON-ON-THE-WATER</t>
  </si>
  <si>
    <t>GLOUCESTERSHIRE</t>
  </si>
  <si>
    <t>GL54 2HQ</t>
  </si>
  <si>
    <t>VICTORIA J RYAN</t>
  </si>
  <si>
    <t>MILSPEED CHINA</t>
  </si>
  <si>
    <t>ROOM 1810, TOWER 1</t>
  </si>
  <si>
    <t>33 ZHUHAI AVENUE,</t>
  </si>
  <si>
    <t>ZHUHAI CITY,</t>
  </si>
  <si>
    <t>BELL SUN</t>
  </si>
  <si>
    <t>THERMOPLASTIC MATERIAL - MARKED SAMPLES, NOT FOR RESALE</t>
  </si>
  <si>
    <t>PP聚酯塑胶粒41千克(无牌无规格无型号)货样</t>
  </si>
  <si>
    <t>20200406153110</t>
  </si>
  <si>
    <t>20200406160440</t>
  </si>
  <si>
    <t>1100271750896</t>
  </si>
  <si>
    <t>DILO ARMATUREN UND ANLAGEN GMB</t>
  </si>
  <si>
    <t>H FRUNDSBERGSTRASSE 36</t>
  </si>
  <si>
    <t>CHRISTOPH NIESSER</t>
  </si>
  <si>
    <t>GAS FILLING CONNECTION</t>
  </si>
  <si>
    <t>电子配件88千克货样</t>
  </si>
  <si>
    <t>329585303M0202</t>
  </si>
  <si>
    <t>329585303M0201</t>
  </si>
  <si>
    <t>20200407163118</t>
  </si>
  <si>
    <t>104605725</t>
  </si>
  <si>
    <t>1100221419194</t>
  </si>
  <si>
    <t>RIX</t>
  </si>
  <si>
    <t>IPSUM SIA</t>
  </si>
  <si>
    <t>LV</t>
  </si>
  <si>
    <t>拉脱维亚</t>
  </si>
  <si>
    <t>MIRDZAS KEMPES 3/14</t>
  </si>
  <si>
    <t>RIGA</t>
  </si>
  <si>
    <t>里加</t>
  </si>
  <si>
    <t>LV-1014</t>
  </si>
  <si>
    <t>SERGEJS JAKOVELS</t>
  </si>
  <si>
    <t>深圳市藤原洗涤有限公司</t>
  </si>
  <si>
    <t>SHENZHENSHITENYUANXIDI CO</t>
  </si>
  <si>
    <t>DAPENGXINQU</t>
  </si>
  <si>
    <t>SHUITOUDIYIGONGYEQU13HAO</t>
  </si>
  <si>
    <t>ZHONGXINGTIAN</t>
  </si>
  <si>
    <t>ZHONGGUO</t>
  </si>
  <si>
    <t>SCUBA EQUIPMENT</t>
  </si>
  <si>
    <t>腰带4条等品名详见清单(用于潜水装置/牌子详见清单/无型号/无规格)(一科重报)货样</t>
  </si>
  <si>
    <t>121209361</t>
  </si>
  <si>
    <t>1100271750854</t>
  </si>
  <si>
    <t>38A</t>
  </si>
  <si>
    <t>CLAYENS NP S.A.S.</t>
  </si>
  <si>
    <t>10 RUE JEAN ROSTAND</t>
  </si>
  <si>
    <t>GENAS</t>
  </si>
  <si>
    <t>里昂圣埃克</t>
  </si>
  <si>
    <t>BERNADETTE DEUX</t>
  </si>
  <si>
    <t>JR PLASTIC SOLUTION CO LD</t>
  </si>
  <si>
    <t>A1 BLOCK FUYUAN INDUSTRIAL PAR</t>
  </si>
  <si>
    <t>TANGWEI FUYONS SUBDISTRICT</t>
  </si>
  <si>
    <t>BAOAN SHENZHEN</t>
  </si>
  <si>
    <t>JEREMY YU</t>
  </si>
  <si>
    <t>OUVRAGE EN FER</t>
  </si>
  <si>
    <t>铁丝4千克(无牌无规格型号:LHD X82 PH2)货样</t>
  </si>
  <si>
    <t>236338491</t>
  </si>
  <si>
    <t>MERGON INTERNATIONAL          32/19500/102021</t>
  </si>
  <si>
    <t>MERGON INTERNATIONAL          //</t>
  </si>
  <si>
    <t>WATER ST</t>
  </si>
  <si>
    <t>CASTLEPOLLARD</t>
  </si>
  <si>
    <t>CO WESTMEATH</t>
  </si>
  <si>
    <t>WM</t>
  </si>
  <si>
    <t>STEPHEN GOONERY</t>
  </si>
  <si>
    <t>ZHI DA MOLD (DONG GUAN) CO., LTD.</t>
  </si>
  <si>
    <t>101, NO.1 LONGQUAN WUXIANG</t>
  </si>
  <si>
    <t>XIEGANG VILLAGE</t>
  </si>
  <si>
    <t>REGISTRATION91441900MA513GU59K</t>
  </si>
  <si>
    <t>0086-135-6044-23</t>
  </si>
  <si>
    <t>ELING SIU</t>
  </si>
  <si>
    <t>COLOUR PIGMENT</t>
  </si>
  <si>
    <t>颜料6千克(无牌无规格无型号)货样</t>
  </si>
  <si>
    <t>105788622</t>
  </si>
  <si>
    <t>1100221419188</t>
  </si>
  <si>
    <t>APPLE INT. DIST. FG SYNCREON</t>
  </si>
  <si>
    <t>VAN HILLSTRAAT 23</t>
  </si>
  <si>
    <t>ST OEDENRODE</t>
  </si>
  <si>
    <t>5499 AP</t>
  </si>
  <si>
    <t>VD HOVEN</t>
  </si>
  <si>
    <t>BYD ELECTRONICS GROUP</t>
  </si>
  <si>
    <t>B11-1F, NO. 1 BAOPING ROAD</t>
  </si>
  <si>
    <t>BAOLONG INDUSTRIAL TOWN</t>
  </si>
  <si>
    <t>BETTY YU</t>
  </si>
  <si>
    <t>TABLET/ COMPUTER</t>
  </si>
  <si>
    <t>电脑配件9个货样(待确认品名/发邮件paul_OSullivan@moduslink.com)货样</t>
  </si>
  <si>
    <t>20200403150927</t>
  </si>
  <si>
    <t>铁丝货样</t>
  </si>
  <si>
    <t>69740</t>
  </si>
  <si>
    <t>-8.61888173e+13</t>
  </si>
  <si>
    <t>3329.23</t>
  </si>
  <si>
    <t>颜料货样</t>
  </si>
  <si>
    <t>703.28</t>
  </si>
  <si>
    <t>20200329151042</t>
  </si>
  <si>
    <t>电脑配件货样</t>
  </si>
  <si>
    <t>8.6186662828e+12</t>
  </si>
  <si>
    <t>5104.34</t>
  </si>
  <si>
    <t>20200330151136</t>
  </si>
  <si>
    <t>腰带货样</t>
  </si>
  <si>
    <t>-8.6134244442e+12</t>
  </si>
  <si>
    <t>1949</t>
  </si>
  <si>
    <t>753729033</t>
  </si>
  <si>
    <t>MIKASA SANGYO CO.,LTD.</t>
  </si>
  <si>
    <t>1-10, OGORI YAMATE KAMIMACHI</t>
  </si>
  <si>
    <t>YAMAGUCHI</t>
  </si>
  <si>
    <t>MIKA ABIKO</t>
  </si>
  <si>
    <t>NINESTAR CORPORATION</t>
  </si>
  <si>
    <t>NO.3883,ZHUHAI AVENUE ,</t>
  </si>
  <si>
    <t>86-15018308296</t>
  </si>
  <si>
    <t>MR.WILBER</t>
  </si>
  <si>
    <t>TONER NO.820-5Y</t>
  </si>
  <si>
    <t>碳粉5.5千克(无牌无规格型号820-5Bk/820-5C/820-5M/820-5Y)货样</t>
  </si>
  <si>
    <t>需重新估价</t>
  </si>
  <si>
    <t>329439821</t>
  </si>
  <si>
    <t>STEINBACH AG</t>
  </si>
  <si>
    <t>WESTERFELDSTR. 32-42</t>
  </si>
  <si>
    <t>DETMOLD</t>
  </si>
  <si>
    <t>DUNSCHE WAGENKNECHT</t>
  </si>
  <si>
    <t>JIAXIN ELECTROMECHANICAL</t>
  </si>
  <si>
    <t>105 ,BLK 1,C QU,YUHUA JIDIANMA</t>
  </si>
  <si>
    <t>RKET,YUHUA DIST</t>
  </si>
  <si>
    <t>0133-97410205</t>
  </si>
  <si>
    <t>MS_TAN</t>
  </si>
  <si>
    <t>- - POLYURETHANE OF 2,2 -(TERT-BUTYLIMINO)DIETHANOL AND 4</t>
  </si>
  <si>
    <t>粘合剂9千克(AURIA牌无规格型号V608M)货样</t>
  </si>
  <si>
    <t>91430111722548828U</t>
  </si>
  <si>
    <t>20200329152507</t>
  </si>
  <si>
    <t>碳粉货样</t>
  </si>
  <si>
    <t>20200403152741</t>
  </si>
  <si>
    <t>粘合剂货样</t>
  </si>
  <si>
    <t>6003325</t>
  </si>
  <si>
    <t>20200403093203</t>
  </si>
  <si>
    <t>32758</t>
  </si>
  <si>
    <t>1964.63</t>
  </si>
  <si>
    <t>20200330093248</t>
  </si>
  <si>
    <t>124343100</t>
  </si>
  <si>
    <t>1100271750916</t>
  </si>
  <si>
    <t>PRICOL WIPING SYSTEMS</t>
  </si>
  <si>
    <t>ZDIBSKO 613</t>
  </si>
  <si>
    <t>POINT PARK D8</t>
  </si>
  <si>
    <t>HALA DC 02</t>
  </si>
  <si>
    <t>ZDIBY</t>
  </si>
  <si>
    <t>250 66</t>
  </si>
  <si>
    <t>PETR VARGA</t>
  </si>
  <si>
    <t>HUIZHAU LODA TECHNOLOGY COMPANY LTD.</t>
  </si>
  <si>
    <t>O.8, 1 FLOOR, 1 BLDG</t>
  </si>
  <si>
    <t>SHUI AN HUA DU</t>
  </si>
  <si>
    <t>HUISHADI 2 ROAD, HENANAN</t>
  </si>
  <si>
    <t>0752-2516001</t>
  </si>
  <si>
    <t>ZHENG_MS</t>
  </si>
  <si>
    <t>CARBON BRUSH</t>
  </si>
  <si>
    <t>碳刷24千克货样</t>
  </si>
  <si>
    <t>91441300781172031E</t>
  </si>
  <si>
    <t>1100271750932</t>
  </si>
  <si>
    <t>936251820</t>
  </si>
  <si>
    <t>GONON OPTOELECTRONIC LIGHTING ATT.: LISA HU TEL: 8</t>
  </si>
  <si>
    <t>NO 2, HUA YUAN ROAD, XIAOLAN T</t>
  </si>
  <si>
    <t>WC ABIA LED PANEL 22W 300MM BLK M,WC ABIA LED PANEL 22W 300X300MM BLK M</t>
  </si>
  <si>
    <t>LED面板灯3个(无牌无规格无型号)货样</t>
  </si>
  <si>
    <t>128080355</t>
  </si>
  <si>
    <t>1100271750945</t>
  </si>
  <si>
    <t>TRONIX LIGHTING BV</t>
  </si>
  <si>
    <t>VLUCHTOORD 41</t>
  </si>
  <si>
    <t>UDEN</t>
  </si>
  <si>
    <t>5406 XP</t>
  </si>
  <si>
    <t>MAARTEN VAN DEN BERG</t>
  </si>
  <si>
    <t>STRONG LUMEN OPTO CO., LTD</t>
  </si>
  <si>
    <t>BUILDING L, LICHENG TECHNOLOGY</t>
  </si>
  <si>
    <t>INDUSTRAL PARK, XINHE ROAD,</t>
  </si>
  <si>
    <t>SHAJING TOWN</t>
  </si>
  <si>
    <t>ALEX LEE</t>
  </si>
  <si>
    <t>塑胶电子连接器1个(无牌无规格无型号)货样</t>
  </si>
  <si>
    <t>392696764</t>
  </si>
  <si>
    <t>BWN</t>
  </si>
  <si>
    <t>INFRAMAC TECHNOLOGY &amp; MARKETING</t>
  </si>
  <si>
    <t>BN</t>
  </si>
  <si>
    <t>文莱达鲁萨兰国</t>
  </si>
  <si>
    <t>UNIT 7 FIRST FLOOR PLAZA</t>
  </si>
  <si>
    <t>AL-ABRAR SPG 424 JLN GADONG</t>
  </si>
  <si>
    <t>KG MATA-MATA</t>
  </si>
  <si>
    <t>BANDAR SERI BEGAWAN</t>
  </si>
  <si>
    <t>斯里巴加湾</t>
  </si>
  <si>
    <t>BE1718</t>
  </si>
  <si>
    <t>KELLY SHUNG</t>
  </si>
  <si>
    <t>LINOYA ELECTRONIC TECHNOLOGY PTE LTD</t>
  </si>
  <si>
    <t>NO.2 THE FORTH WEST INDUSTRIAL</t>
  </si>
  <si>
    <t>ZONE, SONGSHAN LAKE, DONGGUAN</t>
  </si>
  <si>
    <t>CITY, GUANGDONG PROVINCE</t>
  </si>
  <si>
    <t>LUCKY WONG</t>
  </si>
  <si>
    <t>PVC PATCH CORD</t>
  </si>
  <si>
    <t>网线0.5千克(RFI牌无规格无型号)货样</t>
  </si>
  <si>
    <t>544293099</t>
  </si>
  <si>
    <t>DONGGUAN CITY DONGTAI LASER DAOMO LTD.</t>
  </si>
  <si>
    <t>YUCAI ROAD DONGSHAN VILLAGE</t>
  </si>
  <si>
    <t>QISHI TOWN</t>
  </si>
  <si>
    <t>HARRY ZHANG</t>
  </si>
  <si>
    <t>BYPASS KABEL-MOTOR Z</t>
  </si>
  <si>
    <t>电缆2条(无牌无规格无型号)货样</t>
  </si>
  <si>
    <t>20200409151754</t>
  </si>
  <si>
    <t>碳刷货样</t>
  </si>
  <si>
    <t>102006</t>
  </si>
  <si>
    <t>12764.53</t>
  </si>
  <si>
    <t>20200409151901</t>
  </si>
  <si>
    <t>20200409153701</t>
  </si>
  <si>
    <t>20200411153911</t>
  </si>
  <si>
    <t>LED面板灯货样</t>
  </si>
  <si>
    <t>13363532230</t>
  </si>
  <si>
    <t>295.45</t>
  </si>
  <si>
    <t>20200412154040</t>
  </si>
  <si>
    <t>-8.6133165331e+12</t>
  </si>
  <si>
    <t>216.79</t>
  </si>
  <si>
    <t>网线货样</t>
  </si>
  <si>
    <t>321</t>
  </si>
  <si>
    <t>8.6137607549e+12</t>
  </si>
  <si>
    <t>210.98</t>
  </si>
  <si>
    <t>22529</t>
  </si>
  <si>
    <t>-8.6139241754e+12</t>
  </si>
  <si>
    <t>774.24</t>
  </si>
  <si>
    <t>20200409154506</t>
  </si>
  <si>
    <t>20200411155342</t>
  </si>
  <si>
    <t xml:space="preserve">    由于客户不了解清关要求,为规范申报,现向贵关申请转“普货报关”报关，新增舱单正式报关。请予以批准！谢谢！</t>
  </si>
  <si>
    <t>106113975</t>
  </si>
  <si>
    <t>TNT EXPRESS GMBH</t>
  </si>
  <si>
    <t>HEINZ-PETER-PIPER-STR. 11</t>
  </si>
  <si>
    <t>LANGENHAGEN</t>
  </si>
  <si>
    <t>深圳市多客维网络科技有限公司</t>
  </si>
  <si>
    <t>MULTI-CUSTOMER NETWORK TECH CO</t>
  </si>
  <si>
    <t>603,6F,TONGLETONGXIN TECH BLDG</t>
  </si>
  <si>
    <t>LONGGANG</t>
  </si>
  <si>
    <t>0152-20157569</t>
  </si>
  <si>
    <t>MS_HUANG</t>
  </si>
  <si>
    <t>ONE PLUS 7PRO - RETURN; ID 337-1-281911</t>
  </si>
  <si>
    <t>手机1台(ONEPLUS牌无规格型号:7PRO)货样</t>
  </si>
  <si>
    <t>91440300MA5DECN03B</t>
  </si>
  <si>
    <t>125855578</t>
  </si>
  <si>
    <t>VORTEX ENERGY BATAM, PT</t>
  </si>
  <si>
    <t>KAWASAN INDUSTRI TUNAS BIZPARK</t>
  </si>
  <si>
    <t>BLOK D-16 BATAM CENTER</t>
  </si>
  <si>
    <t>BATAM,</t>
  </si>
  <si>
    <t>ISRA YENI AGUSTI</t>
  </si>
  <si>
    <t>QINYI ELECTRONICS CO., LTD</t>
  </si>
  <si>
    <t>ROOM 503, BUILDING A</t>
  </si>
  <si>
    <t>BAITONG INDUSTRIAL PARK</t>
  </si>
  <si>
    <t>NO.150 SHASONG RD, SHAJING</t>
  </si>
  <si>
    <t>MR. ERIC WU</t>
  </si>
  <si>
    <t>SAMPLE COMPONENT</t>
  </si>
  <si>
    <t>铜+塑料制电子连接器1个(无牌无规格无型号)货样</t>
  </si>
  <si>
    <t>127326777</t>
  </si>
  <si>
    <t>GDN</t>
  </si>
  <si>
    <t>ENBIO TECHNOLOGY SP.Z O.O.</t>
  </si>
  <si>
    <t>UL. RUMSKA 18</t>
  </si>
  <si>
    <t>DEBOGORZE</t>
  </si>
  <si>
    <t>格但斯克</t>
  </si>
  <si>
    <t>81-198</t>
  </si>
  <si>
    <t>ANNA BIANGA</t>
  </si>
  <si>
    <t>DASON(HK) TECHNOLGY CO.,LTD</t>
  </si>
  <si>
    <t>FLOOR 3</t>
  </si>
  <si>
    <t>XINFUMING TECHNOLOGY PARK</t>
  </si>
  <si>
    <t>DONGCHENG DISTRICT, DONGGUAN</t>
  </si>
  <si>
    <t>JASON LUO</t>
  </si>
  <si>
    <t>SAMPLE PARTS</t>
  </si>
  <si>
    <t>消毒仪器用螺线管1个(无牌无规格无型号)货样</t>
  </si>
  <si>
    <t>236349326</t>
  </si>
  <si>
    <t>GZT</t>
  </si>
  <si>
    <t>KOKSAN PET VE PLASTIK AMBALAJ SAN.TIC.A.S.</t>
  </si>
  <si>
    <t>KUTU AMB. SAN.TIC.A.S.</t>
  </si>
  <si>
    <t>4.ORGANIZE SAN. BOL.BASPINAR</t>
  </si>
  <si>
    <t>GAZIANTEP</t>
  </si>
  <si>
    <t>SEHITKAMIL</t>
  </si>
  <si>
    <t>加济安泰普</t>
  </si>
  <si>
    <t>HANNA SEVSAY</t>
  </si>
  <si>
    <t>深圳市海皇机械有限公司</t>
  </si>
  <si>
    <t>MARTIN LIU</t>
  </si>
  <si>
    <t>NO.12 BUILDING 505 OF BAOAN</t>
  </si>
  <si>
    <t>XINCUN, BAOAN DISTRICT,</t>
  </si>
  <si>
    <t>SHENZHEN CITY , CHINA</t>
  </si>
  <si>
    <t>0086-13632976311</t>
  </si>
  <si>
    <t>PREFORM - CLOSURE SAMPLES FREE OF CHARGE</t>
  </si>
  <si>
    <t>塑料瓶胚40个(无牌无规格无型号)货样</t>
  </si>
  <si>
    <t>20200409110158</t>
  </si>
  <si>
    <t>手机货样</t>
  </si>
  <si>
    <t>6003906</t>
  </si>
  <si>
    <t>30855</t>
  </si>
  <si>
    <t>2806.09</t>
  </si>
  <si>
    <t>20200412110427</t>
  </si>
  <si>
    <t>铜+塑料制电子连接器货样</t>
  </si>
  <si>
    <t>29464</t>
  </si>
  <si>
    <t>-15820548528</t>
  </si>
  <si>
    <t>225.05</t>
  </si>
  <si>
    <t>消毒仪器用螺线管货样</t>
  </si>
  <si>
    <t>-8.6188025649e+12</t>
  </si>
  <si>
    <t>20200403110533</t>
  </si>
  <si>
    <t>塑料瓶胚货样</t>
  </si>
  <si>
    <t>27630</t>
  </si>
  <si>
    <t>120718601</t>
  </si>
  <si>
    <t>JSJ NATURAL WELLNESS P/L</t>
  </si>
  <si>
    <t>88 EAST COAST ROAD</t>
  </si>
  <si>
    <t>02-11 KATONG SQUARE</t>
  </si>
  <si>
    <t>JASMINE CHEONG</t>
  </si>
  <si>
    <t>VIRTUOS CHENGDU</t>
  </si>
  <si>
    <t>13/F PINGAN FINANCE CENTER</t>
  </si>
  <si>
    <t>NO. 99 DONGDA STREET</t>
  </si>
  <si>
    <t>CHENGDU-JINJIANG</t>
  </si>
  <si>
    <t>ZHAO JING_A</t>
  </si>
  <si>
    <t>MEDICAL MASK COMPANY USE</t>
  </si>
  <si>
    <t>一次性医用口罩2000个(无牌无规格无型号)货样</t>
  </si>
  <si>
    <t>123122040</t>
  </si>
  <si>
    <t>1100271750867</t>
  </si>
  <si>
    <t>SLS BEARINGS (SINGAPORE)      PRIVATE LIMITED</t>
  </si>
  <si>
    <t>5 TUAS SOUTH STREET 15</t>
  </si>
  <si>
    <t>JOEL TEH</t>
  </si>
  <si>
    <t>VISON MACHINERY CO., LTD</t>
  </si>
  <si>
    <t>THE GROUND FLOOR  NO.42 BLDG.B</t>
  </si>
  <si>
    <t>AREA LIYUAN NEW VILLAGE</t>
  </si>
  <si>
    <t>SHANGYOUSONG BULONG ROAD</t>
  </si>
  <si>
    <t>75-52236175</t>
  </si>
  <si>
    <t>MR_LIN</t>
  </si>
  <si>
    <t>CYLINDRI RB</t>
  </si>
  <si>
    <t>轴承8个(印刷机传动部件/钢制/REXNORD牌/MU5311UM型/无规格)(一科重报)货样</t>
  </si>
  <si>
    <t>91440300061438540W</t>
  </si>
  <si>
    <t>125086212</t>
  </si>
  <si>
    <t>JIRI MODELS A.S.</t>
  </si>
  <si>
    <t>VLADISLAVOVA 250</t>
  </si>
  <si>
    <t>IVANA PALCUTOVA</t>
  </si>
  <si>
    <t>TUV SUD CERTIFICATION AND TESTING (CHINA) CO., LTD</t>
  </si>
  <si>
    <t>BUILDING 6, ZHIHENG</t>
  </si>
  <si>
    <t>WISDOMLAND BUSINESS PARK</t>
  </si>
  <si>
    <t>NANTOU CHECKPOINT ROAD 2</t>
  </si>
  <si>
    <t>CARRIE LIU</t>
  </si>
  <si>
    <t>尼龙袋12个/铅笔盒12个(无牌无规格无型号)货样</t>
  </si>
  <si>
    <t>835453581</t>
  </si>
  <si>
    <t>1100271750961</t>
  </si>
  <si>
    <t>PSH AFDELING TRANSPORT</t>
  </si>
  <si>
    <t>TOWN,WANG CHENG DISTRICT</t>
  </si>
  <si>
    <t>CHANGSHA YUMING AUTO E</t>
  </si>
  <si>
    <t>STARTER MOTORS</t>
  </si>
  <si>
    <t>起动机1个(启动发动机/Bosch牌无规格型号0001153029)货样</t>
  </si>
  <si>
    <t>20200405105821</t>
  </si>
  <si>
    <t>轴承货样</t>
  </si>
  <si>
    <t>3021242</t>
  </si>
  <si>
    <t>636907</t>
  </si>
  <si>
    <t>-67155981</t>
  </si>
  <si>
    <t>518109</t>
  </si>
  <si>
    <t>4480</t>
  </si>
  <si>
    <t>20200411110000</t>
  </si>
  <si>
    <t>一次性医用口罩货样</t>
  </si>
  <si>
    <t>423371</t>
  </si>
  <si>
    <t>6596907332</t>
  </si>
  <si>
    <t>610021</t>
  </si>
  <si>
    <t>-8.6186281394e+12</t>
  </si>
  <si>
    <t>2952</t>
  </si>
  <si>
    <t>尼龙袋货样</t>
  </si>
  <si>
    <t>-4.2038042561e+11</t>
  </si>
  <si>
    <t>518052</t>
  </si>
  <si>
    <t>-33321174</t>
  </si>
  <si>
    <t>230</t>
  </si>
  <si>
    <t>20200414110129</t>
  </si>
  <si>
    <t>起动机货样</t>
  </si>
  <si>
    <t>3.103565685e+11</t>
  </si>
  <si>
    <t>410214</t>
  </si>
  <si>
    <t>8.673188253e+12</t>
  </si>
  <si>
    <t>1480.26</t>
  </si>
  <si>
    <t>130843935</t>
  </si>
  <si>
    <t>1100221419616</t>
  </si>
  <si>
    <t>RITA CHEN</t>
  </si>
  <si>
    <t>SHENZHEN KE XIN TAI ELECTRONIC CO.,LTD</t>
  </si>
  <si>
    <t>SHAJING TOWN BAOAN DISTRICT</t>
  </si>
  <si>
    <t>SHENZHEN CITY</t>
  </si>
  <si>
    <t>ELAIN WANG</t>
  </si>
  <si>
    <t>GREEN SILICON CARBIDE GC 1200</t>
  </si>
  <si>
    <t>绿碳化硅2千克(无牌无规格无型号)货样</t>
  </si>
  <si>
    <t>131831505</t>
  </si>
  <si>
    <t>1100221419638</t>
  </si>
  <si>
    <t>45A</t>
  </si>
  <si>
    <t>DM TECHNOLOGIES</t>
  </si>
  <si>
    <t>70 Rue des Maux Petits</t>
  </si>
  <si>
    <t>ST MARTIN D ABBAT</t>
  </si>
  <si>
    <t>埃斯克雷讷</t>
  </si>
  <si>
    <t>JEROME MATIGNON</t>
  </si>
  <si>
    <t>BOLOK MOLD</t>
  </si>
  <si>
    <t>N 5 EASET SHATOU ESTATE, CHANG</t>
  </si>
  <si>
    <t>YER XIAO</t>
  </si>
  <si>
    <t>SCREWS DEVICES</t>
  </si>
  <si>
    <t>不锈钢片400个(无牌无规格无型号)货样</t>
  </si>
  <si>
    <t>329780010</t>
  </si>
  <si>
    <t>1100221419650</t>
  </si>
  <si>
    <t>RESIDENTIAL</t>
  </si>
  <si>
    <t>DIAGNOSTIC OR LABORATORY REAGENTS ON A BACKING, PREPARED</t>
  </si>
  <si>
    <t>培养皿(用于检验树脂乳液是否洁净的材料)150只(无牌无规格无型号)货样</t>
  </si>
  <si>
    <t>544168502</t>
  </si>
  <si>
    <t>Sabo Logistics Limited</t>
  </si>
  <si>
    <t>T/a Inxpress Paisley</t>
  </si>
  <si>
    <t>Orkney Street Enterprise Centr</t>
  </si>
  <si>
    <t>18 Orkney Street</t>
  </si>
  <si>
    <t>G51 2BX</t>
  </si>
  <si>
    <t>STEVE ABBOTT</t>
  </si>
  <si>
    <t>DONGGUAN WE CARE TRADING CO.,LTD.</t>
  </si>
  <si>
    <t>ROOM A-411, FLOOR 4</t>
  </si>
  <si>
    <t>HONGHAI BUSINESS SQUARE</t>
  </si>
  <si>
    <t>EDUCATION ROAD, LIAOBU</t>
  </si>
  <si>
    <t>HERRY YE</t>
  </si>
  <si>
    <t>GUARDIAN EXPEDITION STROBE RED</t>
  </si>
  <si>
    <t>橡胶夹布制潜水衣6件/LED灯12个(用于潜水和浮力背心上信号灯/IONIC牌无规格无型号)货样</t>
  </si>
  <si>
    <t>20200417150138</t>
  </si>
  <si>
    <t>绿碳化硅货样</t>
  </si>
  <si>
    <t>-13631669896</t>
  </si>
  <si>
    <t>175.82</t>
  </si>
  <si>
    <r>
      <t xml:space="preserve">    </t>
    </r>
    <r>
      <rPr>
        <sz val="18"/>
        <rFont val="宋体"/>
        <family val="3"/>
        <charset val="134"/>
      </rPr>
      <t>由于退单“转普货报关</t>
    </r>
    <r>
      <rPr>
        <sz val="18"/>
        <rFont val="Arial"/>
        <family val="2"/>
      </rPr>
      <t>”</t>
    </r>
    <r>
      <rPr>
        <sz val="18"/>
        <rFont val="宋体"/>
        <family val="3"/>
        <charset val="134"/>
      </rPr>
      <t>报关，现向贵关申请新增舱单正式报关。请予以批准！谢谢！</t>
    </r>
    <phoneticPr fontId="1" type="noConversion"/>
  </si>
  <si>
    <t xml:space="preserve">    由于退单“转普货报关”报关，现向贵关申请新增舱单正式报关。请予以批准！谢谢！</t>
  </si>
  <si>
    <t>20200419150241</t>
  </si>
  <si>
    <t>不锈钢片货样</t>
  </si>
  <si>
    <t>191323</t>
  </si>
  <si>
    <t>45110</t>
  </si>
  <si>
    <t>8.6137511327e+12</t>
  </si>
  <si>
    <t>340.67</t>
  </si>
  <si>
    <t>20200421150259</t>
  </si>
  <si>
    <t>培养皿(用于检验树脂乳液是否洁净的材料)货样</t>
  </si>
  <si>
    <t>3107943</t>
  </si>
  <si>
    <t>1645.68</t>
  </si>
  <si>
    <t>20200412150316</t>
  </si>
  <si>
    <t>橡胶夹布制潜水衣货样</t>
  </si>
  <si>
    <t>2482364</t>
  </si>
  <si>
    <t>-8.6159169368e+12</t>
  </si>
  <si>
    <t>879.1</t>
  </si>
  <si>
    <t>131830120</t>
  </si>
  <si>
    <t>WEI YUCHAN</t>
  </si>
  <si>
    <t>132150755</t>
  </si>
  <si>
    <t>MMA</t>
  </si>
  <si>
    <t>EMMALJUNGA BARNVAGNSFABRIK AB</t>
  </si>
  <si>
    <t>KRONOBERGSV GEN 14</t>
  </si>
  <si>
    <t>VITTSJ</t>
  </si>
  <si>
    <t>马尔默站点</t>
  </si>
  <si>
    <t>282 66</t>
  </si>
  <si>
    <t>KARSTEN WESTPHAL</t>
  </si>
  <si>
    <t>WEIXUN HARDWARE &amp; PLASTIC PRODUCTS FTY.</t>
  </si>
  <si>
    <t>NO.16, ZHONGXINYI ROAD</t>
  </si>
  <si>
    <t>PUXINHU MANUFACTURING DISTRICT</t>
  </si>
  <si>
    <t>MR. SU YAO ZHOU</t>
  </si>
  <si>
    <t>NXT 2IN SAMPLAES</t>
  </si>
  <si>
    <t>婴儿车用铝制连接件1个(无牌无规格无型号)货样</t>
  </si>
  <si>
    <t>752718745</t>
  </si>
  <si>
    <t>ANOTHER BIKE DI ROBERTO PETRACCARO</t>
  </si>
  <si>
    <t>VIA MARINARO 68, INT Q</t>
  </si>
  <si>
    <t>CASANDRINO</t>
  </si>
  <si>
    <t>ROBERT PETRACCARO</t>
  </si>
  <si>
    <t>WEI XU</t>
  </si>
  <si>
    <t>CIVIL SERVICE COMMUNITY</t>
  </si>
  <si>
    <t>OF  PU ER CITY</t>
  </si>
  <si>
    <t>SIMAO-CUIYUN</t>
  </si>
  <si>
    <t>思茅</t>
  </si>
  <si>
    <t>YUNNAN</t>
  </si>
  <si>
    <t>MOTOBIKEPARTS</t>
  </si>
  <si>
    <t>摩托车外壳4.85千克货样(正式报关)货样</t>
  </si>
  <si>
    <t>20200419150042</t>
  </si>
  <si>
    <t>婴儿车用铝制连接件货样</t>
  </si>
  <si>
    <t>20200421150119</t>
  </si>
  <si>
    <t>摩托车外壳货样</t>
  </si>
  <si>
    <t>80025</t>
  </si>
  <si>
    <r>
      <t xml:space="preserve">    </t>
    </r>
    <r>
      <rPr>
        <sz val="18"/>
        <rFont val="宋体"/>
        <family val="3"/>
        <charset val="134"/>
      </rPr>
      <t>由于我司清关系统获取重量错误，导入公路舱单数据不正确。现向海关提出新增舱单。给海关工作带来不便深表歉意，请予以批准！谢谢！</t>
    </r>
    <phoneticPr fontId="1" type="noConversion"/>
  </si>
  <si>
    <t>131586889</t>
  </si>
  <si>
    <t>10020200422R101</t>
  </si>
  <si>
    <t>JACSPED AS</t>
  </si>
  <si>
    <t>TROLL SVEIEN 8</t>
  </si>
  <si>
    <t>TROLLASEN</t>
  </si>
  <si>
    <t>PAAL  CROSBY</t>
  </si>
  <si>
    <t>深圳市广信技术有限公司</t>
  </si>
  <si>
    <t>SHEN ZHEN SHI GUANG XIN JI SHU YOU XIAN GONG SI</t>
  </si>
  <si>
    <t>DONGFANGJIANGFY YIJING IND. ZO</t>
  </si>
  <si>
    <t>TIANLIAO, GONGMING,</t>
  </si>
  <si>
    <t>GUANGMING DISTRICT</t>
  </si>
  <si>
    <t>THERESA ZHANG</t>
  </si>
  <si>
    <t>SIM CARD</t>
  </si>
  <si>
    <t>SIM卡1000张(用于儿童手表上/未加密,未录制/XPLORA牌/无型号/规格:容量:64KB)(自扣)货样</t>
  </si>
  <si>
    <t>545599163</t>
  </si>
  <si>
    <t>1100221419732</t>
  </si>
  <si>
    <t>PACKING EXPORT E IM (MB</t>
  </si>
  <si>
    <t>FRANCESC MORAGAS 28</t>
  </si>
  <si>
    <t>SANTA COLOMA DE GRAMENET</t>
  </si>
  <si>
    <t>JUAN ANGEL MUNOZ LOPEZ</t>
  </si>
  <si>
    <t>EMDOOR INFORMATION CO.,LTD</t>
  </si>
  <si>
    <t>3/F,BLD 5TH,MEISHENG</t>
  </si>
  <si>
    <t>HUIGU TECHNOLOGY PARK, NO. 83</t>
  </si>
  <si>
    <t>DABAO ROAD, BAOAN 33 DISTRICT</t>
  </si>
  <si>
    <t>ANDY CHEN</t>
  </si>
  <si>
    <t>APPARATUS ACCESSORIES/ACCESORIOS APARATOS</t>
  </si>
  <si>
    <t>平板电脑2台(无牌无规格型号I16H)货样</t>
  </si>
  <si>
    <t>546079734</t>
  </si>
  <si>
    <t>二十一光电有限公司</t>
  </si>
  <si>
    <t>SLP</t>
  </si>
  <si>
    <t>SHOP NO 2B21 S/F LONG SHENG</t>
  </si>
  <si>
    <t>MARKET B FUTIAN HUAFA NORTH</t>
  </si>
  <si>
    <t>RD</t>
  </si>
  <si>
    <t>NANCY CHAN</t>
  </si>
  <si>
    <t>THERMOMETER</t>
  </si>
  <si>
    <t>红外额温枪20个(IR988牌无规格型号:IR988)货样</t>
  </si>
  <si>
    <t>20200425143155</t>
  </si>
  <si>
    <t>平板电脑货样</t>
  </si>
  <si>
    <t>红外额温枪货样</t>
  </si>
  <si>
    <t>20200425143359</t>
  </si>
  <si>
    <t>20200422143553</t>
  </si>
  <si>
    <t>SIM卡货样</t>
  </si>
  <si>
    <t>20200422144822</t>
  </si>
  <si>
    <t>132703255</t>
  </si>
  <si>
    <t>1100221419704</t>
  </si>
  <si>
    <t>TIMBERWISE OY</t>
  </si>
  <si>
    <t>JUVANTIE 222</t>
  </si>
  <si>
    <t>LOIMAA</t>
  </si>
  <si>
    <t>MIA SOIKKELI</t>
  </si>
  <si>
    <t>LANGTEAM TECHNOIOGY(GUANGZHOU)CO.,LTD,</t>
  </si>
  <si>
    <t>FL.5, BLDG.7,</t>
  </si>
  <si>
    <t>SHENLAN INDUSTRIAL PARK</t>
  </si>
  <si>
    <t>HUIJIANG</t>
  </si>
  <si>
    <t>MR.DU</t>
  </si>
  <si>
    <t>WOODEN FLOORING SAMPLES</t>
  </si>
  <si>
    <t>三层复合地板25片(非实木/timerwise牌/规格:300*190*14mm/无型号)(一科重报)货样</t>
  </si>
  <si>
    <t>921959566</t>
  </si>
  <si>
    <t>1100240342423</t>
  </si>
  <si>
    <t>ENWARE AUST P/L</t>
  </si>
  <si>
    <t>9-11 ENDEAVOUR RD</t>
  </si>
  <si>
    <t>CARINGBAH</t>
  </si>
  <si>
    <t>SHARLEEN DECOQUE</t>
  </si>
  <si>
    <t>E-BI INTERNATIONAL SUPPLY</t>
  </si>
  <si>
    <t>FLOOR 12, TOWER C, CHUANGWEI</t>
  </si>
  <si>
    <t>BUILD, 008 GAOXIN SOUTH 1ST RD</t>
  </si>
  <si>
    <t>HIGH TECH PARK</t>
  </si>
  <si>
    <t>LISA HUANG</t>
  </si>
  <si>
    <t>SENSOR TAP</t>
  </si>
  <si>
    <t>水龙头用红外感应器5套(无牌无规格无型号)货样</t>
  </si>
  <si>
    <t>Y525VPT</t>
  </si>
  <si>
    <t>20200424160234</t>
  </si>
  <si>
    <t>三层复合地板货样</t>
  </si>
  <si>
    <t>20200502160305</t>
  </si>
  <si>
    <t>水龙头用红外感应器货样</t>
  </si>
  <si>
    <t>128518795</t>
  </si>
  <si>
    <t>RED DOT GMBH &amp; CO. KG</t>
  </si>
  <si>
    <t>PRODUCT DESIGN,RED DOT JUDGING</t>
  </si>
  <si>
    <t>WITZLEBENSTRASSE 14,45472</t>
  </si>
  <si>
    <t>MUELHEIM AN DER RUHR,DEUTSCHLA</t>
  </si>
  <si>
    <t>MUELHEIM AN DER RUHR</t>
  </si>
  <si>
    <t>MARTIN MECKLENBECK</t>
  </si>
  <si>
    <t>按摩器4个(无牌无规格型号:19-05231-2020PD/-18/CN)货样</t>
  </si>
  <si>
    <t>130650991</t>
  </si>
  <si>
    <t>1100221419688</t>
  </si>
  <si>
    <t>QZD</t>
  </si>
  <si>
    <t>HILTI KFT</t>
  </si>
  <si>
    <t>SZT.ISTVAN KRT 17.</t>
  </si>
  <si>
    <t>KECSKEMET</t>
  </si>
  <si>
    <t>塞格德</t>
  </si>
  <si>
    <t>LASZLO TOTH</t>
  </si>
  <si>
    <t>HILTI (CHINA) LTD.</t>
  </si>
  <si>
    <t>YONGPING ROAD, SOUTH,</t>
  </si>
  <si>
    <t>DEVELOPMENT ZONE</t>
  </si>
  <si>
    <t>ZHANJIANG-XIASHAN</t>
  </si>
  <si>
    <t>湛江</t>
  </si>
  <si>
    <t>KEN LIN</t>
  </si>
  <si>
    <t>ANCHOR RODS</t>
  </si>
  <si>
    <t>碳钢制安卡螺杆50个/不锈钢制安卡螺杆50个(HILTI牌/规格:12mm/型号HDA M12 zinced/ HAD-R M12)(一科重报)货样</t>
  </si>
  <si>
    <t>139331902</t>
  </si>
  <si>
    <t>WINWINTECH TECHNOLOGIES CO.,LT</t>
  </si>
  <si>
    <t>166 S3 CHANG CHUN RD</t>
  </si>
  <si>
    <t>HSIN CHU,CHU TUNG</t>
  </si>
  <si>
    <t>TOM H. WEN</t>
  </si>
  <si>
    <t>ZINWELL CORPORATION</t>
  </si>
  <si>
    <t>2 ROAD,</t>
  </si>
  <si>
    <t>TONG-FU-YU INDUSTRIAL DISTRICT</t>
  </si>
  <si>
    <t>GUANGMING NEW SECTION</t>
  </si>
  <si>
    <t>MR. F. C. CHEN</t>
  </si>
  <si>
    <t>THERMAL PUTTY</t>
  </si>
  <si>
    <t>铁罐5000个(无牌无规格无型号)货样</t>
  </si>
  <si>
    <t>20200424144747</t>
  </si>
  <si>
    <t>按摩器货样</t>
  </si>
  <si>
    <t>20200423144807</t>
  </si>
  <si>
    <t>碳钢制安卡螺杆货样</t>
  </si>
  <si>
    <t>9447</t>
  </si>
  <si>
    <t>-8.6759337928e+11</t>
  </si>
  <si>
    <t>20200502144836</t>
  </si>
  <si>
    <t>铁罐货样</t>
  </si>
  <si>
    <t>554536</t>
  </si>
  <si>
    <t>-101627</t>
  </si>
  <si>
    <t>146844425</t>
  </si>
  <si>
    <t>1100240342478</t>
  </si>
  <si>
    <t>Zschimmer &amp; Schwarz Mohsdorf GmbH &amp; Co.KG</t>
  </si>
  <si>
    <t>Chemnitztalstr. 1</t>
  </si>
  <si>
    <t>BURGSTAEDT</t>
  </si>
  <si>
    <t>03724-67277</t>
  </si>
  <si>
    <t>INES HAEHNEL</t>
  </si>
  <si>
    <t>ZSCHIMMER&amp;SCHWARZ CHEMICAL (FOSHAN) CO. LTD</t>
  </si>
  <si>
    <t>NO. 16, KAIYUAN ROAD, DATANG</t>
  </si>
  <si>
    <t>INDUSTRIAL PARK, SANSHUI</t>
  </si>
  <si>
    <t>MS. PRISCILLA LIN</t>
  </si>
  <si>
    <t>DIAMONTEX PRIMER P</t>
  </si>
  <si>
    <t>塑胶粒1千克(无牌无规格无型号)货样</t>
  </si>
  <si>
    <t>20200507150253</t>
  </si>
  <si>
    <t>135177540</t>
  </si>
  <si>
    <t>SUNNINGDALE TECH (RIGA) SIA</t>
  </si>
  <si>
    <t>SAMPETERA 2</t>
  </si>
  <si>
    <t>LV-1046</t>
  </si>
  <si>
    <t>DMITRIJS NIKOLAJEVS</t>
  </si>
  <si>
    <t>TADLY PRECISION ENGINEERING</t>
  </si>
  <si>
    <t>YUANLIN ROAD 28, TIANKENG VILL</t>
  </si>
  <si>
    <t>YAO</t>
  </si>
  <si>
    <t>塑胶托盘5个(无牌无规格无型号)货样</t>
  </si>
  <si>
    <t>20200502154056</t>
  </si>
  <si>
    <t>塑胶托盘货样</t>
  </si>
  <si>
    <t>148791345</t>
  </si>
  <si>
    <t>1100240342485</t>
  </si>
  <si>
    <t>GINAWORLD CO,LTD.</t>
  </si>
  <si>
    <t>LEE NA RAE</t>
  </si>
  <si>
    <t>ADVANCING TECH CO.LTD</t>
  </si>
  <si>
    <t>ROOM 801A C BLD</t>
  </si>
  <si>
    <t>MINGWAH INTERNATIONAL</t>
  </si>
  <si>
    <t>CONVENTION CENTER,NANSHAN DIST</t>
  </si>
  <si>
    <t>0755-2161-5259</t>
  </si>
  <si>
    <t>SHIN CHUNOK</t>
  </si>
  <si>
    <t>TOY SAMPLE</t>
  </si>
  <si>
    <t>塑胶玩具1套(无牌无规格无型号)货样</t>
  </si>
  <si>
    <t>140849699</t>
  </si>
  <si>
    <t>1100240342492</t>
  </si>
  <si>
    <t>AGP</t>
  </si>
  <si>
    <t>DISENO Y FANTASIA, S.L.</t>
  </si>
  <si>
    <t>C/ CARRIL DE GUITARRA, 38</t>
  </si>
  <si>
    <t>MALAGA</t>
  </si>
  <si>
    <t>马拉加</t>
  </si>
  <si>
    <t>JOSE  RUBI</t>
  </si>
  <si>
    <t>EGGLASTON SERVICES CO.,LTD (NUEVA)</t>
  </si>
  <si>
    <t>2-307 TOD TECHNOLOGY CENTER</t>
  </si>
  <si>
    <t>7 LIPU STREET, BANTIAN, LONGGA</t>
  </si>
  <si>
    <t>86-755-2891-8104</t>
  </si>
  <si>
    <t>BONNIE ZHANG</t>
  </si>
  <si>
    <t>LENGERIE SAMPLES / MUESTRAS DE LENCERIA</t>
  </si>
  <si>
    <t>棉制胸罩2个(无牌无规格无型号)货样</t>
  </si>
  <si>
    <t>141113319</t>
  </si>
  <si>
    <t>1100240342503</t>
  </si>
  <si>
    <t>BTS</t>
  </si>
  <si>
    <t>BGA GROUP, S.R.O.</t>
  </si>
  <si>
    <t>SK</t>
  </si>
  <si>
    <t>斯洛伐克共和国</t>
  </si>
  <si>
    <t>VYPYTAT VYZDVIHOVACIU ADRESU -</t>
  </si>
  <si>
    <t>BRATISLAVA</t>
  </si>
  <si>
    <t>塞拉利昂</t>
  </si>
  <si>
    <t>811 05</t>
  </si>
  <si>
    <t>ARTEM SALICHOV</t>
  </si>
  <si>
    <t>DONGGUAN FORWEL SPORTS EQUIPMENT LIMITED</t>
  </si>
  <si>
    <t>NO.7, STREET 1, 128 INDUSTRIAL</t>
  </si>
  <si>
    <t>MS CHANG YUING-LI</t>
  </si>
  <si>
    <t>ELECTRONICS SPARE PARTS</t>
  </si>
  <si>
    <t>天线1条(无牌无规格无型号)货样</t>
  </si>
  <si>
    <t>150159319</t>
  </si>
  <si>
    <t>RADINN PRODUCTION SP. Z O.O.</t>
  </si>
  <si>
    <t>UL. STRZELCA 42</t>
  </si>
  <si>
    <t>GDANSK</t>
  </si>
  <si>
    <t>80-299</t>
  </si>
  <si>
    <t>PAULINA STENKA</t>
  </si>
  <si>
    <t>SIXPACK TECHNOLOGY CO., LTD</t>
  </si>
  <si>
    <t>5TH FLOOR, 2ND BUILDING</t>
  </si>
  <si>
    <t>NO13 PINGJI ROAD,NANWAN STREET</t>
  </si>
  <si>
    <t>KAY</t>
  </si>
  <si>
    <t>90XBATTERY CONNECTORS</t>
  </si>
  <si>
    <t>电池组用插头(塑胶+铜)90个(无牌无规格无型号)货样</t>
  </si>
  <si>
    <t>20200508152657</t>
  </si>
  <si>
    <t>塑胶玩具货样</t>
  </si>
  <si>
    <t>22013</t>
  </si>
  <si>
    <t>246.41</t>
  </si>
  <si>
    <t>20200509152720</t>
  </si>
  <si>
    <t>棉制胸罩货样</t>
  </si>
  <si>
    <t>29004</t>
  </si>
  <si>
    <t>239.53</t>
  </si>
  <si>
    <t>20200510152738</t>
  </si>
  <si>
    <t>天线货样</t>
  </si>
  <si>
    <t>76987987628</t>
  </si>
  <si>
    <t>1012.2</t>
  </si>
  <si>
    <t>电池组用插头(塑胶+铜)货样</t>
  </si>
  <si>
    <t>-8.6136409281e+12</t>
  </si>
  <si>
    <t>4576.13</t>
  </si>
  <si>
    <t>151429587</t>
  </si>
  <si>
    <t>1100240342534</t>
  </si>
  <si>
    <t>EMEA HANDELSGESELLSCHAFT MBH</t>
  </si>
  <si>
    <t>WALLNERSTRASSE 3/17</t>
  </si>
  <si>
    <t>WIEN</t>
  </si>
  <si>
    <t>REBECCA CRESTANI</t>
  </si>
  <si>
    <t>BEAUTY MARK LTD.</t>
  </si>
  <si>
    <t>124 YU XIN RD., GUANLAN TOWN</t>
  </si>
  <si>
    <t>SHENZHEN, GUANG DONG PROVINCE</t>
  </si>
  <si>
    <t>CORRINE</t>
  </si>
  <si>
    <t>APPROVAL BOARDS</t>
  </si>
  <si>
    <t>塑胶板20块(无牌无规格无型号)货样</t>
  </si>
  <si>
    <t>137741502</t>
  </si>
  <si>
    <t>1100240342558</t>
  </si>
  <si>
    <t>49A</t>
  </si>
  <si>
    <t>DALIVAL SAS</t>
  </si>
  <si>
    <t>STATION DE BASSE</t>
  </si>
  <si>
    <t>LIEU DIT LES ESSARTS</t>
  </si>
  <si>
    <t>SEICHES SUR LE LOIR</t>
  </si>
  <si>
    <t>特雷泽</t>
  </si>
  <si>
    <t>FREMOND MAITE</t>
  </si>
  <si>
    <t>SHENZHEN JOY WING MAU FRUIT TECHNOLOGY CO. LTD</t>
  </si>
  <si>
    <t>10F, HUA NAN AVENUE</t>
  </si>
  <si>
    <t>PINGHU SUB-DISTRICT - LONGGANG</t>
  </si>
  <si>
    <t>SHUANG LIU</t>
  </si>
  <si>
    <t>LABORATORY DEVICE</t>
  </si>
  <si>
    <t>侧流试纸条检测盒25套(100ml即用型植物提取缓冲液)(无牌无规格无型号)货样</t>
  </si>
  <si>
    <t>480606221</t>
  </si>
  <si>
    <t>1100240342565</t>
  </si>
  <si>
    <t>Polymer Service PSG GmbH</t>
  </si>
  <si>
    <t>Beckedorfer Bogen 5</t>
  </si>
  <si>
    <t>SEEVETAL</t>
  </si>
  <si>
    <t>FRAU KATRIN MEYER</t>
  </si>
  <si>
    <t>JIANGMEN YOUJUNEW MATERIALS CO</t>
  </si>
  <si>
    <t>NO.291,LONGXI ROAD,HI-TECH</t>
  </si>
  <si>
    <t>ZONE, JIANGHAI DIST.</t>
  </si>
  <si>
    <t>BERYL YUEN</t>
  </si>
  <si>
    <t>SAMPLE</t>
  </si>
  <si>
    <t>PPSU聚酯塑胶粒5千克(无牌无规格无型号)货样</t>
  </si>
  <si>
    <t>549290341</t>
  </si>
  <si>
    <t>ITA Austria Consulting GmbH</t>
  </si>
  <si>
    <t>Michael Walz Gasse 37</t>
  </si>
  <si>
    <t>SALZBURG</t>
  </si>
  <si>
    <t>WINKELMANN</t>
  </si>
  <si>
    <t>PROVIDENCE PLASTICS LTD.</t>
  </si>
  <si>
    <t>HENGGANG STREET</t>
  </si>
  <si>
    <t>JINGTIE INDUSTRIAL PARK</t>
  </si>
  <si>
    <t>COCO COCO</t>
  </si>
  <si>
    <t>PVC-PART</t>
  </si>
  <si>
    <t>PP聚酯塑胶粒21.9千克(无牌无规格无型号)货样</t>
  </si>
  <si>
    <t>844535964</t>
  </si>
  <si>
    <t>VBS</t>
  </si>
  <si>
    <t>BRESCIA STAMPI SRL</t>
  </si>
  <si>
    <t>VIA G DI VITTORIO 20</t>
  </si>
  <si>
    <t>CASTEGNATO</t>
  </si>
  <si>
    <t>布雷西亚</t>
  </si>
  <si>
    <t>BS</t>
  </si>
  <si>
    <t>PAOLO BRODINI</t>
  </si>
  <si>
    <t>ZHONGSHAN ZHIYUAN PLASTICS   METALS</t>
  </si>
  <si>
    <t>NO.80 TONGLE EAST ROAD</t>
  </si>
  <si>
    <t>NANTOU TOWN</t>
  </si>
  <si>
    <t>SIG. HE - SIG.RA WU</t>
  </si>
  <si>
    <t>RUNNER GUNTHER</t>
  </si>
  <si>
    <t>钢制热流道控制器1件(GUNTHER牌无规格型号GCP1-1-160-8SHT2-100S)货样</t>
  </si>
  <si>
    <t>154710638</t>
  </si>
  <si>
    <t>1100240342596</t>
  </si>
  <si>
    <t>NT4</t>
  </si>
  <si>
    <t>Microlise Engineering Ltd</t>
  </si>
  <si>
    <t>Farrington Way,</t>
  </si>
  <si>
    <t>NOTTINGHAM</t>
  </si>
  <si>
    <t>诺丁汉</t>
  </si>
  <si>
    <t>NOTTINGHAMSHIRE</t>
  </si>
  <si>
    <t>NG16 3AG</t>
  </si>
  <si>
    <t>KIM.ALCOCK</t>
  </si>
  <si>
    <t>TOPICON CO</t>
  </si>
  <si>
    <t>TOPICON</t>
  </si>
  <si>
    <t>ROOM 2314-2316, TOWER C,</t>
  </si>
  <si>
    <t>HUANGDU PLAZA</t>
  </si>
  <si>
    <t>YITIAN ROAD</t>
  </si>
  <si>
    <t>MAGGIE</t>
  </si>
  <si>
    <t>ANDROID TABLET</t>
  </si>
  <si>
    <t>安卓平板电脑2个(无牌无规格无型号)货样</t>
  </si>
  <si>
    <t>压缩成功</t>
  </si>
  <si>
    <t>XIUYAN WANG</t>
  </si>
  <si>
    <t>E/ISOLIERTEILE AUS KUNSTSTOFF</t>
  </si>
  <si>
    <t>塑料制品889千克货样</t>
  </si>
  <si>
    <t>20200519151449</t>
  </si>
  <si>
    <t>安卓平板电脑货样</t>
  </si>
  <si>
    <t>44340</t>
  </si>
  <si>
    <t>-8.6158147664e+12</t>
  </si>
  <si>
    <t>1745.97</t>
  </si>
  <si>
    <t>20200516151449</t>
  </si>
  <si>
    <t>PPSU聚酯塑胶粒货样</t>
  </si>
  <si>
    <t>70094231</t>
  </si>
  <si>
    <t>21218</t>
  </si>
  <si>
    <t>8.6750369727e+11</t>
  </si>
  <si>
    <t>2013973</t>
  </si>
  <si>
    <t>5020</t>
  </si>
  <si>
    <t>-8.6075523306e+13</t>
  </si>
  <si>
    <t>2940.01</t>
  </si>
  <si>
    <t>钢制热流道控制器货样</t>
  </si>
  <si>
    <t>225778</t>
  </si>
  <si>
    <t>25045</t>
  </si>
  <si>
    <t>76023380063</t>
  </si>
  <si>
    <t>2300</t>
  </si>
  <si>
    <t>塑料制品货样</t>
  </si>
  <si>
    <t>310387943M0201</t>
  </si>
  <si>
    <t>310387943M0202</t>
  </si>
  <si>
    <t>20200519151702</t>
  </si>
  <si>
    <t>114560</t>
  </si>
  <si>
    <t>20200513151813</t>
  </si>
  <si>
    <t>2011356</t>
  </si>
  <si>
    <t>-28162546</t>
  </si>
  <si>
    <t>20200515151854</t>
  </si>
  <si>
    <t>侧流试纸条检测盒货样</t>
  </si>
  <si>
    <t>100003283</t>
  </si>
  <si>
    <t>-8.6136354165e+12</t>
  </si>
  <si>
    <t>20200519152048</t>
  </si>
  <si>
    <t>20200516152129</t>
  </si>
  <si>
    <t>155543494</t>
  </si>
  <si>
    <t>CH3</t>
  </si>
  <si>
    <t>HMT</t>
  </si>
  <si>
    <t>251-36, JISAN-RO</t>
  </si>
  <si>
    <t>PYEONGTAEK-SI</t>
  </si>
  <si>
    <t>天安</t>
  </si>
  <si>
    <t>LEE YONG KUK</t>
  </si>
  <si>
    <t>重庆建设韩昂汽车热管理系统有限公司</t>
  </si>
  <si>
    <t>HANON JIANSHE AUTOMOTIVE THERMAL SYSTEMS CO. LTD.</t>
  </si>
  <si>
    <t>NO.1, JIANSHE ROAD BANAN DIST</t>
  </si>
  <si>
    <t>CHONGQING,CHINA</t>
  </si>
  <si>
    <t>CHONGQING-BANAN</t>
  </si>
  <si>
    <t>M.ZHAO BO</t>
  </si>
  <si>
    <t>ROTARY CYLINDER</t>
  </si>
  <si>
    <t>麦克风1个/双头螺栓紧固套筒2个/油孔螺栓紧固套筒2个等品名详见清单(品牌/规格型号详见清单)(自扣)货样</t>
  </si>
  <si>
    <t>156615484</t>
  </si>
  <si>
    <t>1100240342572</t>
  </si>
  <si>
    <t>PUS</t>
  </si>
  <si>
    <t>ECO GLOBAL CO.LTD</t>
  </si>
  <si>
    <t>26 DAECHEONG-RO 104BEON-GIL</t>
  </si>
  <si>
    <t>GIMHAE-SI</t>
  </si>
  <si>
    <t>釜山</t>
  </si>
  <si>
    <t>GYEONGSANGNAM-DO</t>
  </si>
  <si>
    <t>ECO</t>
  </si>
  <si>
    <t>SHENZHEN JANE YI TRADE CO.,LTD</t>
  </si>
  <si>
    <t>1 BUILDING SIX ROAD 22</t>
  </si>
  <si>
    <t>CHUANG BEI ER CUN INDUSTRIAL</t>
  </si>
  <si>
    <t>ZONE LONGLIAN STREETM LONGGANG</t>
  </si>
  <si>
    <t>SHENZHEN JANE YI</t>
  </si>
  <si>
    <t>DECOR SIDE</t>
  </si>
  <si>
    <t>塑胶装饰品2个(无牌无规格无型号)货样</t>
  </si>
  <si>
    <t>1100240342621</t>
  </si>
  <si>
    <t>20200521150228</t>
  </si>
  <si>
    <t>麦克风货样</t>
  </si>
  <si>
    <t>20200517150306</t>
  </si>
  <si>
    <t>塑胶装饰品货样</t>
  </si>
  <si>
    <t>139143524</t>
  </si>
  <si>
    <t>VGN</t>
  </si>
  <si>
    <t>KOCO MOTION GmbH Import</t>
  </si>
  <si>
    <t>Niedereschacher Str. 54</t>
  </si>
  <si>
    <t>DAUCHINGEN</t>
  </si>
  <si>
    <t>南非</t>
  </si>
  <si>
    <t>MARITA FABISCH</t>
  </si>
  <si>
    <t>SHENZHEN HENGDRIVE ELECTRIC CO., LTD</t>
  </si>
  <si>
    <t>BUILDING A,FUNING HI-TECH PARK</t>
  </si>
  <si>
    <t>71-1  XINTIAN ROAD,FUYONG,</t>
  </si>
  <si>
    <t>BAOAN DISTRICT,GUANGDONG PROV</t>
  </si>
  <si>
    <t>MRS. TINA CHEN</t>
  </si>
  <si>
    <t>端子4500个(无牌无规格/型号:M015658)货样</t>
  </si>
  <si>
    <t>20200509152409</t>
  </si>
  <si>
    <t>端子货样</t>
  </si>
  <si>
    <t>167265299</t>
  </si>
  <si>
    <t>1100240342732</t>
  </si>
  <si>
    <t>WISELINK TECHNOLOGY PTE LTD</t>
  </si>
  <si>
    <t>629 ALJUNIED ROAD</t>
  </si>
  <si>
    <t>CITITECH INDUSTRIAL BLDG</t>
  </si>
  <si>
    <t>LINA WONG</t>
  </si>
  <si>
    <t>PUSHTON LIMITED</t>
  </si>
  <si>
    <t>ROOM4011/4028, LINZHAN FORTUNE</t>
  </si>
  <si>
    <t>BUILDING, SHENFENG ROAD</t>
  </si>
  <si>
    <t>HENGGANG,</t>
  </si>
  <si>
    <t>NATHAN</t>
  </si>
  <si>
    <t>INTERCONNECT TARGET CONNECTOR ,ELECTRONICS COMPONENTS</t>
  </si>
  <si>
    <t>电子连接件10600个(无牌无规格无型号)货样</t>
  </si>
  <si>
    <t>259425938</t>
  </si>
  <si>
    <t>1100240342718</t>
  </si>
  <si>
    <t>DRESSER PRODUITS INDUSTRIELS</t>
  </si>
  <si>
    <t>SHENZHEN VISION ELECTROMECHANICAL</t>
  </si>
  <si>
    <t>NO 405 - BLOCK A - HAISONG BUI</t>
  </si>
  <si>
    <t>TAIRAN 9TH ROAD - CHE KUNG TEM</t>
  </si>
  <si>
    <t>EVA WANG</t>
  </si>
  <si>
    <t>FILTER MATERIEL</t>
  </si>
  <si>
    <t>过滤器配件0.06千克货样</t>
  </si>
  <si>
    <t>926194194</t>
  </si>
  <si>
    <t>1100240342589</t>
  </si>
  <si>
    <t>SEK</t>
  </si>
  <si>
    <t>HUMPHREE AB</t>
  </si>
  <si>
    <t>GRIMBO SEN 16</t>
  </si>
  <si>
    <t>GOTEBORG</t>
  </si>
  <si>
    <t>417 49</t>
  </si>
  <si>
    <t>POMPOJ  PHENGJAN</t>
  </si>
  <si>
    <t>AFAI SOUTHERN SHIPYARD LTD</t>
  </si>
  <si>
    <t>NO. 40 XINING ROAD SHA XI</t>
  </si>
  <si>
    <t>LUO PU STREET,</t>
  </si>
  <si>
    <t>511430 PANYU GUANGZHOU</t>
  </si>
  <si>
    <t>MR LI YING PENG</t>
  </si>
  <si>
    <t>SERVO UNIT</t>
  </si>
  <si>
    <t>马达1 套(内含不锈钢垫圈2个/无牌无规格无型号)货样</t>
  </si>
  <si>
    <t>20200531155608</t>
  </si>
  <si>
    <t>电子连接件货样</t>
  </si>
  <si>
    <t>389838</t>
  </si>
  <si>
    <t>20200529155643</t>
  </si>
  <si>
    <t>过滤器配件货样</t>
  </si>
  <si>
    <t>20200518155720</t>
  </si>
  <si>
    <t>马达货样</t>
  </si>
  <si>
    <t>100556365</t>
  </si>
  <si>
    <t>1100240342218</t>
  </si>
  <si>
    <t>CM7</t>
  </si>
  <si>
    <t>ISTANBUL COMAIL GONDERILERI</t>
  </si>
  <si>
    <t>INKILAP MAH.SITEYOLU SOK.</t>
  </si>
  <si>
    <t>NO.21 UMRANIYE</t>
  </si>
  <si>
    <t>UMRANIYE</t>
  </si>
  <si>
    <t>伊斯坦布尔</t>
  </si>
  <si>
    <t>EDA SENCAR ATALAY</t>
  </si>
  <si>
    <t>LANCHAO TECH CO.,LTD</t>
  </si>
  <si>
    <t>9 ,SHIHUA AVE,XIQU,DAYAWAN</t>
  </si>
  <si>
    <t>0133-52787345</t>
  </si>
  <si>
    <t>MR_HUANG</t>
  </si>
  <si>
    <t>CHILDREN TOY</t>
  </si>
  <si>
    <t>玩具1个(无牌无规格无型号)货样</t>
  </si>
  <si>
    <t>91441300MA4WHBGU32</t>
  </si>
  <si>
    <t>101122771</t>
  </si>
  <si>
    <t>hfh Solutions GmbH &amp; Co. KG</t>
  </si>
  <si>
    <t>Kalkstr. 17</t>
  </si>
  <si>
    <t>BECKUM</t>
  </si>
  <si>
    <t>RAMONA HEIM</t>
  </si>
  <si>
    <t>CREESING ELECTRONICS TECHNOLOGY CO. LTD.</t>
  </si>
  <si>
    <t>NO. 13 GUANZHANG WEST ROAD</t>
  </si>
  <si>
    <t>ZHANGMUTOU TOWN</t>
  </si>
  <si>
    <t>TONY ZHANG</t>
  </si>
  <si>
    <t>LED EXTENSION CABLE,</t>
  </si>
  <si>
    <t>LED连接线4条/LED橱柜灯3个(无牌无规格无型号)货样</t>
  </si>
  <si>
    <t>930107264</t>
  </si>
  <si>
    <t>IZM</t>
  </si>
  <si>
    <t>EGEMEN HEDIYELIK ESYA OYUN.ZUC.ELEK.GIDA</t>
  </si>
  <si>
    <t>TEKS.INS.AMB.SAN.VE.TIC.A.S.</t>
  </si>
  <si>
    <t>GURPINAR MAH.7234 SOKAK</t>
  </si>
  <si>
    <t>NO:2/A ISIKKENT</t>
  </si>
  <si>
    <t>BORNOVA</t>
  </si>
  <si>
    <t>伊兹密尔</t>
  </si>
  <si>
    <t>IZMIR</t>
  </si>
  <si>
    <t>ONUR  ARPACAY</t>
  </si>
  <si>
    <t>ZHAOQING HAOMING ORGANIC SILICON MATERIAL CO.,LTD</t>
  </si>
  <si>
    <t>LIANHUA DEVELOPMENT ZONE,</t>
  </si>
  <si>
    <t>DINGHU DISTRICT, ZHAOQING</t>
  </si>
  <si>
    <t>0086-13715492084</t>
  </si>
  <si>
    <t>MANDY HONG</t>
  </si>
  <si>
    <t>KITCHEN COOKWARE</t>
  </si>
  <si>
    <t>铝锅3个/铝制锅盖4个(无牌无规格无型号)货样</t>
  </si>
  <si>
    <t>930606272</t>
  </si>
  <si>
    <t>COSA ELECTRONICS</t>
  </si>
  <si>
    <t>MEIRSEWEG 46</t>
  </si>
  <si>
    <t>ZUNDERT</t>
  </si>
  <si>
    <t>4881 MJ</t>
  </si>
  <si>
    <t>FRANK  WAGEMAKERS</t>
  </si>
  <si>
    <t>RDI TECHNOLOGY (SHENZHEN) CO., LTD.</t>
  </si>
  <si>
    <t>101 TO 401, BUILDING 1, AND 2</t>
  </si>
  <si>
    <t>NO. 7 YONGYUE ROAD</t>
  </si>
  <si>
    <t>EAST BAISHIXIA, FUYONG</t>
  </si>
  <si>
    <t>0755-27308306</t>
  </si>
  <si>
    <t>MISS_HE</t>
  </si>
  <si>
    <t>SAMPLE BAYPHONE CAMERA DEFECTS</t>
  </si>
  <si>
    <t>摄像头4个(LELRO牌无规格型号BC3000)货样</t>
  </si>
  <si>
    <t>91440300779857867B</t>
  </si>
  <si>
    <t>311024991</t>
  </si>
  <si>
    <t>1100240342249</t>
  </si>
  <si>
    <t>OPEN 24 SEVEN LTD</t>
  </si>
  <si>
    <t>OPEN  SEVEN LTD</t>
  </si>
  <si>
    <t>UNIT 3 NETHAM VIEW INDUSTRIAL</t>
  </si>
  <si>
    <t>PARK   NETHAM ROAD</t>
  </si>
  <si>
    <t>BRISTOL</t>
  </si>
  <si>
    <t>BS5 9PQ</t>
  </si>
  <si>
    <t>STEVE SHEPPARD/EXT5</t>
  </si>
  <si>
    <t>FAULTY WIRELESS BIRD BOX CAMERA IR NIGHT VISION 700TVL CA</t>
  </si>
  <si>
    <t>安防摄像头150个(greenfeathers牌无规格型号NCC701G)货样</t>
  </si>
  <si>
    <t>930493841</t>
  </si>
  <si>
    <t>RCACCORD</t>
  </si>
  <si>
    <t>阀门用连接件78千克货样(自扣自报关)货样</t>
  </si>
  <si>
    <t>20200607133703</t>
  </si>
  <si>
    <t>阀门用连接件货样</t>
  </si>
  <si>
    <t>131648</t>
  </si>
  <si>
    <t>66793.46</t>
  </si>
  <si>
    <t>20200607133754</t>
  </si>
  <si>
    <t>安防摄像头货样</t>
  </si>
  <si>
    <t>3801.71</t>
  </si>
  <si>
    <t>20200606133952</t>
  </si>
  <si>
    <t>玩具货样</t>
  </si>
  <si>
    <t>799999</t>
  </si>
  <si>
    <t>6005321</t>
  </si>
  <si>
    <t>34768</t>
  </si>
  <si>
    <t>253.45</t>
  </si>
  <si>
    <t>LED连接线货样</t>
  </si>
  <si>
    <t>70451518</t>
  </si>
  <si>
    <t>59269</t>
  </si>
  <si>
    <t>-8.6189257698e+12</t>
  </si>
  <si>
    <t>231.8</t>
  </si>
  <si>
    <t>铝锅货样</t>
  </si>
  <si>
    <t>820777</t>
  </si>
  <si>
    <t>35060</t>
  </si>
  <si>
    <t>1120</t>
  </si>
  <si>
    <t>摄像头货样</t>
  </si>
  <si>
    <t>85063795</t>
  </si>
  <si>
    <t>41787</t>
  </si>
  <si>
    <t>422.41</t>
  </si>
  <si>
    <t>811086980</t>
  </si>
  <si>
    <t>SD6</t>
  </si>
  <si>
    <t>2M SPAIN SL</t>
  </si>
  <si>
    <t>M SPAIN SL</t>
  </si>
  <si>
    <t>C/ LA ALBERICIA, 1</t>
  </si>
  <si>
    <t>SANTANDER</t>
  </si>
  <si>
    <t>桑坦德</t>
  </si>
  <si>
    <t>CANTABRIA</t>
  </si>
  <si>
    <t>2M SPAIN S.L</t>
  </si>
  <si>
    <t>汇新模具工业(东莞)有限公司</t>
  </si>
  <si>
    <t>GLOBALONE DONGGUANG CO LTD</t>
  </si>
  <si>
    <t>BUILDING B, XIANHAO IND.L PARK</t>
  </si>
  <si>
    <t>HUANGJIANG TOWN</t>
  </si>
  <si>
    <t>-</t>
  </si>
  <si>
    <t>PLASTIC PIECES/ PIEZAS DE PLASTICO</t>
  </si>
  <si>
    <t>塑胶粒47千克(用于测试注塑模具的功能性/材质:PP/MASSOPLEN牌/无规格/型号:PP-MD20)(自扣)货样</t>
  </si>
  <si>
    <t>540877214</t>
  </si>
  <si>
    <t>1100240342027</t>
  </si>
  <si>
    <t>I.R.A. ISTITUTO RICERCHE APPLICATE SPA</t>
  </si>
  <si>
    <t>VIA DELLE INDUSTRIE 8</t>
  </si>
  <si>
    <t>USMATE</t>
  </si>
  <si>
    <t>MANUELA COLOMBO</t>
  </si>
  <si>
    <t>SETHIC INTERNATIONAL</t>
  </si>
  <si>
    <t>N. 32 HONGYUAN ROAD</t>
  </si>
  <si>
    <t>ECONOMIC   TECHNOLOGICAL</t>
  </si>
  <si>
    <t>CONNIE LIU</t>
  </si>
  <si>
    <t>SAMPLES OF RAW MATERIAL FOR COSMETIC USE</t>
  </si>
  <si>
    <t>化工产品2千克货样(暂扣/待确认清关信息)货样</t>
  </si>
  <si>
    <t>116412642</t>
  </si>
  <si>
    <t>1100240342072</t>
  </si>
  <si>
    <t>MOLECUBES NV</t>
  </si>
  <si>
    <t>OTTERGEMSESTEENWEG-</t>
  </si>
  <si>
    <t>808 BUS 325</t>
  </si>
  <si>
    <t>GENT</t>
  </si>
  <si>
    <t>DIETER DE PLANTER</t>
  </si>
  <si>
    <t>SENRING ELECTRONICS CO.,LIMITED</t>
  </si>
  <si>
    <t>F4, BLD. B, QIAOYUN IND. PARK</t>
  </si>
  <si>
    <t>NO. 1  DAHUA  ROAD</t>
  </si>
  <si>
    <t>EILEEN LI</t>
  </si>
  <si>
    <t>SLIP RINGS</t>
  </si>
  <si>
    <t>导电滑环1个(SENRING牌无规格/型号:SNK130-0510-03S-1E)货样</t>
  </si>
  <si>
    <t>118996938</t>
  </si>
  <si>
    <t>AEROEXPRES  ALICANTE S.L.</t>
  </si>
  <si>
    <t>CALLE METEORITO 33, BUZON 316</t>
  </si>
  <si>
    <t>JOSE MANUEL</t>
  </si>
  <si>
    <t>TIANZHENG CORPORATION</t>
  </si>
  <si>
    <t>NO.5 HUATIAN NORTH 4TH RD.</t>
  </si>
  <si>
    <t>HUAKOU IND.ZONE, RONGGUI</t>
  </si>
  <si>
    <t>IMPORT.</t>
  </si>
  <si>
    <t>PLASTIC MANUFACTURES/ MANUFACTURAS DE PLASTICO</t>
  </si>
  <si>
    <t>塑料杯50个(无牌无规格无型号)货样</t>
  </si>
  <si>
    <t>540340071</t>
  </si>
  <si>
    <t>RMZ</t>
  </si>
  <si>
    <t>INTERMARK SISTEMI SRL</t>
  </si>
  <si>
    <t>VIA LITTA MODIGNANI 37</t>
  </si>
  <si>
    <t>LUISA SALVATORE</t>
  </si>
  <si>
    <t>深圳市明日实业有限公司</t>
  </si>
  <si>
    <t>MINRRAY INDUSTRY CO. LTD</t>
  </si>
  <si>
    <t>TECHNOLOGY PARK GANLI RD</t>
  </si>
  <si>
    <t>LILANG BLVD.BUJI</t>
  </si>
  <si>
    <t>JILL LIANG</t>
  </si>
  <si>
    <t>FAULTY CAMERA</t>
  </si>
  <si>
    <t>摄像头1个(Minrray牌无规格型号UV950AS-20-ST-IR)货样</t>
  </si>
  <si>
    <t>729600495</t>
  </si>
  <si>
    <t>SUZUHO CO.,LTD</t>
  </si>
  <si>
    <t>2F PLUS ONE BLDG</t>
  </si>
  <si>
    <t>KAMIOSAKI.SHINAGAWA-KU</t>
  </si>
  <si>
    <t>MR. SUZUKI</t>
  </si>
  <si>
    <t>SHENZHEN YUHE DIAMOND TOOLS CO., LTD</t>
  </si>
  <si>
    <t>4F,BULIDING 27,LIANCHUANG</t>
  </si>
  <si>
    <t>TECHNOLOGY PARK,NO.21,BULAN RD</t>
  </si>
  <si>
    <t>NANWAN STREET,LONGGANGDISTRICT</t>
  </si>
  <si>
    <t>YOLANDA OU</t>
  </si>
  <si>
    <t>SAMPLE RINGS  A : PT 950</t>
  </si>
  <si>
    <t>铂金戒指3个/18K金戒指1个(无牌无规格无型号)货样</t>
  </si>
  <si>
    <t>119235408</t>
  </si>
  <si>
    <t>1100240342096</t>
  </si>
  <si>
    <t>KSC</t>
  </si>
  <si>
    <t>SEAK, S.R.O.</t>
  </si>
  <si>
    <t>LEVOCSKA 109</t>
  </si>
  <si>
    <t>PRESOV</t>
  </si>
  <si>
    <t>科希策</t>
  </si>
  <si>
    <t>080 01</t>
  </si>
  <si>
    <t>PETER MOCAK</t>
  </si>
  <si>
    <t>SHENZHEN SED INDUSTRY CO., LTD.</t>
  </si>
  <si>
    <t>15/F, SANGDA (SED) SCIENCE AND</t>
  </si>
  <si>
    <t>TECHNOLOGY  BUILDING1 KEJIROAD</t>
  </si>
  <si>
    <t>HI-TECH INDUSTRIAL PARKNANSHAN</t>
  </si>
  <si>
    <t>JOHNSON CAO</t>
  </si>
  <si>
    <t>ELECTRONICS - SAMPLE OF PROCESSORS</t>
  </si>
  <si>
    <t>集成电路200个(LED电源里面用的IC/无牌无规格无型号)(一科重报)货样</t>
  </si>
  <si>
    <t>120566954</t>
  </si>
  <si>
    <t>PR1</t>
  </si>
  <si>
    <t>STEINEL ELECTRONIC SRL</t>
  </si>
  <si>
    <t>STR. RIMNICU VILCEA  NR.79</t>
  </si>
  <si>
    <t>JUD.ARGES</t>
  </si>
  <si>
    <t>J03/676/2009</t>
  </si>
  <si>
    <t>CURTEA DE ARGES</t>
  </si>
  <si>
    <t>皮特斯蒂</t>
  </si>
  <si>
    <t>ARGES</t>
  </si>
  <si>
    <t>LUCIAN UNGUREANU</t>
  </si>
  <si>
    <t>SHENZHEN SANPIN MOULD CO.,LTD</t>
  </si>
  <si>
    <t>NO.16-A, SHAPUWEI VILLAGE</t>
  </si>
  <si>
    <t>GRACE XU</t>
  </si>
  <si>
    <t>HOUSING PART</t>
  </si>
  <si>
    <t>塑料杯2个(无牌无规格无型号)货样</t>
  </si>
  <si>
    <t>122086862</t>
  </si>
  <si>
    <t>ZLS</t>
  </si>
  <si>
    <t>Orluna LED Technologies Ltd</t>
  </si>
  <si>
    <t>Unit C,Holly Industrial Park</t>
  </si>
  <si>
    <t>Ryan Way</t>
  </si>
  <si>
    <t>WATFORD</t>
  </si>
  <si>
    <t>HERTFORDSHIRE</t>
  </si>
  <si>
    <t>WD24 4YP</t>
  </si>
  <si>
    <t>CHARLOTTE INCE</t>
  </si>
  <si>
    <t>SHENZHEN XUANCAI ELECTRONIC CO.,LTD</t>
  </si>
  <si>
    <t>3/F, F BUILDING,</t>
  </si>
  <si>
    <t>MAOYUAN INDUSTRIAL AREA</t>
  </si>
  <si>
    <t>KELAN</t>
  </si>
  <si>
    <t>发光二极管20400个(无牌无规格无型号)货样</t>
  </si>
  <si>
    <t>835654552</t>
  </si>
  <si>
    <t>SERENUR S.L.</t>
  </si>
  <si>
    <t>ANTONIO 27</t>
  </si>
  <si>
    <t>MARIA JESUS</t>
  </si>
  <si>
    <t>DIGCHIP TECHNOLOGY</t>
  </si>
  <si>
    <t>RM2502 DYNAMIC BUILDING</t>
  </si>
  <si>
    <t>ZHONGHANG ROAD</t>
  </si>
  <si>
    <t>HUAQIANG NORTH FUTIAN</t>
  </si>
  <si>
    <t>ELISA</t>
  </si>
  <si>
    <t>INFORMATIC MATERIAL AND CD S/MATERIAL INFORMATICO Y DS S</t>
  </si>
  <si>
    <t>集成电路598块(无牌无规格型号OV7620)货样</t>
  </si>
  <si>
    <t>ZRB</t>
  </si>
  <si>
    <t>SGS Institut Fresenius GmbH</t>
  </si>
  <si>
    <t>Im Maisel 14</t>
  </si>
  <si>
    <t>TAUNUSSTEIN</t>
  </si>
  <si>
    <t>威斯巴登</t>
  </si>
  <si>
    <t>Gerd Sch?ler</t>
  </si>
  <si>
    <t>SGS CSTC STANDARTS TECHNICAL SERVICE</t>
  </si>
  <si>
    <t>198 KEZHU ROAD</t>
  </si>
  <si>
    <t>SCIENTECH PARK</t>
  </si>
  <si>
    <t>GUANGZHOU ECONOMOC   TECHNOLOG</t>
  </si>
  <si>
    <t>LINDA LAM</t>
  </si>
  <si>
    <t>MINI SUNGLASSES</t>
  </si>
  <si>
    <t>迷你太阳镜1套(无牌无规格无型号)货样</t>
  </si>
  <si>
    <t>1100240342114</t>
  </si>
  <si>
    <t>水杨酸0.5千克/活力视黄醇0.5千克/纳米减脂剂1千克货样(正式报关)货样</t>
  </si>
  <si>
    <t>20200622141835</t>
  </si>
  <si>
    <t>化工产品货样</t>
  </si>
  <si>
    <t>20865</t>
  </si>
  <si>
    <t>39.92</t>
  </si>
  <si>
    <r>
      <t xml:space="preserve">    </t>
    </r>
    <r>
      <rPr>
        <sz val="18"/>
        <rFont val="宋体"/>
        <family val="3"/>
        <charset val="134"/>
      </rPr>
      <t>由于我客户提供重量错误，导入公路舱单数据不正确。现向海关提出删除舱单。给海关工作带来不便深表歉意，请予以批准！谢谢！</t>
    </r>
    <phoneticPr fontId="1" type="noConversion"/>
  </si>
  <si>
    <t>897156671</t>
  </si>
  <si>
    <t>1100240342121</t>
  </si>
  <si>
    <t>20200701142349</t>
  </si>
  <si>
    <t>39012</t>
  </si>
  <si>
    <t>1786</t>
  </si>
  <si>
    <t>20200627142421</t>
  </si>
  <si>
    <t>导电滑环货样</t>
  </si>
  <si>
    <t>9000</t>
  </si>
  <si>
    <t>318.93</t>
  </si>
  <si>
    <t>塑料杯货样</t>
  </si>
  <si>
    <t>3006</t>
  </si>
  <si>
    <t>199.59</t>
  </si>
  <si>
    <t>144</t>
  </si>
  <si>
    <t>2126.19</t>
  </si>
  <si>
    <t>铂金戒指货样</t>
  </si>
  <si>
    <t>12492</t>
  </si>
  <si>
    <t>1410021</t>
  </si>
  <si>
    <t>2970.59</t>
  </si>
  <si>
    <t>20200628142447</t>
  </si>
  <si>
    <t>360</t>
  </si>
  <si>
    <t>115300</t>
  </si>
  <si>
    <t>255.48</t>
  </si>
  <si>
    <t>2000</t>
  </si>
  <si>
    <t>28029</t>
  </si>
  <si>
    <t>1599.59</t>
  </si>
  <si>
    <t>迷你太阳镜货样</t>
  </si>
  <si>
    <t>65232</t>
  </si>
  <si>
    <t>239.51</t>
  </si>
  <si>
    <t>131</t>
  </si>
  <si>
    <t>20200630142706</t>
  </si>
  <si>
    <t>水杨酸货样</t>
  </si>
  <si>
    <t>810009893</t>
  </si>
  <si>
    <t>广州市恺德仕贸易有限公司</t>
  </si>
  <si>
    <t>CHINASAVVY HK LTD</t>
  </si>
  <si>
    <t>702-705 BUILDING 7</t>
  </si>
  <si>
    <t>BELJIAOCHANG HENGLU</t>
  </si>
  <si>
    <t>NUTS BOLTS WASHERS BUS</t>
  </si>
  <si>
    <t>螺丝组套48千克(螺母与螺栓或螺杆拧在一起用来起紧固作用/碳钢制/无牌/无型号/规格:M16)(自扣)货样</t>
  </si>
  <si>
    <t>1100240342138</t>
  </si>
  <si>
    <t>20200702150839</t>
  </si>
  <si>
    <t>螺丝组套货样</t>
  </si>
  <si>
    <t>深圳邮局海关四科:</t>
    <phoneticPr fontId="1" type="noConversion"/>
  </si>
  <si>
    <t>120763455</t>
  </si>
  <si>
    <t>RAMOS E RAMOS IMP. EXP.LDA</t>
  </si>
  <si>
    <t>ZONA INDUSTRIAL</t>
  </si>
  <si>
    <t>RUA E LOTE 7 D</t>
  </si>
  <si>
    <t>TOMAR</t>
  </si>
  <si>
    <t>2305-418</t>
  </si>
  <si>
    <t>ANA CRISTINA</t>
  </si>
  <si>
    <t>广州市花都区全能制衣厂</t>
  </si>
  <si>
    <t>GZ HD ALCAN GARMENT MFG COMPANY</t>
  </si>
  <si>
    <t>5F NO 66 YAYAO WEST ROAD</t>
  </si>
  <si>
    <t>XINY STREET HUA DU DISTRICT</t>
  </si>
  <si>
    <t>KEL CHOO</t>
  </si>
  <si>
    <t>OTHER FABRICS SAMPLES</t>
  </si>
  <si>
    <t>女装长袖上衣9件/女装连衣裙3件/女装连体衣裤1件/女装裙裤1件/女装PU半裙1条/女装长裤7条(无牌/无规格/无型号)(自扣)货样</t>
  </si>
  <si>
    <t>124801661</t>
  </si>
  <si>
    <t>1100240342145</t>
  </si>
  <si>
    <t>LAWTER BVBA</t>
  </si>
  <si>
    <t>KETENISLAAN 1C - HAVEN 1520</t>
  </si>
  <si>
    <t>ATTN ACCOUNTS PAYABLE DEPART.</t>
  </si>
  <si>
    <t>BEVEREN-WAAS</t>
  </si>
  <si>
    <t>INGRID JANSSENS</t>
  </si>
  <si>
    <t>NANNING HARIMA CHEMICALS</t>
  </si>
  <si>
    <t>N 6 DONGLING ROAD</t>
  </si>
  <si>
    <t>NANNING ECONOMIC AND TECHNICAL</t>
  </si>
  <si>
    <t>DEVEL. AREA</t>
  </si>
  <si>
    <t>PENG KAIGUO</t>
  </si>
  <si>
    <t>松香酯树脂2千克(无牌无规格型号:XR2539)货样</t>
  </si>
  <si>
    <t>129761902</t>
  </si>
  <si>
    <t>1100240342176</t>
  </si>
  <si>
    <t>Pakulla GmbH</t>
  </si>
  <si>
    <t>H ttenstr. 59</t>
  </si>
  <si>
    <t>MATHIAS MUENGERSDORFF</t>
  </si>
  <si>
    <t>GERMAN MOULD TECHNOLOGY LIMITED</t>
  </si>
  <si>
    <t>1ST FLOOR, BUILDING A,FUDA IND</t>
  </si>
  <si>
    <t>USTRIAL ZONE,LINPOKENG, SHAJIN</t>
  </si>
  <si>
    <t>G TOWN, BAO'AN DIST. SHENZHEN</t>
  </si>
  <si>
    <t>130368281</t>
  </si>
  <si>
    <t>86-75523224566</t>
  </si>
  <si>
    <t>WITCOM PP-C/4M-RA1 EXP2 COLOUR CODE 98001 BLACK RESIN MAT</t>
  </si>
  <si>
    <t>942845714</t>
  </si>
  <si>
    <t>1100240342201</t>
  </si>
  <si>
    <t>GRUPPO MAURO SAVIOLA SRL</t>
  </si>
  <si>
    <t>VIA ALBERTI 1</t>
  </si>
  <si>
    <t>VIADANA</t>
  </si>
  <si>
    <t>DONATO VOLTINI</t>
  </si>
  <si>
    <t>GUANGDONG HANEX GROUP CO LTD</t>
  </si>
  <si>
    <t>NO 3ZIJING ROAD WEST SECTION O</t>
  </si>
  <si>
    <t>YANGMEI-GAOMING DISTRICT</t>
  </si>
  <si>
    <t>FOSHAN-GAOMING</t>
  </si>
  <si>
    <t>MS NIKI OU</t>
  </si>
  <si>
    <t>PANEL</t>
  </si>
  <si>
    <t>刨花板柜体板37千克(无牌无规格无型号)货样</t>
  </si>
  <si>
    <t>20200710151214</t>
  </si>
  <si>
    <t>女装长袖上衣货样</t>
  </si>
  <si>
    <t>13724141508</t>
  </si>
  <si>
    <t>1829</t>
  </si>
  <si>
    <t>刨花板柜体板货样</t>
  </si>
  <si>
    <t>46019</t>
  </si>
  <si>
    <t>15820296651</t>
  </si>
  <si>
    <t>1897.5</t>
  </si>
  <si>
    <t>20200703151311</t>
  </si>
  <si>
    <t>松香酯树脂货样</t>
  </si>
  <si>
    <t>9130</t>
  </si>
  <si>
    <t>8.6182780514e+12</t>
  </si>
  <si>
    <t>207.57</t>
  </si>
  <si>
    <t>与PP聚酯塑胶颗粒24.1千克(MACOMASS牌/规格:50*40*40CM/型号:RAU-EMP6310)(一科重报)货样</t>
  </si>
  <si>
    <t>与PP聚酯塑胶颗粒25.1千克(WITCOM牌/规格:60*41*21CM/型号:PP-C/4M RA1 EXP2)(一科重报)货样</t>
  </si>
  <si>
    <t>20200707151439</t>
  </si>
  <si>
    <t>与PP聚酯塑胶颗粒货样</t>
  </si>
  <si>
    <t>51469</t>
  </si>
  <si>
    <t>-75523224652</t>
  </si>
  <si>
    <t>2204</t>
  </si>
  <si>
    <t>1</t>
  </si>
  <si>
    <t>124256860</t>
  </si>
  <si>
    <t>1100240342169</t>
  </si>
  <si>
    <t>DUMA OPTRONICS LTD</t>
  </si>
  <si>
    <t>1, HA ZAIT STREET</t>
  </si>
  <si>
    <t>SHOPPING CENTER OREN</t>
  </si>
  <si>
    <t>NESHER</t>
  </si>
  <si>
    <t>HAIFA DISTRICT</t>
  </si>
  <si>
    <t>JUDITH AHARON</t>
  </si>
  <si>
    <t>SHENZHEN WELL OPTICS CO LTD</t>
  </si>
  <si>
    <t>ROOM 5C, BLOCK 1</t>
  </si>
  <si>
    <t>CHINA SOUTH CITY, LONGGANG DIS</t>
  </si>
  <si>
    <t>GUNTHER LIU</t>
  </si>
  <si>
    <t>SAMPLE UNIT OF BEMA ON SN 210</t>
  </si>
  <si>
    <t>光斑分析仪1套(用于激光分析诊断设备上/CCD、金属制/1套包含:光盘和U盘(里面是安装程序)、支杆、遮光筒各一个/DUMA牌/BeamOn U3型/无规格)(一科重报)货样</t>
  </si>
  <si>
    <t>751772201</t>
  </si>
  <si>
    <t>1100240343035</t>
  </si>
  <si>
    <t>CHINATOOL OTOMOTIV.SAN.TIC.LTD.STI.</t>
  </si>
  <si>
    <t>GEPOSEB</t>
  </si>
  <si>
    <t>9.CD 92.SK NO:5</t>
  </si>
  <si>
    <t>SENGUL MUTLU</t>
  </si>
  <si>
    <t>CHINATOOL AUTOMOTIVE MOULD SYSTEM</t>
  </si>
  <si>
    <t>NO. 6 BUILDING HUA YISHENG 4</t>
  </si>
  <si>
    <t>IDS PARK, NO. INDUSTRIAL  OU</t>
  </si>
  <si>
    <t>RAY OU</t>
  </si>
  <si>
    <t>SARLINK 190</t>
  </si>
  <si>
    <t>汽车模具配件438千克货样</t>
  </si>
  <si>
    <t>937807592</t>
  </si>
  <si>
    <t>TEKNIA GEBZE MAK.SAN.VE.TIC.A.S.</t>
  </si>
  <si>
    <t>CERKESLI OSB MAH.</t>
  </si>
  <si>
    <t>IMES-5 CAD.</t>
  </si>
  <si>
    <t>NO:8</t>
  </si>
  <si>
    <t>DILOVASI</t>
  </si>
  <si>
    <t>YASEMIN  KAYMAN</t>
  </si>
  <si>
    <t>CRAFTSMAN TECHNOLOGY LIMITED</t>
  </si>
  <si>
    <t>33 4RD, ZHUANYAO</t>
  </si>
  <si>
    <t>INDUSTRIAL PARK, WENTANG</t>
  </si>
  <si>
    <t>COMMUNITY, DONGCHENG STREET</t>
  </si>
  <si>
    <t>769-2332-2961</t>
  </si>
  <si>
    <t>METAL PARTS</t>
  </si>
  <si>
    <t>金属配件43千克货样(暂扣/待确认品名/邮件无回复/18218652622/susan@crafsman-tool.cn)货样</t>
  </si>
  <si>
    <t>751772202</t>
  </si>
  <si>
    <t>9.CD 92.SK NO:6</t>
  </si>
  <si>
    <t>NO. 6 BUILDING HUA YISHENG 5</t>
  </si>
  <si>
    <t>SARLINK 191</t>
  </si>
  <si>
    <t>汽车模具配件439千克货样</t>
  </si>
  <si>
    <t>J763CAG</t>
  </si>
  <si>
    <t>20200706153330</t>
  </si>
  <si>
    <t>光斑分析仪货样</t>
  </si>
  <si>
    <t>8.607558487e+13</t>
  </si>
  <si>
    <t>1000</t>
  </si>
  <si>
    <t>20200713153403</t>
  </si>
  <si>
    <t>汽车模具配件货样</t>
  </si>
  <si>
    <t>8.6075561164e+13</t>
  </si>
  <si>
    <t>87</t>
  </si>
  <si>
    <t>11608.15</t>
  </si>
  <si>
    <t>20200714153403</t>
  </si>
  <si>
    <t>88</t>
  </si>
  <si>
    <t>11609.15</t>
  </si>
  <si>
    <t>751772201M0201</t>
  </si>
  <si>
    <t>751772202M0202</t>
  </si>
  <si>
    <t>20200713153445</t>
  </si>
  <si>
    <t>20200714153445</t>
  </si>
  <si>
    <t>20200713153534</t>
  </si>
  <si>
    <t>金属配件货样</t>
  </si>
  <si>
    <t>79.84</t>
  </si>
  <si>
    <t>751772201M0202</t>
  </si>
  <si>
    <t>20200713163622</t>
  </si>
  <si>
    <t>154191252</t>
  </si>
  <si>
    <t>1100240342992</t>
  </si>
  <si>
    <t>AVDOR TECHNOLOGY LTD</t>
  </si>
  <si>
    <t>16,  HAIM MOSHE SHAPIRA STREET</t>
  </si>
  <si>
    <t>NEW INDUSTRIAL AREA</t>
  </si>
  <si>
    <t>RISHON LE-ZION</t>
  </si>
  <si>
    <t>NITZA SHKEDI</t>
  </si>
  <si>
    <t>MOKO TECHNOLOGY LIMITED</t>
  </si>
  <si>
    <t>4F, BUILDING 2, GUANGHUI</t>
  </si>
  <si>
    <t>TECHNOLOGY  PARK, MINIQING</t>
  </si>
  <si>
    <t>RD, LONGHUA, SHENZEN</t>
  </si>
  <si>
    <t>EMILY NONG</t>
  </si>
  <si>
    <t>CONNECTORS</t>
  </si>
  <si>
    <t>连接器69千克货样</t>
  </si>
  <si>
    <t>946350268</t>
  </si>
  <si>
    <t>1100240342985</t>
  </si>
  <si>
    <t>UNIVERSAL TRADING SNC</t>
  </si>
  <si>
    <t>VIA TORINO 97</t>
  </si>
  <si>
    <t>SAN FRANCESCO AL CAMPO</t>
  </si>
  <si>
    <t>IVANO BRUNERO</t>
  </si>
  <si>
    <t>DU QIAN</t>
  </si>
  <si>
    <t>843, REN MIN NORTH ROAD</t>
  </si>
  <si>
    <t>AUTO ACCESSORIES</t>
  </si>
  <si>
    <t>电机7千克货样(个人物品/待确认品名/13688850515/358035647@qq.com)货样</t>
  </si>
  <si>
    <t>20200801141158</t>
  </si>
  <si>
    <t>连接器货样</t>
  </si>
  <si>
    <t>20200731141506</t>
  </si>
  <si>
    <t>电机货样</t>
  </si>
  <si>
    <t>154680471</t>
  </si>
  <si>
    <t>1100240343003</t>
  </si>
  <si>
    <t>LTN</t>
  </si>
  <si>
    <t>ELEMENT 1 ENGINEERING LTD</t>
  </si>
  <si>
    <t>ELEMENT  ENGINEERING LTD</t>
  </si>
  <si>
    <t>UNIT 32. SUNDON INDUS EST,</t>
  </si>
  <si>
    <t>DENCORA WAY,</t>
  </si>
  <si>
    <t>LUTON</t>
  </si>
  <si>
    <t>卢顿</t>
  </si>
  <si>
    <t>BEDFORDSHIRE</t>
  </si>
  <si>
    <t>LU3 3HP</t>
  </si>
  <si>
    <t>BILAL MAHMOOD</t>
  </si>
  <si>
    <t>KIY CARBON CO,.LTD</t>
  </si>
  <si>
    <t>4/F BLOCK A,NO 9,SHA PAI ROAD</t>
  </si>
  <si>
    <t>AN LIANG,HENGGANG,LONGGANG DIS</t>
  </si>
  <si>
    <t>RITA</t>
  </si>
  <si>
    <t>FACULTY CARBON FIBER AIRTOXES AND TUBES</t>
  </si>
  <si>
    <t>玻璃纤维:喉管4个/保护盖22个/风管9个(无牌无规格无型号)货样</t>
  </si>
  <si>
    <t>155523662</t>
  </si>
  <si>
    <t>MAN</t>
  </si>
  <si>
    <t>ACCUPART LTD</t>
  </si>
  <si>
    <t>25A LONGWOOD ROAD</t>
  </si>
  <si>
    <t>TRAFFORD PARK</t>
  </si>
  <si>
    <t>MANCHESTER</t>
  </si>
  <si>
    <t>M17 1PZ</t>
  </si>
  <si>
    <t>DAVE SWAN</t>
  </si>
  <si>
    <t>SEVEN PARTS TECHNOLOGY LTD</t>
  </si>
  <si>
    <t>T3226, THREE FLOOR</t>
  </si>
  <si>
    <t>A MAHA DIGITAL PLAZA,</t>
  </si>
  <si>
    <t>HUAQIANGBEI RD, FU TIAN DIST</t>
  </si>
  <si>
    <t>0086-18681585620</t>
  </si>
  <si>
    <t>ZHOU LIN</t>
  </si>
  <si>
    <t>20302 FLICKERS,20266 NO DISPLAY,20202 LINES</t>
  </si>
  <si>
    <t>笔记本电脑用液晶显示屏6个(无牌规格15.6寸无型号)货样</t>
  </si>
  <si>
    <t>941197585</t>
  </si>
  <si>
    <t>1100240342930</t>
  </si>
  <si>
    <t>AOE</t>
  </si>
  <si>
    <t>UNSA MADENCILIK TUR.ENJ.SER.ORM.URN.ELK.URT.SAN.VE</t>
  </si>
  <si>
    <t>MENDERES BULVARI YILMAZ AP.</t>
  </si>
  <si>
    <t>A BLOK K:1</t>
  </si>
  <si>
    <t>KUTAHYA</t>
  </si>
  <si>
    <t xml:space="preserve">埃斯基谢希尔 </t>
  </si>
  <si>
    <t>BURCU OZDEMIR</t>
  </si>
  <si>
    <t>WALMART</t>
  </si>
  <si>
    <t>2/F KERRY CENTER 2008</t>
  </si>
  <si>
    <t>RENMINNAN ROAD LUOHU DISTRICT</t>
  </si>
  <si>
    <t>SHENZHEN CHINA 518001</t>
  </si>
  <si>
    <t>JANE HUANG</t>
  </si>
  <si>
    <t>CERAMIC WARE</t>
  </si>
  <si>
    <t>陶制厨房器具10个(无牌无规格无型号)货样</t>
  </si>
  <si>
    <t>20200802100140</t>
  </si>
  <si>
    <t>玻璃纤维:喉管货样</t>
  </si>
  <si>
    <t>8.6755286178e+12</t>
  </si>
  <si>
    <t>笔记本电脑用液晶显示屏货样</t>
  </si>
  <si>
    <t>20200726100210</t>
  </si>
  <si>
    <t>陶制厨房器具货样</t>
  </si>
  <si>
    <t>43100</t>
  </si>
  <si>
    <t>8.6755822185e+12</t>
  </si>
  <si>
    <t>150890656</t>
  </si>
  <si>
    <t>1100240342947</t>
  </si>
  <si>
    <t>ROBERT BOSCH PRODUKTIE N.V.</t>
  </si>
  <si>
    <t>HAMELENDREEF 80</t>
  </si>
  <si>
    <t>TAV BOEKHOUDING CFA1</t>
  </si>
  <si>
    <t>TIENEN</t>
  </si>
  <si>
    <t>HUYBRECHTS SASKIA</t>
  </si>
  <si>
    <t>BOSCH AUTOMOTIVE PRODUCTS</t>
  </si>
  <si>
    <t>26 LIXIANG ROAD (M)</t>
  </si>
  <si>
    <t>XINGSHA DEV.ZONE</t>
  </si>
  <si>
    <t>长沙县</t>
  </si>
  <si>
    <t>VIVIAN GU</t>
  </si>
  <si>
    <t>WINDSHIELD WIPER PARTS</t>
  </si>
  <si>
    <t>雨刮器配件20千克货样(电话无人接/所有货物联系贵司确认信息如无回复，按快件方式暂扣 /andy.ren@cn.bosch.com)货样</t>
  </si>
  <si>
    <t>946433489</t>
  </si>
  <si>
    <t>1100240343085</t>
  </si>
  <si>
    <t>MENG WEI GARMENT CO.,LTD</t>
  </si>
  <si>
    <t>2F LIHUALI BUILDING,XIEWU</t>
  </si>
  <si>
    <t>INDUSTRIAL ZONE, LUANGANG</t>
  </si>
  <si>
    <t>VILLAGE, SHIWAN TOWN, HUIZHOU</t>
  </si>
  <si>
    <t>BEN</t>
  </si>
  <si>
    <t>LADIES KNITTED SAMPLE</t>
  </si>
  <si>
    <t>化纤女式套头衫99件(95%涤纶+5%氨纶制/均已剪破/无牌无规格无型号)货样</t>
  </si>
  <si>
    <t>20200727140336</t>
  </si>
  <si>
    <t>雨刮器配件货样</t>
  </si>
  <si>
    <t>20200804140420</t>
  </si>
  <si>
    <t>化纤女式套头衫货样</t>
  </si>
  <si>
    <t>155259971</t>
  </si>
  <si>
    <t>1100240343111</t>
  </si>
  <si>
    <t>INR</t>
  </si>
  <si>
    <t>MAA</t>
  </si>
  <si>
    <t>VALEO INDIA-LIGHTING DIV</t>
  </si>
  <si>
    <t>NO 124, BUILDING A</t>
  </si>
  <si>
    <t>VALLAM VILLAGE, SRIPERUMBADUR</t>
  </si>
  <si>
    <t>SRIPERUMBUDUR</t>
  </si>
  <si>
    <t>马德拉斯</t>
  </si>
  <si>
    <t>LOKESH GANESAN</t>
  </si>
  <si>
    <t>LITE-ON (GUANGZHOU) AUTOMOTIVE ELECTRONICS LIMITED</t>
  </si>
  <si>
    <t>NO.25 GUANGPU W.RD, LITEON SCI</t>
  </si>
  <si>
    <t>GUANGZHOU 510663, CHINA</t>
  </si>
  <si>
    <t>MICHELLE WU</t>
  </si>
  <si>
    <t>SK216 HEADLAMP HEAT SINK SAMPLE</t>
  </si>
  <si>
    <t>灯具用铝合金散热器98套(VALEO牌无规格型号SK216)货样</t>
  </si>
  <si>
    <t>合并申报</t>
  </si>
  <si>
    <t>155280563</t>
  </si>
  <si>
    <t>灯具散热器72套(VALEO牌无规格型号SK216)货样</t>
  </si>
  <si>
    <t>20200807142216</t>
  </si>
  <si>
    <t>灯具用铝合金散热器货样</t>
  </si>
  <si>
    <t>灯具散热器货样</t>
  </si>
  <si>
    <t>163548900</t>
  </si>
  <si>
    <t>1100240343193</t>
  </si>
  <si>
    <t>OMR</t>
  </si>
  <si>
    <t>PLASTEC STABIL &amp; REINERT</t>
  </si>
  <si>
    <t>KUNSTSTOFFVERARBEITUNG SRL</t>
  </si>
  <si>
    <t>STR. IOSIF VULCAN , NR 33</t>
  </si>
  <si>
    <t>J05/1498/2008</t>
  </si>
  <si>
    <t>SALONTA</t>
  </si>
  <si>
    <t>奥拉迪亚</t>
  </si>
  <si>
    <t>BIHOR</t>
  </si>
  <si>
    <t>DORU GOINA</t>
  </si>
  <si>
    <t>RYD TOOLING</t>
  </si>
  <si>
    <t>BUILDING D, BEIFANGYONGFA</t>
  </si>
  <si>
    <t>HIGH-TECH PARK NO. 615 SHAJING</t>
  </si>
  <si>
    <t>SHAJING-SHENZHEN, CHINA 518104</t>
  </si>
  <si>
    <t>BRUCE CAI</t>
  </si>
  <si>
    <t>OTHER</t>
  </si>
  <si>
    <t>塑胶颗粒25.98千克(无牌无规格无型号)货样</t>
  </si>
  <si>
    <t>20200816140751</t>
  </si>
  <si>
    <t>塑胶颗粒货样</t>
  </si>
  <si>
    <t>722910784</t>
  </si>
  <si>
    <t>TNT CIA HUB</t>
  </si>
  <si>
    <t>AREA MERCI</t>
  </si>
  <si>
    <t>CIAMPINO AEROPORTO</t>
  </si>
  <si>
    <t>WITSON(HK) INDUSTRAIL CO., LTD</t>
  </si>
  <si>
    <t>4FL UNIT A, DONGHAI INDUSTRIAL</t>
  </si>
  <si>
    <t>CHANGPING RD, ZHUHAI, CHINA</t>
  </si>
  <si>
    <t>freeman_fan</t>
  </si>
  <si>
    <t>CAR RADIO</t>
  </si>
  <si>
    <t>91440400756459655B</t>
  </si>
  <si>
    <t>车载播放器1台(无牌无规格无型号)货样</t>
  </si>
  <si>
    <t>20200816144156</t>
  </si>
  <si>
    <t>车载播放器货样</t>
  </si>
  <si>
    <t>136157714</t>
  </si>
  <si>
    <t>1100240343021</t>
  </si>
  <si>
    <t>GBT KOREA CO.,LTD.</t>
  </si>
  <si>
    <t>RM.401-2,</t>
  </si>
  <si>
    <t>GA-DONGSHILLA TECHNOVILL,</t>
  </si>
  <si>
    <t>90, DANGJEONG-RO</t>
  </si>
  <si>
    <t>GUNPO-SI</t>
  </si>
  <si>
    <t>YOUNG GEUN, CHOI</t>
  </si>
  <si>
    <t>FUSSEN TECHNOLOGY CO., LTD.</t>
  </si>
  <si>
    <t>3F,10  BLDG,TONGFUYU</t>
  </si>
  <si>
    <t>INDUSTRIAL ZONE,TAOYUAN ST,</t>
  </si>
  <si>
    <t>NANSHAN DISTRICT,</t>
  </si>
  <si>
    <t>0755-21670890</t>
  </si>
  <si>
    <t>Zoey_Zheng</t>
  </si>
  <si>
    <t>PANORAMA X-RAY MODULE DRIVE BOARD</t>
  </si>
  <si>
    <t>塑胶板46千克货样(暂扣/待确认品名/18028715501/yuling.huang@fussenct.com/邮件无回复/客户要求周一联系)货样</t>
  </si>
  <si>
    <t>91440300761976585D</t>
  </si>
  <si>
    <t>已删除</t>
  </si>
  <si>
    <t>161330895</t>
  </si>
  <si>
    <t>1100240343823</t>
  </si>
  <si>
    <t>GLOBE LOCK &amp; HARDWARE INC.</t>
  </si>
  <si>
    <t>6F-3 NO.145 SEC.1 WEN HWA RD.</t>
  </si>
  <si>
    <t>PAN CHIAO CITY,TAIPEI HSIEN</t>
  </si>
  <si>
    <t>NEW TAIPEI,PAN CHIAO</t>
  </si>
  <si>
    <t>CC TSENG</t>
  </si>
  <si>
    <t>FOSHAN KINDLE TECHNOLOGY CO., LTD</t>
  </si>
  <si>
    <t>FLOOR 1 TO 2, WORKSHOP 3,</t>
  </si>
  <si>
    <t>WORKSHOP 1,NO.7,</t>
  </si>
  <si>
    <t>HUIYING ROAD, BAINI FILLING,</t>
  </si>
  <si>
    <t>PAN,WEN-JIN</t>
  </si>
  <si>
    <t>TUBULAR KEY CAM LOCK 5/8 KD</t>
  </si>
  <si>
    <t>铜锁345个(无牌无规格无型号)货样</t>
  </si>
  <si>
    <t>20200712174440</t>
  </si>
  <si>
    <t>3092924</t>
  </si>
  <si>
    <t>20200816174440</t>
  </si>
  <si>
    <t>铜锁货样</t>
  </si>
  <si>
    <t>13106577187</t>
  </si>
  <si>
    <t>20200712174647</t>
  </si>
  <si>
    <t>20200816174711</t>
  </si>
  <si>
    <t>574619130</t>
  </si>
  <si>
    <t>1100240342874</t>
  </si>
  <si>
    <t>ACON TECHNOLOGY</t>
  </si>
  <si>
    <t>261 ENMORE ROAD</t>
  </si>
  <si>
    <t>ENMORE</t>
  </si>
  <si>
    <t>LYKE KYPRIOS</t>
  </si>
  <si>
    <t>POE PRECISION ELECTRONICS</t>
  </si>
  <si>
    <t>1101-1108 ROOM</t>
  </si>
  <si>
    <t>JOY</t>
  </si>
  <si>
    <t>MONITOR</t>
  </si>
  <si>
    <t>电路板2个/保护壳2个(无牌/无型号/规格详见清单)(一科重报)货样</t>
  </si>
  <si>
    <t>20200719085412</t>
  </si>
  <si>
    <t>168420321</t>
  </si>
  <si>
    <t>BFS</t>
  </si>
  <si>
    <t>GCare Electronics</t>
  </si>
  <si>
    <t>9 Ferguson Drive</t>
  </si>
  <si>
    <t>Knockmore Hill Bus Pk</t>
  </si>
  <si>
    <t>LISBURN</t>
  </si>
  <si>
    <t>贝尔法斯特</t>
  </si>
  <si>
    <t>COUNTY ANTRIM</t>
  </si>
  <si>
    <t>BT28 2EX</t>
  </si>
  <si>
    <t>JILL TENNYSON</t>
  </si>
  <si>
    <t>YONGCHANGXING INTERNATIONAL (HK) LTD</t>
  </si>
  <si>
    <t>XINXING ROAD-10</t>
  </si>
  <si>
    <t>ZHONGFANG INDUSTRIAL PARK</t>
  </si>
  <si>
    <t>SHATOU SOUTH AREA</t>
  </si>
  <si>
    <t>AMY</t>
  </si>
  <si>
    <t>METAL HANDPIECE (NON FUNCTIONAL)</t>
  </si>
  <si>
    <t>铅制主体:机头1个(医疗器械配件/无牌无规格无型号)货样</t>
  </si>
  <si>
    <t>20200816132524</t>
  </si>
  <si>
    <t>铅制主体:机头货样</t>
  </si>
  <si>
    <t>168290184</t>
  </si>
  <si>
    <t>1100240343837</t>
  </si>
  <si>
    <t>ORNER IMPORT SOLUTIONS LTD</t>
  </si>
  <si>
    <t>11, HA SHAKED STREET</t>
  </si>
  <si>
    <t>OL CARGO BUILDING</t>
  </si>
  <si>
    <t>SHOHAM</t>
  </si>
  <si>
    <t>RAN TUBIAKOVS</t>
  </si>
  <si>
    <t>TS PROTOTYPES CO., LTD</t>
  </si>
  <si>
    <t>BUILDING A5-2, 3RD INDUSTRIA</t>
  </si>
  <si>
    <t>YANLUO STREET, BAOAN, SHENZHEN</t>
  </si>
  <si>
    <t>SU</t>
  </si>
  <si>
    <t>STAINLESS STEEL METAL SAMPLES FOR TESTING</t>
  </si>
  <si>
    <t>不锈钢块5个(用于测试/无牌无规格无型号)货样</t>
  </si>
  <si>
    <t>20200817160700</t>
  </si>
  <si>
    <t>不锈钢块货样</t>
  </si>
  <si>
    <t>100902263</t>
  </si>
  <si>
    <t>SHENZHEN XUNWEI TRADING CO LTD</t>
  </si>
  <si>
    <t>ROOM 201 BUILDING 1,</t>
  </si>
  <si>
    <t>JINXING CREATION PRK,DALANG ST</t>
  </si>
  <si>
    <t>LONGHUA NEW DISTRICT,</t>
  </si>
  <si>
    <t>MRS CHEN</t>
  </si>
  <si>
    <t>LOD SCREEN</t>
  </si>
  <si>
    <t>液晶显示屏84千克货样</t>
  </si>
  <si>
    <t>788899625</t>
  </si>
  <si>
    <t>1100240343869</t>
  </si>
  <si>
    <t>COORSTEK KK</t>
  </si>
  <si>
    <t>OSAKI WIZ TWR 10F 2-11-1 OSAKI</t>
  </si>
  <si>
    <t>PROCESS ZAIRYO KAIGAI HANBAI G</t>
  </si>
  <si>
    <t>OSAKI.SHINAGAWA-KU</t>
  </si>
  <si>
    <t>03-54376351</t>
  </si>
  <si>
    <t>MISS.EMIKO KOBAYASHI</t>
  </si>
  <si>
    <t>CARBONN TECHNOLOGY CO.,LTD.</t>
  </si>
  <si>
    <t>412, XINANJU BUSINESS CENTER</t>
  </si>
  <si>
    <t>NO.18, SHILIAN RD.,</t>
  </si>
  <si>
    <t>181-26706095</t>
  </si>
  <si>
    <t>kevin_chan</t>
  </si>
  <si>
    <t>微电机零部件/碳刷310000个(克之特牌无规格型号100#)货样</t>
  </si>
  <si>
    <t>91440101MA59PEKT33</t>
  </si>
  <si>
    <t>20200817143153</t>
  </si>
  <si>
    <t>8454597165</t>
  </si>
  <si>
    <t>18688772397</t>
  </si>
  <si>
    <t>20200820143217</t>
  </si>
  <si>
    <t>微电机零部件/碳刷货样</t>
  </si>
  <si>
    <t>3101519</t>
  </si>
  <si>
    <t>1410032</t>
  </si>
  <si>
    <t>20200817143514</t>
  </si>
  <si>
    <t>816175165</t>
  </si>
  <si>
    <t>YURTICI KARGO SERVISI A.S.</t>
  </si>
  <si>
    <t>GENEL MUDURLUK</t>
  </si>
  <si>
    <t>ESKI BUYUKDERE CAD.</t>
  </si>
  <si>
    <t>KARGO PLAZA NO:17-19 K:5</t>
  </si>
  <si>
    <t>SARIYER</t>
  </si>
  <si>
    <t>ERTAN MAHYR KORKMAZ</t>
  </si>
  <si>
    <t>中南林业科技大学</t>
  </si>
  <si>
    <t>GENGYUN NIU</t>
  </si>
  <si>
    <t>CENTAL SOUTH UNIVERSITY OF FOR</t>
  </si>
  <si>
    <t>EST AND TECHNOLOGY 498SOUNT SH</t>
  </si>
  <si>
    <t>DRIED PLANT</t>
  </si>
  <si>
    <t>科学研究:昆虫样本(后足)0.46千克货样(暂扣/13808414132 ms niu/gyniu@126.com)货样</t>
  </si>
  <si>
    <t>20200731144902</t>
  </si>
  <si>
    <t>科学研究:昆虫样本(后足)货样</t>
  </si>
  <si>
    <t>945619220</t>
  </si>
  <si>
    <t>1100240343913</t>
  </si>
  <si>
    <t>ZDG</t>
  </si>
  <si>
    <t>SIMPEX ELECTRONIC AG</t>
  </si>
  <si>
    <t>BINZACKERSTRASSE 33</t>
  </si>
  <si>
    <t>WETZIKON</t>
  </si>
  <si>
    <t>JOELLE RUF</t>
  </si>
  <si>
    <t>MGS LIGHTING</t>
  </si>
  <si>
    <t>3RD. FLOOR, BUILDING H1,</t>
  </si>
  <si>
    <t>HONGFA SCIENCE PARK,</t>
  </si>
  <si>
    <t>SHIYAN TOWN, BAO AN DISTRICT</t>
  </si>
  <si>
    <t>MS. LIANA YAN</t>
  </si>
  <si>
    <t>LICHTEMPFINDLICHE HALBLEITERBAUELEMENTE, 40000 STK</t>
  </si>
  <si>
    <t>发光二极管40000个(三星牌无规格型号SPMWH1228FD5WALUSE-A2)货样</t>
  </si>
  <si>
    <t>20200823135132</t>
  </si>
  <si>
    <t>106573509</t>
  </si>
  <si>
    <t>ASTER TECHNOLOGY HOLLAND BV</t>
  </si>
  <si>
    <t>AMPERESTRAAT 9</t>
  </si>
  <si>
    <t>5928 PE</t>
  </si>
  <si>
    <t>SJOERD GUBBELS</t>
  </si>
  <si>
    <t>JIANGXI YIBO E-TECH CO., LTD.</t>
  </si>
  <si>
    <t>NO.756 GUANGFU ROAD</t>
  </si>
  <si>
    <t>YUSHUI HIGH-TECH DEVELOPMENT</t>
  </si>
  <si>
    <t>INDUSTRY,</t>
  </si>
  <si>
    <t>XINYU</t>
  </si>
  <si>
    <t>JUAN LAN</t>
  </si>
  <si>
    <t>CHIPS</t>
  </si>
  <si>
    <t>硒鼓芯片2754个(材质:集成电路/激光打印机碳粉盒,起到装机识别及打印计数用,芯片/无牌无规格无型号)货样</t>
  </si>
  <si>
    <t>821484941</t>
  </si>
  <si>
    <t>1100240343887</t>
  </si>
  <si>
    <t>TRANSGLOBAL EXPRESS GMBH</t>
  </si>
  <si>
    <t>IM TAUBENGRUND 10</t>
  </si>
  <si>
    <t>COLLEGE OF RESOURCES AND</t>
  </si>
  <si>
    <t>ENVIRONMENT SOUTHWEST UNIVERSI</t>
  </si>
  <si>
    <t>NO. 2, TIANSHENG ROAD,</t>
  </si>
  <si>
    <t>FANGXIN  CHEN</t>
  </si>
  <si>
    <t>PARTS AND ACCESSORIES FOR MACHINES, APPLIANCES, INSTRUMEN</t>
  </si>
  <si>
    <t>机械配件1套货样(暂扣按B单个人物品申报BY SHAWN LIANG/不录舱单/陈先生18507146403； chenfx_520@163.com)货样</t>
  </si>
  <si>
    <t>20200823135443</t>
  </si>
  <si>
    <t>硒鼓芯片货样</t>
  </si>
  <si>
    <t>20200821135502</t>
  </si>
  <si>
    <t>65451</t>
  </si>
  <si>
    <t>NTN SNR ROULEMENTS ACHATS</t>
  </si>
  <si>
    <t>51 RUE DES DOCKS</t>
  </si>
  <si>
    <t>LYON</t>
  </si>
  <si>
    <t>STEPHANIE HEMMERLE</t>
  </si>
  <si>
    <t>VISON MACHINERY CO LTD</t>
  </si>
  <si>
    <t>THE GROUND FLOOR NO.42</t>
  </si>
  <si>
    <t>BUILDING B AREA LIYUAN NEW VIL</t>
  </si>
  <si>
    <t>0755-22361750</t>
  </si>
  <si>
    <t>机械配件169千克货样</t>
  </si>
  <si>
    <t>91440300790470823R</t>
  </si>
  <si>
    <t>945385302</t>
  </si>
  <si>
    <t>1100240343891</t>
  </si>
  <si>
    <t>20200823132731</t>
  </si>
  <si>
    <t>828804469</t>
  </si>
  <si>
    <t>1100240343945</t>
  </si>
  <si>
    <t>PNQ</t>
  </si>
  <si>
    <t>HAGER ELECTRO PVT LTD</t>
  </si>
  <si>
    <t>GAT NO 732 PUNE NAGAR RD</t>
  </si>
  <si>
    <t>VILLAGE LONI KAND</t>
  </si>
  <si>
    <t>PUNE</t>
  </si>
  <si>
    <t>浦那</t>
  </si>
  <si>
    <t>HAGER ELECTRIC(HUIZHOU) LIMITED</t>
  </si>
  <si>
    <t>5  HECHANG E. 4 RD, ZHONGKAI H</t>
  </si>
  <si>
    <t>IGH-TECH IND DEV PK, HUIZHOU,</t>
  </si>
  <si>
    <t>GD, P.R.C</t>
  </si>
  <si>
    <t>0752-5706366</t>
  </si>
  <si>
    <t>alice_xiong</t>
  </si>
  <si>
    <t>ELECTRICAL ITEMS</t>
  </si>
  <si>
    <t>断路器312个(无牌无规格无型号)货样</t>
  </si>
  <si>
    <t>91441300617906419J</t>
  </si>
  <si>
    <t>20200826141749</t>
  </si>
  <si>
    <t>断路器货样</t>
  </si>
  <si>
    <t>788931878</t>
  </si>
  <si>
    <t>REFINE TEC LTD.</t>
  </si>
  <si>
    <t>TSUNASHIMA HIGASHI</t>
  </si>
  <si>
    <t>KOHOKU-KU.YOKOHAMA</t>
  </si>
  <si>
    <t>KANAGAWA</t>
  </si>
  <si>
    <t>045-5421013</t>
  </si>
  <si>
    <t>MR.ISHIKAWA</t>
  </si>
  <si>
    <t>SD ELECTRIC MATERIALS(CHONGQING)CO., LTD.</t>
  </si>
  <si>
    <t>NO.18-5, SHIGUI ROAD, JIESHI</t>
  </si>
  <si>
    <t>TOWN, BANAN DISTRICT,</t>
  </si>
  <si>
    <t>CHONGQING, CHINA</t>
  </si>
  <si>
    <t>86-23-6629-0808</t>
  </si>
  <si>
    <t>HCCQ</t>
  </si>
  <si>
    <t>DIAMOND POLISHING LIQUID</t>
  </si>
  <si>
    <t>抛光液5千克货样(在深圳正式报关by Shawn Liang )货样</t>
  </si>
  <si>
    <t>20200826085613</t>
  </si>
  <si>
    <t>抛光液货样</t>
  </si>
  <si>
    <t>113878276</t>
  </si>
  <si>
    <t>1100240343981</t>
  </si>
  <si>
    <t>LOCINOX N.V.</t>
  </si>
  <si>
    <t>MANNEBEEKSTRAAT 21</t>
  </si>
  <si>
    <t>INDUSTRIEZONE IV VIJVERDAM</t>
  </si>
  <si>
    <t>MANNEBEEKSTRAAT</t>
  </si>
  <si>
    <t>WAREGEM</t>
  </si>
  <si>
    <t>EVY  WERBROUCK</t>
  </si>
  <si>
    <t>SHENZHEN FAI BONG TECHNOLOGY CO., LTD</t>
  </si>
  <si>
    <t>201, BLOCK A, NO. 37</t>
  </si>
  <si>
    <t>FACTORY,CHUANGXIN RD,</t>
  </si>
  <si>
    <t>YANLUO STREET, BAOAN</t>
  </si>
  <si>
    <t>0755--27053757</t>
  </si>
  <si>
    <t>JINNA MENG</t>
  </si>
  <si>
    <t>ACCESSORIES FOR LOCKS</t>
  </si>
  <si>
    <t>门锁装配用:不锈钢转轴9050个(LOCINOX牌无规格型号1015_064/8226)货样</t>
  </si>
  <si>
    <t>20200830154601</t>
  </si>
  <si>
    <t>门锁装配用:不锈钢转轴货样</t>
  </si>
  <si>
    <t>111694102</t>
  </si>
  <si>
    <t>1100240343977</t>
  </si>
  <si>
    <t>AMTEK ENGINEERING BATAM, PT</t>
  </si>
  <si>
    <t>JL. LET. JEND. SUPRAPTO</t>
  </si>
  <si>
    <t>BLOK E NO. 1, CAMMO INDUSTRIAL</t>
  </si>
  <si>
    <t>NONGSA, TELUK TERING</t>
  </si>
  <si>
    <t>CAYA ERI HASMITA</t>
  </si>
  <si>
    <t>MEHOW LTD</t>
  </si>
  <si>
    <t>BLOCK B, NCBC INDUSTRIAL PARK,</t>
  </si>
  <si>
    <t>6TH BAOLONG ROAD, LONGGANG</t>
  </si>
  <si>
    <t>SHENZHEN 518116, CHINA</t>
  </si>
  <si>
    <t>MEHR370753300TUB PLATE STAINLE</t>
  </si>
  <si>
    <t>钢板732千克货样</t>
  </si>
  <si>
    <t>20200829141928</t>
  </si>
  <si>
    <t>钢板货样</t>
  </si>
  <si>
    <t>103902109</t>
  </si>
  <si>
    <t>BOSCHMAN TECHNOLOGIES B.V.</t>
  </si>
  <si>
    <t>STENOGRAAF 3</t>
  </si>
  <si>
    <t>DUIVEN</t>
  </si>
  <si>
    <t>6921 EX</t>
  </si>
  <si>
    <t>ROB VAN DE POLDER</t>
  </si>
  <si>
    <t>SHENZHEN STS MICROELECTRONICS CO. LTD.</t>
  </si>
  <si>
    <t>16, TAO HUA RD,</t>
  </si>
  <si>
    <t>FUTIAN FREE TRADE ZONE</t>
  </si>
  <si>
    <t>DALI ZHOU</t>
  </si>
  <si>
    <t>RS232 CABLE FOR MASS FLOW CONTROLLER</t>
  </si>
  <si>
    <t>控制器1千克货样(所有D类不录公路舱单)货样</t>
  </si>
  <si>
    <t>20200823162926</t>
  </si>
  <si>
    <t>控制器货样</t>
  </si>
  <si>
    <t>108113862</t>
  </si>
  <si>
    <t>1100240343931</t>
  </si>
  <si>
    <t>ZAR</t>
  </si>
  <si>
    <t>EF2</t>
  </si>
  <si>
    <t>DYNAMICA AUTOMOTIVE PTY LTD</t>
  </si>
  <si>
    <t>ZA</t>
  </si>
  <si>
    <t>南非(阿扎尼亚)</t>
  </si>
  <si>
    <t>778 RICHARDS DRIVE 5</t>
  </si>
  <si>
    <t>MIDRAND</t>
  </si>
  <si>
    <t>埃兰兹方丹</t>
  </si>
  <si>
    <t>LINDIE</t>
  </si>
  <si>
    <t>SKYPINE ELECTRONICS (SHENZHEN) CO., LTD.</t>
  </si>
  <si>
    <t>A1 BUILDING, ZONE 6, XINXING</t>
  </si>
  <si>
    <t>INDUSTRIAL PARK, XINHE, FUYONG</t>
  </si>
  <si>
    <t>SUB-DISTRICT, BAO'AN, SHENZHEN</t>
  </si>
  <si>
    <t>AMY MA</t>
  </si>
  <si>
    <t>HYUNDAI CRETA INFOTAINMENT</t>
  </si>
  <si>
    <t>电子配件2个货样(ytang@skypine.cn 退信/7556 1501506  号码错误)货样</t>
  </si>
  <si>
    <t>1100240344003</t>
  </si>
  <si>
    <t>车载播放器0.1千克货样(正式报关)货样</t>
  </si>
  <si>
    <t>20200901140102</t>
  </si>
  <si>
    <t>20200901140433</t>
  </si>
  <si>
    <t>20200901141616</t>
  </si>
  <si>
    <t>20200901142647</t>
  </si>
  <si>
    <t>2020-09-0214-26-57</t>
  </si>
  <si>
    <t>20200901142824</t>
  </si>
  <si>
    <t>20200825142824</t>
  </si>
  <si>
    <t>2020-09-02_14-28-25</t>
  </si>
  <si>
    <t>2020-09-02_14-28-25</t>
    <phoneticPr fontId="1" type="noConversion"/>
  </si>
  <si>
    <t>20200825143821</t>
  </si>
  <si>
    <t>2020-09-02_14-39-13</t>
  </si>
  <si>
    <t>515798157</t>
  </si>
  <si>
    <t>1100240343963</t>
  </si>
  <si>
    <t>FI1</t>
  </si>
  <si>
    <t>PENTEK TEXTILE MACHINERY SRL</t>
  </si>
  <si>
    <t>VIA PARUGIANO DI SOTTO 41/43</t>
  </si>
  <si>
    <t>MONTEMURLO</t>
  </si>
  <si>
    <t>佛罗伦萨</t>
  </si>
  <si>
    <t>PO</t>
  </si>
  <si>
    <t>PENTEK TEXTILE MACHI P</t>
  </si>
  <si>
    <t>ZHONGSHAN MINGYIN TEXTILES CO., LTD</t>
  </si>
  <si>
    <t>NO.19 HUAXING NAN ROAD,</t>
  </si>
  <si>
    <t>LANTIAN VILLAGE, DAYONG</t>
  </si>
  <si>
    <t>MR. LI</t>
  </si>
  <si>
    <t>SPARE PARTS OF TEXTILE MACHINERY PARTS</t>
  </si>
  <si>
    <t>纺织机配件3个货样</t>
  </si>
  <si>
    <t>20200828101550</t>
  </si>
  <si>
    <t>纺织机配件货样</t>
  </si>
  <si>
    <t>2020-09-03_10-15-54</t>
  </si>
  <si>
    <t>945912531</t>
  </si>
  <si>
    <t>1100240343959</t>
  </si>
  <si>
    <t>Express One GmbH</t>
  </si>
  <si>
    <t>Paul-Lincke-Ufer 8D</t>
  </si>
  <si>
    <t>G.  LEIDNER</t>
  </si>
  <si>
    <t>MR. LIU DAPENG</t>
  </si>
  <si>
    <t>ROOM 701, BUILDING 3</t>
  </si>
  <si>
    <t>CHUNXIAOYUAN, DONGXIA ROAD</t>
  </si>
  <si>
    <t>ELECTRODES</t>
  </si>
  <si>
    <t>电极0.765千克货样(电话无人接听/无发票130 88843884LIU DAPENG )货样</t>
  </si>
  <si>
    <t>446104002</t>
  </si>
  <si>
    <t>HEYE INTERNATIONAL GMBH</t>
  </si>
  <si>
    <t>LOHPLATZ 1</t>
  </si>
  <si>
    <t>OBERNKIRCHEN</t>
  </si>
  <si>
    <t>NA SCH  NBECK</t>
  </si>
  <si>
    <t>ON TIME EXPRESS LTD</t>
  </si>
  <si>
    <t>B3705, .33ZHONG SHAN 3RD RD ZH</t>
  </si>
  <si>
    <t>ONGHUA PLZ</t>
  </si>
  <si>
    <t>020-87320492</t>
  </si>
  <si>
    <t>riko_riko</t>
  </si>
  <si>
    <t>SCHALTGERAETE</t>
  </si>
  <si>
    <t>电动机1个/继电器16个货样(发票价值26,635.76eur)货样</t>
  </si>
  <si>
    <t>91440101781232209T</t>
  </si>
  <si>
    <t>20200823144956</t>
  </si>
  <si>
    <t>电动机货样</t>
  </si>
  <si>
    <t>114559</t>
  </si>
  <si>
    <t>2020-09-03_14-50-14</t>
  </si>
  <si>
    <t>20200827145155</t>
  </si>
  <si>
    <t>电极货样</t>
  </si>
  <si>
    <t>-13088843970</t>
  </si>
  <si>
    <t>2020-09-03_14-52-04</t>
  </si>
  <si>
    <t>20200827145523</t>
  </si>
  <si>
    <t>2020-09-03_14-55-26</t>
  </si>
  <si>
    <t>20200827161523</t>
  </si>
  <si>
    <t>2020-09-03_16-15-25</t>
  </si>
  <si>
    <t>20200827161547</t>
  </si>
  <si>
    <t>2020-09-03_16-15-48</t>
  </si>
  <si>
    <t>141174556</t>
  </si>
  <si>
    <t>Win Health Medical Ltd</t>
  </si>
  <si>
    <t>Unit 1</t>
  </si>
  <si>
    <t>Oxnam Road Industrial Estate</t>
  </si>
  <si>
    <t>JEDBURGH</t>
  </si>
  <si>
    <t>ROXBURGHSHIRE</t>
  </si>
  <si>
    <t>TD8 6LS</t>
  </si>
  <si>
    <t>GWEN  NORTHALL</t>
  </si>
  <si>
    <t>MIANYANG MEIKE ELECTRONIC EQIPMENT CO. LTD</t>
  </si>
  <si>
    <t>NO. 63 YINPING ROAD</t>
  </si>
  <si>
    <t>LONGMEN TOWN</t>
  </si>
  <si>
    <t>MIANYANG-FUCHENG</t>
  </si>
  <si>
    <t>绵阳</t>
  </si>
  <si>
    <t>86-1389044278</t>
  </si>
  <si>
    <t>AMY ZHAO</t>
  </si>
  <si>
    <t>SCANNER UNIT &amp; PROBES</t>
  </si>
  <si>
    <t>扫描器5千克货样</t>
  </si>
  <si>
    <t>1100240343229</t>
  </si>
  <si>
    <t>20200903085958</t>
  </si>
  <si>
    <t>扫描器货样</t>
  </si>
  <si>
    <t>2020-09-04_09-00-03</t>
  </si>
  <si>
    <t>1100240343215</t>
  </si>
  <si>
    <t>JJ1</t>
  </si>
  <si>
    <t>AVERY DENNISON RIS ITALIA SRL</t>
  </si>
  <si>
    <t>STRADA PROV.LE BONIFICA, 39/41</t>
  </si>
  <si>
    <t>ANCARANO</t>
  </si>
  <si>
    <t>FUJIAN SUNSHINE FOOTWEAR CO LT</t>
  </si>
  <si>
    <t>SHUANG YANG TOWN</t>
  </si>
  <si>
    <t>LOU JIANG DISTRICT</t>
  </si>
  <si>
    <t>QUANZHOU-LUOJIANG</t>
  </si>
  <si>
    <t>泉州</t>
  </si>
  <si>
    <t>WOVEN FABRIC LABELS</t>
  </si>
  <si>
    <t>布标签62千克货样</t>
  </si>
  <si>
    <t>517047805M0201</t>
  </si>
  <si>
    <t>517047805M0202</t>
  </si>
  <si>
    <t>20200902094315</t>
  </si>
  <si>
    <t>布标签货样</t>
  </si>
  <si>
    <t>2020-09-04_09-43-21</t>
  </si>
  <si>
    <t>114441725</t>
  </si>
  <si>
    <t>QGY</t>
  </si>
  <si>
    <t>MAX-MAGYAR KFT.</t>
  </si>
  <si>
    <t>IPARI TERULET 1.</t>
  </si>
  <si>
    <t>TARJAN</t>
  </si>
  <si>
    <t>杰尔</t>
  </si>
  <si>
    <t>SARA PASTYIK</t>
  </si>
  <si>
    <t>TEMB TECHNOLOGY CO. LTD.</t>
  </si>
  <si>
    <t>RM1505AUNIT8TH B. JINGHE GAR.</t>
  </si>
  <si>
    <t>BUJI TOWN</t>
  </si>
  <si>
    <t>JURRY ZHU</t>
  </si>
  <si>
    <t>PLASTIC EQUIPMENT</t>
  </si>
  <si>
    <t>PBT-GF30聚酯塑胶粒48千克(ULTRADUR牌无规格型号B4300 G6)货样</t>
  </si>
  <si>
    <t>114450943</t>
  </si>
  <si>
    <t>PP聚酯塑胶粒48千克(SABIC牌无规格型号PP 83MF10)货样</t>
  </si>
  <si>
    <t>20200903153032</t>
  </si>
  <si>
    <t>PBT-GF30聚酯塑胶粒48千克货样</t>
  </si>
  <si>
    <t>PP聚酯塑胶粒48千克货样</t>
  </si>
  <si>
    <t>2020-09-04_15-31-25</t>
  </si>
  <si>
    <t>20200903155224</t>
  </si>
  <si>
    <t>2020-09-04_15-52-30</t>
  </si>
  <si>
    <t>20200903155249</t>
  </si>
  <si>
    <t>2020-09-04_15-53-13</t>
  </si>
  <si>
    <t>是否</t>
    <phoneticPr fontId="1" type="noConversion"/>
  </si>
  <si>
    <t>改量</t>
    <phoneticPr fontId="1" type="noConversion"/>
  </si>
  <si>
    <t>新件数</t>
    <phoneticPr fontId="1" type="noConversion"/>
  </si>
  <si>
    <t>新重量</t>
    <phoneticPr fontId="1" type="noConversion"/>
  </si>
  <si>
    <t>新舱单日期</t>
    <phoneticPr fontId="1" type="noConversion"/>
  </si>
  <si>
    <t>新品名</t>
    <phoneticPr fontId="1" type="noConversion"/>
  </si>
  <si>
    <t>车牌号</t>
    <phoneticPr fontId="1" type="noConversion"/>
  </si>
  <si>
    <t>F8</t>
    <phoneticPr fontId="1" type="noConversion"/>
  </si>
  <si>
    <t>运单号</t>
    <phoneticPr fontId="1" type="noConversion"/>
  </si>
  <si>
    <t>总运单号</t>
    <phoneticPr fontId="1" type="noConversion"/>
  </si>
  <si>
    <t>航班号</t>
    <phoneticPr fontId="1" type="noConversion"/>
  </si>
  <si>
    <t>航班日期</t>
    <phoneticPr fontId="1" type="noConversion"/>
  </si>
  <si>
    <t>运单进出口类型</t>
    <phoneticPr fontId="1" type="noConversion"/>
  </si>
  <si>
    <t>运单类型</t>
    <phoneticPr fontId="1" type="noConversion"/>
  </si>
  <si>
    <t>件数</t>
    <phoneticPr fontId="1" type="noConversion"/>
  </si>
  <si>
    <t>重量</t>
    <phoneticPr fontId="1" type="noConversion"/>
  </si>
  <si>
    <t>货币代码</t>
    <phoneticPr fontId="1" type="noConversion"/>
  </si>
  <si>
    <t>货物价值</t>
    <phoneticPr fontId="1" type="noConversion"/>
  </si>
  <si>
    <t>海关接收NewEDI回执状态</t>
    <phoneticPr fontId="1" type="noConversion"/>
  </si>
  <si>
    <t>海关接收回执日期</t>
    <phoneticPr fontId="1" type="noConversion"/>
  </si>
  <si>
    <t>海关审核NewEDI回执状态</t>
    <phoneticPr fontId="1" type="noConversion"/>
  </si>
  <si>
    <t>海关审核日期</t>
    <phoneticPr fontId="1" type="noConversion"/>
  </si>
  <si>
    <t>海关接收回执状态</t>
    <phoneticPr fontId="1" type="noConversion"/>
  </si>
  <si>
    <t>海关验放指令</t>
    <phoneticPr fontId="1" type="noConversion"/>
  </si>
  <si>
    <t>检验检疫验放指令</t>
    <phoneticPr fontId="1" type="noConversion"/>
  </si>
  <si>
    <t>运单校验状态</t>
    <phoneticPr fontId="1" type="noConversion"/>
  </si>
  <si>
    <t>发件地</t>
    <phoneticPr fontId="1" type="noConversion"/>
  </si>
  <si>
    <t>收件地</t>
    <phoneticPr fontId="1" type="noConversion"/>
  </si>
  <si>
    <t>客户帐号</t>
    <phoneticPr fontId="1" type="noConversion"/>
  </si>
  <si>
    <t>发件人账号</t>
    <phoneticPr fontId="1" type="noConversion"/>
  </si>
  <si>
    <t>收件人账号</t>
    <phoneticPr fontId="1" type="noConversion"/>
  </si>
  <si>
    <t>发件人公司名</t>
    <phoneticPr fontId="1" type="noConversion"/>
  </si>
  <si>
    <t>发件人公司名原</t>
    <phoneticPr fontId="1" type="noConversion"/>
  </si>
  <si>
    <t>发件人国家</t>
    <phoneticPr fontId="1" type="noConversion"/>
  </si>
  <si>
    <t>发件人国家名</t>
    <phoneticPr fontId="1" type="noConversion"/>
  </si>
  <si>
    <t>发件人地址第一行</t>
    <phoneticPr fontId="1" type="noConversion"/>
  </si>
  <si>
    <t>发件人地址第二行</t>
    <phoneticPr fontId="1" type="noConversion"/>
  </si>
  <si>
    <t>发件人地址第三行</t>
    <phoneticPr fontId="1" type="noConversion"/>
  </si>
  <si>
    <t>发件人城市</t>
    <phoneticPr fontId="1" type="noConversion"/>
  </si>
  <si>
    <t>发件地中文名</t>
    <phoneticPr fontId="1" type="noConversion"/>
  </si>
  <si>
    <t>发件人省州</t>
    <phoneticPr fontId="1" type="noConversion"/>
  </si>
  <si>
    <t>发件人邮编</t>
    <phoneticPr fontId="1" type="noConversion"/>
  </si>
  <si>
    <t>发件人电话</t>
    <phoneticPr fontId="1" type="noConversion"/>
  </si>
  <si>
    <t>发件人联系人</t>
    <phoneticPr fontId="1" type="noConversion"/>
  </si>
  <si>
    <t>收件人国家地区</t>
    <phoneticPr fontId="1" type="noConversion"/>
  </si>
  <si>
    <t>收件人公司名</t>
    <phoneticPr fontId="1" type="noConversion"/>
  </si>
  <si>
    <t>收件人公司名原</t>
    <phoneticPr fontId="1" type="noConversion"/>
  </si>
  <si>
    <t>收件人地址第一行</t>
    <phoneticPr fontId="1" type="noConversion"/>
  </si>
  <si>
    <t>收件人地址第二行</t>
    <phoneticPr fontId="1" type="noConversion"/>
  </si>
  <si>
    <t>收件人地址第三行</t>
    <phoneticPr fontId="1" type="noConversion"/>
  </si>
  <si>
    <t>收件人城市</t>
    <phoneticPr fontId="1" type="noConversion"/>
  </si>
  <si>
    <t>收件地中文名</t>
    <phoneticPr fontId="1" type="noConversion"/>
  </si>
  <si>
    <t>收件人省州</t>
    <phoneticPr fontId="1" type="noConversion"/>
  </si>
  <si>
    <t>收件人邮编</t>
    <phoneticPr fontId="1" type="noConversion"/>
  </si>
  <si>
    <t>收件人电话</t>
    <phoneticPr fontId="1" type="noConversion"/>
  </si>
  <si>
    <t>收件人联系人</t>
    <phoneticPr fontId="1" type="noConversion"/>
  </si>
  <si>
    <t>是否通过海关备案</t>
    <phoneticPr fontId="1" type="noConversion"/>
  </si>
  <si>
    <t>货品名称原</t>
    <phoneticPr fontId="1" type="noConversion"/>
  </si>
  <si>
    <t>货品名称</t>
    <phoneticPr fontId="1" type="noConversion"/>
  </si>
  <si>
    <t>经营单位编码</t>
    <phoneticPr fontId="1" type="noConversion"/>
  </si>
  <si>
    <t>经营单位名称</t>
    <phoneticPr fontId="1" type="noConversion"/>
  </si>
  <si>
    <t>收发货人统一社会信用代码</t>
    <phoneticPr fontId="1" type="noConversion"/>
  </si>
  <si>
    <t>货主单位统一社会信用代码</t>
    <phoneticPr fontId="1" type="noConversion"/>
  </si>
  <si>
    <t>收件人社会统一信用代码</t>
    <phoneticPr fontId="1" type="noConversion"/>
  </si>
  <si>
    <t>规格型号</t>
    <phoneticPr fontId="1" type="noConversion"/>
  </si>
  <si>
    <t>商品编号</t>
    <phoneticPr fontId="1" type="noConversion"/>
  </si>
  <si>
    <t>Bagging ID</t>
    <phoneticPr fontId="1" type="noConversion"/>
  </si>
  <si>
    <t>产品代码</t>
    <phoneticPr fontId="1" type="noConversion"/>
  </si>
  <si>
    <t>舱单申报使用企业代码</t>
    <phoneticPr fontId="1" type="noConversion"/>
  </si>
  <si>
    <t>报关单申报使用企业代码</t>
    <phoneticPr fontId="1" type="noConversion"/>
  </si>
  <si>
    <t>关税</t>
    <phoneticPr fontId="1" type="noConversion"/>
  </si>
  <si>
    <t>增值税</t>
    <phoneticPr fontId="1" type="noConversion"/>
  </si>
  <si>
    <t>消费税</t>
    <phoneticPr fontId="1" type="noConversion"/>
  </si>
  <si>
    <t>实征行邮税反倾销税额</t>
    <phoneticPr fontId="1" type="noConversion"/>
  </si>
  <si>
    <t>实征反补贴税款</t>
    <phoneticPr fontId="1" type="noConversion"/>
  </si>
  <si>
    <t>实征废旧基金</t>
    <phoneticPr fontId="1" type="noConversion"/>
  </si>
  <si>
    <t>总税额</t>
    <phoneticPr fontId="1" type="noConversion"/>
  </si>
  <si>
    <t>海关审核备注</t>
    <phoneticPr fontId="1" type="noConversion"/>
  </si>
  <si>
    <t>小件数</t>
    <phoneticPr fontId="1" type="noConversion"/>
  </si>
  <si>
    <t>小件单位</t>
    <phoneticPr fontId="1" type="noConversion"/>
  </si>
  <si>
    <t>袋号</t>
    <phoneticPr fontId="1" type="noConversion"/>
  </si>
  <si>
    <t>运单用户自定义1</t>
    <phoneticPr fontId="1" type="noConversion"/>
  </si>
  <si>
    <t>运单用户自定义2</t>
    <phoneticPr fontId="1" type="noConversion"/>
  </si>
  <si>
    <t>运单用户自定义3</t>
    <phoneticPr fontId="1" type="noConversion"/>
  </si>
  <si>
    <t>TNT包号</t>
    <phoneticPr fontId="1" type="noConversion"/>
  </si>
  <si>
    <t>报关单编号</t>
    <phoneticPr fontId="1" type="noConversion"/>
  </si>
  <si>
    <t>创建人</t>
    <phoneticPr fontId="1" type="noConversion"/>
  </si>
  <si>
    <t>创建日期</t>
    <phoneticPr fontId="1" type="noConversion"/>
  </si>
  <si>
    <t>内陆航班号</t>
    <phoneticPr fontId="1" type="noConversion"/>
  </si>
  <si>
    <t>内陆航班日期</t>
    <phoneticPr fontId="1" type="noConversion"/>
  </si>
  <si>
    <t>导出币别</t>
    <phoneticPr fontId="1" type="noConversion"/>
  </si>
  <si>
    <t>导出价值</t>
    <phoneticPr fontId="1" type="noConversion"/>
  </si>
  <si>
    <t>打印币别</t>
    <phoneticPr fontId="1" type="noConversion"/>
  </si>
  <si>
    <t>打印价值</t>
    <phoneticPr fontId="1" type="noConversion"/>
  </si>
  <si>
    <t>三免数据最后发送时间</t>
    <phoneticPr fontId="1" type="noConversion"/>
  </si>
  <si>
    <t>三免数据匹配时间</t>
    <phoneticPr fontId="1" type="noConversion"/>
  </si>
  <si>
    <t>派送指令</t>
    <phoneticPr fontId="1" type="noConversion"/>
  </si>
  <si>
    <t>进口到付标记</t>
    <phoneticPr fontId="1" type="noConversion"/>
  </si>
  <si>
    <t>RAS标记</t>
    <phoneticPr fontId="1" type="noConversion"/>
  </si>
  <si>
    <t>是否海关重点设查</t>
    <phoneticPr fontId="1" type="noConversion"/>
  </si>
  <si>
    <t>是否化工品</t>
    <phoneticPr fontId="1" type="noConversion"/>
  </si>
  <si>
    <t>化工品编号</t>
    <phoneticPr fontId="1" type="noConversion"/>
  </si>
  <si>
    <t>起运站点</t>
    <phoneticPr fontId="1" type="noConversion"/>
  </si>
  <si>
    <t>检验检疫类型</t>
    <phoneticPr fontId="1" type="noConversion"/>
  </si>
  <si>
    <t>业务分类</t>
    <phoneticPr fontId="1" type="noConversion"/>
  </si>
  <si>
    <t>贸易方式</t>
    <phoneticPr fontId="1" type="noConversion"/>
  </si>
  <si>
    <t>收件人代码</t>
    <phoneticPr fontId="1" type="noConversion"/>
  </si>
  <si>
    <t>收件人联系电话</t>
    <phoneticPr fontId="1" type="noConversion"/>
  </si>
  <si>
    <t>收件人国籍</t>
    <phoneticPr fontId="1" type="noConversion"/>
  </si>
  <si>
    <t>收件人国籍代码</t>
    <phoneticPr fontId="1" type="noConversion"/>
  </si>
  <si>
    <t>收件人证件类型</t>
    <phoneticPr fontId="1" type="noConversion"/>
  </si>
  <si>
    <t>收件人证件号</t>
    <phoneticPr fontId="1" type="noConversion"/>
  </si>
  <si>
    <t>发件人代码</t>
    <phoneticPr fontId="1" type="noConversion"/>
  </si>
  <si>
    <t>发件人国籍</t>
    <phoneticPr fontId="1" type="noConversion"/>
  </si>
  <si>
    <t>发件人国籍代码</t>
    <phoneticPr fontId="1" type="noConversion"/>
  </si>
  <si>
    <t>发件人证件类型</t>
    <phoneticPr fontId="1" type="noConversion"/>
  </si>
  <si>
    <t>发件人证件号</t>
    <phoneticPr fontId="1" type="noConversion"/>
  </si>
  <si>
    <t>审查号</t>
    <phoneticPr fontId="1" type="noConversion"/>
  </si>
  <si>
    <t>情况说明</t>
    <phoneticPr fontId="1" type="noConversion"/>
  </si>
  <si>
    <t>证件照片或扫描件</t>
    <phoneticPr fontId="1" type="noConversion"/>
  </si>
  <si>
    <t>退运申请</t>
    <phoneticPr fontId="1" type="noConversion"/>
  </si>
  <si>
    <t>销毁申请</t>
    <phoneticPr fontId="1" type="noConversion"/>
  </si>
  <si>
    <t>其他单证</t>
    <phoneticPr fontId="1" type="noConversion"/>
  </si>
  <si>
    <t>护照通行证</t>
    <phoneticPr fontId="1" type="noConversion"/>
  </si>
  <si>
    <t>出生医学证明</t>
    <phoneticPr fontId="1" type="noConversion"/>
  </si>
  <si>
    <t>许可证证书类</t>
    <phoneticPr fontId="1" type="noConversion"/>
  </si>
  <si>
    <t>其他证明材料</t>
    <phoneticPr fontId="1" type="noConversion"/>
  </si>
  <si>
    <t>声明类</t>
    <phoneticPr fontId="1" type="noConversion"/>
  </si>
  <si>
    <t>报关单</t>
    <phoneticPr fontId="1" type="noConversion"/>
  </si>
  <si>
    <t>分运行李单</t>
    <phoneticPr fontId="1" type="noConversion"/>
  </si>
  <si>
    <t>预留12</t>
    <phoneticPr fontId="1" type="noConversion"/>
  </si>
  <si>
    <t>预留13</t>
    <phoneticPr fontId="1" type="noConversion"/>
  </si>
  <si>
    <t>检验检疫联系单</t>
    <phoneticPr fontId="1" type="noConversion"/>
  </si>
  <si>
    <t>海关图片上传</t>
    <phoneticPr fontId="1" type="noConversion"/>
  </si>
  <si>
    <t>PACS图片获取</t>
    <phoneticPr fontId="1" type="noConversion"/>
  </si>
  <si>
    <t>备注</t>
    <phoneticPr fontId="1" type="noConversion"/>
  </si>
  <si>
    <t>处理结果</t>
    <phoneticPr fontId="1" type="noConversion"/>
  </si>
  <si>
    <t>英文经停城市</t>
    <phoneticPr fontId="1" type="noConversion"/>
  </si>
  <si>
    <t>是否含木质包装</t>
    <phoneticPr fontId="1" type="noConversion"/>
  </si>
  <si>
    <t>是否为旧物品</t>
    <phoneticPr fontId="1" type="noConversion"/>
  </si>
  <si>
    <t>是否为低温运输</t>
    <phoneticPr fontId="1" type="noConversion"/>
  </si>
  <si>
    <t>时间戳</t>
    <phoneticPr fontId="1" type="noConversion"/>
  </si>
  <si>
    <t>F143</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</si>
</sst>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0;[Red]0"/>
    <numFmt numFmtId="177" formatCode="[$-1010804]General"/>
    <numFmt numFmtId="178" formatCode="[=0]&quot;&quot;;General"/>
    <numFmt numFmtId="179" formatCode="0_);[Red]\(0\)"/>
    <numFmt numFmtId="180" formatCode="g/&quot;通&quot;&quot;用&quot;&quot;格&quot;&quot;式&quot;"/>
    <numFmt numFmtId="181" formatCode="0_ "/>
    <numFmt numFmtId="182" formatCode="yyyy&quot;年&quot;m&quot;月&quot;d&quot;日&quot;;@"/>
  </numFmts>
  <fonts count="94">
    <font>
      <sz val="11"/>
      <color theme="1"/>
      <name val="宋体"/>
      <family val="2"/>
      <charset val="134"/>
      <scheme val="minor"/>
    </font>
    <font>
      <sz val="9"/>
      <name val="宋体"/>
      <family val="2"/>
      <charset val="134"/>
      <scheme val="minor"/>
    </font>
    <font>
      <sz val="12"/>
      <name val="宋体"/>
      <family val="3"/>
      <charset val="134"/>
    </font>
    <font>
      <sz val="9"/>
      <name val="宋体"/>
      <family val="3"/>
      <charset val="134"/>
    </font>
    <font>
      <sz val="10"/>
      <name val="Arial"/>
      <family val="2"/>
    </font>
    <font>
      <sz val="11"/>
      <color theme="1"/>
      <name val="宋体"/>
      <family val="3"/>
      <charset val="134"/>
      <scheme val="minor"/>
    </font>
    <font>
      <b/>
      <sz val="20"/>
      <color theme="1"/>
      <name val="宋体"/>
      <family val="3"/>
      <charset val="134"/>
      <scheme val="minor"/>
    </font>
    <font>
      <sz val="11"/>
      <color theme="1"/>
      <name val="宋体"/>
      <family val="2"/>
      <charset val="134"/>
      <scheme val="minor"/>
    </font>
    <font>
      <b/>
      <sz val="11"/>
      <color theme="1"/>
      <name val="宋体"/>
      <family val="3"/>
      <charset val="134"/>
      <scheme val="minor"/>
    </font>
    <font>
      <b/>
      <sz val="18"/>
      <color rgb="FFFF0000"/>
      <name val="微软雅黑"/>
      <family val="2"/>
      <charset val="134"/>
    </font>
    <font>
      <b/>
      <sz val="16"/>
      <color rgb="FFFF0000"/>
      <name val="微软雅黑"/>
      <family val="2"/>
      <charset val="134"/>
    </font>
    <font>
      <b/>
      <sz val="14"/>
      <color rgb="FFFF0000"/>
      <name val="微软雅黑"/>
      <family val="2"/>
      <charset val="134"/>
    </font>
    <font>
      <sz val="11"/>
      <color theme="1"/>
      <name val="宋体"/>
      <family val="2"/>
      <scheme val="minor"/>
    </font>
    <font>
      <b/>
      <sz val="16"/>
      <color rgb="FFFF0000"/>
      <name val="宋体"/>
      <family val="3"/>
      <charset val="134"/>
      <scheme val="minor"/>
    </font>
    <font>
      <sz val="20"/>
      <name val="Arial"/>
      <family val="2"/>
    </font>
    <font>
      <b/>
      <sz val="20"/>
      <color rgb="FFFFFF00"/>
      <name val="Arial"/>
      <family val="2"/>
    </font>
    <font>
      <sz val="20"/>
      <color theme="1"/>
      <name val="宋体"/>
      <family val="2"/>
      <charset val="134"/>
      <scheme val="minor"/>
    </font>
    <font>
      <sz val="20"/>
      <name val="宋体"/>
      <family val="3"/>
      <charset val="134"/>
    </font>
    <font>
      <b/>
      <sz val="16"/>
      <name val="宋体"/>
      <family val="3"/>
      <charset val="134"/>
      <scheme val="minor"/>
    </font>
    <font>
      <sz val="20"/>
      <color theme="1"/>
      <name val="宋体"/>
      <family val="2"/>
      <scheme val="minor"/>
    </font>
    <font>
      <sz val="9"/>
      <name val="宋体"/>
      <family val="3"/>
      <charset val="134"/>
      <scheme val="minor"/>
    </font>
    <font>
      <sz val="20"/>
      <color theme="1"/>
      <name val="宋体"/>
      <family val="3"/>
      <charset val="134"/>
      <scheme val="minor"/>
    </font>
    <font>
      <sz val="11"/>
      <name val="宋体"/>
      <family val="2"/>
      <scheme val="minor"/>
    </font>
    <font>
      <sz val="11"/>
      <color rgb="FFC00000"/>
      <name val="宋体"/>
      <family val="3"/>
      <charset val="134"/>
      <scheme val="minor"/>
    </font>
    <font>
      <sz val="18"/>
      <color theme="1"/>
      <name val="宋体"/>
      <family val="2"/>
      <scheme val="minor"/>
    </font>
    <font>
      <sz val="18"/>
      <color theme="1"/>
      <name val="宋体"/>
      <family val="3"/>
      <charset val="134"/>
      <scheme val="minor"/>
    </font>
    <font>
      <b/>
      <sz val="10"/>
      <color indexed="81"/>
      <name val="宋体"/>
      <family val="3"/>
      <charset val="134"/>
    </font>
    <font>
      <b/>
      <sz val="9"/>
      <color indexed="81"/>
      <name val="宋体"/>
      <family val="3"/>
      <charset val="134"/>
    </font>
    <font>
      <sz val="9"/>
      <color indexed="81"/>
      <name val="宋体"/>
      <family val="3"/>
      <charset val="134"/>
    </font>
    <font>
      <b/>
      <sz val="14"/>
      <color rgb="FFFF0000"/>
      <name val="宋体"/>
      <family val="3"/>
      <charset val="134"/>
      <scheme val="minor"/>
    </font>
    <font>
      <b/>
      <sz val="14"/>
      <name val="宋体"/>
      <family val="3"/>
      <charset val="134"/>
      <scheme val="minor"/>
    </font>
    <font>
      <sz val="14"/>
      <name val="宋体"/>
      <family val="3"/>
      <charset val="134"/>
      <scheme val="minor"/>
    </font>
    <font>
      <b/>
      <sz val="11"/>
      <color theme="1"/>
      <name val="宋体"/>
      <family val="2"/>
      <charset val="134"/>
      <scheme val="minor"/>
    </font>
    <font>
      <b/>
      <sz val="11"/>
      <color theme="1"/>
      <name val="Arial"/>
      <family val="2"/>
    </font>
    <font>
      <sz val="11"/>
      <name val="宋体"/>
      <family val="2"/>
      <charset val="134"/>
      <scheme val="minor"/>
    </font>
    <font>
      <sz val="11"/>
      <name val="宋体"/>
      <family val="3"/>
      <charset val="134"/>
      <scheme val="minor"/>
    </font>
    <font>
      <b/>
      <sz val="11"/>
      <name val="宋体"/>
      <family val="3"/>
      <charset val="134"/>
      <scheme val="minor"/>
    </font>
    <font>
      <b/>
      <sz val="24"/>
      <name val="宋体"/>
      <family val="3"/>
      <charset val="134"/>
    </font>
    <font>
      <sz val="10"/>
      <name val="微软雅黑"/>
      <family val="2"/>
      <charset val="134"/>
    </font>
    <font>
      <b/>
      <sz val="18"/>
      <name val="微软雅黑"/>
      <family val="2"/>
      <charset val="134"/>
    </font>
    <font>
      <b/>
      <sz val="10"/>
      <name val="微软雅黑"/>
      <family val="2"/>
      <charset val="134"/>
    </font>
    <font>
      <b/>
      <sz val="16"/>
      <name val="微软雅黑"/>
      <family val="2"/>
      <charset val="134"/>
    </font>
    <font>
      <b/>
      <sz val="14"/>
      <name val="微软雅黑"/>
      <family val="2"/>
      <charset val="134"/>
    </font>
    <font>
      <b/>
      <sz val="12"/>
      <name val="微软雅黑"/>
      <family val="2"/>
      <charset val="134"/>
    </font>
    <font>
      <b/>
      <sz val="18"/>
      <color rgb="FFFF0000"/>
      <name val="黑体"/>
      <family val="3"/>
      <charset val="134"/>
    </font>
    <font>
      <b/>
      <sz val="11"/>
      <color rgb="FFFF0000"/>
      <name val="宋体"/>
      <family val="3"/>
      <charset val="134"/>
      <scheme val="minor"/>
    </font>
    <font>
      <b/>
      <sz val="12"/>
      <color rgb="FFFF00FF"/>
      <name val="宋体"/>
      <family val="3"/>
      <charset val="134"/>
    </font>
    <font>
      <b/>
      <sz val="14"/>
      <color rgb="FFFF00FF"/>
      <name val="微软雅黑"/>
      <family val="2"/>
      <charset val="134"/>
    </font>
    <font>
      <sz val="14"/>
      <color rgb="FF000000"/>
      <name val="Microsoft YaHei"/>
      <family val="2"/>
      <charset val="134"/>
    </font>
    <font>
      <sz val="11"/>
      <color rgb="FFFF0000"/>
      <name val="宋体"/>
      <family val="3"/>
      <charset val="134"/>
      <scheme val="minor"/>
    </font>
    <font>
      <b/>
      <sz val="14"/>
      <color rgb="FFFFFF00"/>
      <name val="宋体"/>
      <family val="2"/>
      <charset val="134"/>
      <scheme val="minor"/>
    </font>
    <font>
      <b/>
      <sz val="16"/>
      <color rgb="FFFFFF00"/>
      <name val="宋体"/>
      <family val="2"/>
      <charset val="134"/>
      <scheme val="minor"/>
    </font>
    <font>
      <sz val="11"/>
      <color theme="0" tint="-0.34998626667073579"/>
      <name val="宋体"/>
      <family val="2"/>
      <charset val="134"/>
      <scheme val="minor"/>
    </font>
    <font>
      <b/>
      <sz val="14"/>
      <color rgb="FFFFFF00"/>
      <name val="Arial"/>
      <family val="2"/>
    </font>
    <font>
      <b/>
      <sz val="16"/>
      <color rgb="FFFFFF00"/>
      <name val="Arial"/>
      <family val="2"/>
    </font>
    <font>
      <sz val="10"/>
      <color theme="0" tint="-0.34998626667073579"/>
      <name val="Arial"/>
      <family val="2"/>
    </font>
    <font>
      <sz val="14"/>
      <color theme="1"/>
      <name val="宋体"/>
      <family val="3"/>
      <charset val="134"/>
    </font>
    <font>
      <b/>
      <sz val="18"/>
      <color rgb="FFFF0000"/>
      <name val="宋体"/>
      <family val="3"/>
      <charset val="134"/>
    </font>
    <font>
      <b/>
      <sz val="18"/>
      <color rgb="FFFF0000"/>
      <name val="Wingdings"/>
      <charset val="2"/>
    </font>
    <font>
      <sz val="14"/>
      <color theme="1"/>
      <name val="Calibri"/>
      <family val="2"/>
    </font>
    <font>
      <b/>
      <sz val="18"/>
      <color rgb="FFFF0000"/>
      <name val="Arial"/>
      <family val="2"/>
    </font>
    <font>
      <sz val="28"/>
      <color rgb="FFFF0000"/>
      <name val="MRV Code128XT"/>
      <family val="3"/>
      <charset val="134"/>
    </font>
    <font>
      <b/>
      <sz val="16"/>
      <color rgb="FFFF0000"/>
      <name val="Calibri"/>
      <family val="2"/>
    </font>
    <font>
      <sz val="16"/>
      <color theme="1"/>
      <name val="宋体"/>
      <family val="3"/>
      <charset val="134"/>
    </font>
    <font>
      <b/>
      <sz val="48"/>
      <color rgb="FFFF0000"/>
      <name val="Arial"/>
      <family val="2"/>
    </font>
    <font>
      <sz val="48"/>
      <name val="Arial"/>
      <family val="2"/>
    </font>
    <font>
      <sz val="18"/>
      <name val="Arial"/>
      <family val="2"/>
    </font>
    <font>
      <b/>
      <sz val="48"/>
      <color rgb="FFFF0000"/>
      <name val="宋体"/>
      <family val="3"/>
      <charset val="134"/>
    </font>
    <font>
      <b/>
      <sz val="18"/>
      <color rgb="FFFFFF00"/>
      <name val="Arial"/>
      <family val="2"/>
    </font>
    <font>
      <b/>
      <sz val="18"/>
      <color rgb="FFFF0000"/>
      <name val="Calibri"/>
      <family val="2"/>
    </font>
    <font>
      <sz val="18"/>
      <color theme="1"/>
      <name val="宋体"/>
      <family val="3"/>
      <charset val="134"/>
    </font>
    <font>
      <sz val="18"/>
      <name val="宋体"/>
      <family val="3"/>
      <charset val="134"/>
    </font>
    <font>
      <sz val="16"/>
      <color theme="0"/>
      <name val="Calibri"/>
      <family val="2"/>
    </font>
    <font>
      <sz val="16"/>
      <color theme="0"/>
      <name val="宋体"/>
      <family val="3"/>
      <charset val="134"/>
    </font>
    <font>
      <b/>
      <sz val="16"/>
      <color rgb="FFFF0000"/>
      <name val="Arial"/>
      <family val="2"/>
    </font>
    <font>
      <sz val="10"/>
      <color rgb="FFFF0000"/>
      <name val="Arial"/>
      <family val="2"/>
    </font>
    <font>
      <b/>
      <sz val="16"/>
      <color theme="1"/>
      <name val="宋体"/>
      <family val="3"/>
      <charset val="134"/>
    </font>
    <font>
      <sz val="16"/>
      <color theme="1"/>
      <name val="Calibri"/>
      <family val="2"/>
    </font>
    <font>
      <b/>
      <sz val="18"/>
      <name val="宋体"/>
      <family val="3"/>
      <charset val="134"/>
    </font>
    <font>
      <sz val="72"/>
      <color rgb="FFFF0000"/>
      <name val="Arial"/>
      <family val="2"/>
    </font>
    <font>
      <b/>
      <sz val="16"/>
      <color rgb="FFFF0000"/>
      <name val="宋体"/>
      <family val="3"/>
      <charset val="134"/>
    </font>
    <font>
      <b/>
      <sz val="28"/>
      <color rgb="FFFF0000"/>
      <name val="微软雅黑"/>
      <family val="2"/>
      <charset val="134"/>
    </font>
    <font>
      <sz val="36"/>
      <color rgb="FFFF0000"/>
      <name val="Arial"/>
      <family val="2"/>
    </font>
    <font>
      <b/>
      <sz val="9"/>
      <color theme="1"/>
      <name val="宋体"/>
      <family val="3"/>
      <charset val="134"/>
      <scheme val="minor"/>
    </font>
    <font>
      <sz val="18"/>
      <color rgb="FFFF0000"/>
      <name val="Arial"/>
      <family val="2"/>
    </font>
    <font>
      <sz val="18"/>
      <color theme="1"/>
      <name val="宋体"/>
      <family val="2"/>
      <charset val="134"/>
      <scheme val="minor"/>
    </font>
    <font>
      <sz val="18"/>
      <color theme="0"/>
      <name val="宋体"/>
      <family val="3"/>
      <charset val="134"/>
    </font>
    <font>
      <sz val="18"/>
      <color theme="0"/>
      <name val="Calibri"/>
      <family val="2"/>
    </font>
    <font>
      <b/>
      <sz val="18"/>
      <color rgb="FFFFFF00"/>
      <name val="宋体"/>
      <family val="2"/>
      <charset val="134"/>
      <scheme val="minor"/>
    </font>
    <font>
      <b/>
      <sz val="22"/>
      <color theme="1"/>
      <name val="微软雅黑"/>
      <family val="2"/>
      <charset val="134"/>
    </font>
    <font>
      <b/>
      <sz val="18"/>
      <name val="黑体"/>
      <family val="3"/>
      <charset val="134"/>
    </font>
    <font>
      <sz val="18"/>
      <name val="宋体"/>
      <family val="3"/>
      <charset val="134"/>
      <scheme val="minor"/>
    </font>
    <font>
      <b/>
      <sz val="18"/>
      <name val="宋体"/>
      <family val="3"/>
      <charset val="134"/>
      <scheme val="minor"/>
    </font>
    <font>
      <b/>
      <sz val="11"/>
      <color rgb="FFFF0000"/>
      <name val="微软雅黑"/>
      <family val="2"/>
      <charset val="134"/>
    </font>
  </fonts>
  <fills count="10">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3" tint="0.79998168889431442"/>
        <bgColor indexed="64"/>
      </patternFill>
    </fill>
    <fill>
      <patternFill patternType="solid">
        <fgColor rgb="FFFFC000"/>
        <bgColor indexed="64"/>
      </patternFill>
    </fill>
    <fill>
      <patternFill patternType="solid">
        <fgColor theme="3" tint="0.59999389629810485"/>
        <bgColor indexed="64"/>
      </patternFill>
    </fill>
    <fill>
      <patternFill patternType="solid">
        <fgColor rgb="FFE6F5AD"/>
        <bgColor indexed="64"/>
      </patternFill>
    </fill>
    <fill>
      <patternFill patternType="solid">
        <fgColor theme="2" tint="-0.249977111117893"/>
        <bgColor indexed="64"/>
      </patternFill>
    </fill>
    <fill>
      <patternFill patternType="solid">
        <fgColor theme="9" tint="0.39997558519241921"/>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top/>
      <bottom/>
      <diagonal/>
    </border>
    <border>
      <left/>
      <right style="medium">
        <color indexed="64"/>
      </right>
      <top/>
      <bottom/>
      <diagonal/>
    </border>
    <border>
      <left/>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16">
    <xf numFmtId="177" fontId="0" fillId="0" borderId="0">
      <alignment vertical="center"/>
    </xf>
    <xf numFmtId="177" fontId="2" fillId="0" borderId="0">
      <alignment vertical="center"/>
    </xf>
    <xf numFmtId="177" fontId="4" fillId="0" borderId="0"/>
    <xf numFmtId="177" fontId="5" fillId="0" borderId="0">
      <alignment vertical="center"/>
    </xf>
    <xf numFmtId="177" fontId="2" fillId="0" borderId="0"/>
    <xf numFmtId="177" fontId="4" fillId="0" borderId="0">
      <alignment wrapText="1"/>
    </xf>
    <xf numFmtId="177" fontId="4" fillId="0" borderId="0"/>
    <xf numFmtId="177" fontId="4" fillId="0" borderId="0"/>
    <xf numFmtId="177" fontId="5" fillId="0" borderId="0">
      <alignment vertical="center"/>
    </xf>
    <xf numFmtId="177" fontId="4" fillId="0" borderId="0"/>
    <xf numFmtId="177" fontId="5" fillId="0" borderId="0">
      <alignment vertical="center"/>
    </xf>
    <xf numFmtId="177" fontId="7" fillId="0" borderId="0">
      <alignment vertical="center"/>
    </xf>
    <xf numFmtId="177" fontId="7" fillId="0" borderId="0">
      <alignment vertical="center"/>
    </xf>
    <xf numFmtId="177" fontId="12" fillId="0" borderId="0"/>
    <xf numFmtId="177" fontId="12" fillId="0" borderId="0"/>
    <xf numFmtId="0" fontId="12" fillId="0" borderId="0"/>
  </cellStyleXfs>
  <cellXfs count="268">
    <xf numFmtId="177" fontId="0" fillId="0" borderId="0" xfId="0">
      <alignment vertical="center"/>
    </xf>
    <xf numFmtId="179" fontId="0" fillId="0" borderId="0" xfId="0" applyNumberFormat="1">
      <alignment vertical="center"/>
    </xf>
    <xf numFmtId="14" fontId="0" fillId="0" borderId="0" xfId="0" applyNumberFormat="1">
      <alignment vertical="center"/>
    </xf>
    <xf numFmtId="177" fontId="8" fillId="2" borderId="0" xfId="0" applyFont="1" applyFill="1">
      <alignment vertical="center"/>
    </xf>
    <xf numFmtId="177" fontId="8" fillId="0" borderId="0" xfId="0" applyFont="1">
      <alignment vertical="center"/>
    </xf>
    <xf numFmtId="177" fontId="8" fillId="0" borderId="0" xfId="0" applyNumberFormat="1" applyFont="1">
      <alignment vertical="center"/>
    </xf>
    <xf numFmtId="177" fontId="0" fillId="0" borderId="0" xfId="0" applyNumberFormat="1">
      <alignment vertical="center"/>
    </xf>
    <xf numFmtId="180" fontId="8" fillId="0" borderId="0" xfId="0" applyNumberFormat="1" applyFont="1">
      <alignment vertical="center"/>
    </xf>
    <xf numFmtId="178" fontId="6" fillId="0" borderId="13" xfId="0" applyNumberFormat="1" applyFont="1" applyBorder="1" applyAlignment="1" applyProtection="1">
      <alignment horizontal="left" vertical="center"/>
      <protection hidden="1"/>
    </xf>
    <xf numFmtId="177" fontId="6" fillId="0" borderId="13" xfId="0" applyFont="1" applyBorder="1" applyAlignment="1" applyProtection="1">
      <alignment horizontal="left" vertical="center"/>
      <protection hidden="1"/>
    </xf>
    <xf numFmtId="178" fontId="14" fillId="0" borderId="0" xfId="2" applyNumberFormat="1" applyFont="1" applyAlignment="1" applyProtection="1">
      <alignment vertical="center"/>
      <protection hidden="1"/>
    </xf>
    <xf numFmtId="178" fontId="15" fillId="0" borderId="0" xfId="2" applyNumberFormat="1" applyFont="1" applyAlignment="1" applyProtection="1">
      <alignment vertical="center"/>
      <protection hidden="1"/>
    </xf>
    <xf numFmtId="177" fontId="16" fillId="0" borderId="0" xfId="0" applyFont="1" applyProtection="1">
      <alignment vertical="center"/>
      <protection hidden="1"/>
    </xf>
    <xf numFmtId="178" fontId="17" fillId="0" borderId="0" xfId="2" applyNumberFormat="1" applyFont="1" applyAlignment="1" applyProtection="1">
      <alignment vertical="center"/>
      <protection hidden="1"/>
    </xf>
    <xf numFmtId="177" fontId="8" fillId="2" borderId="0" xfId="0" applyNumberFormat="1" applyFont="1" applyFill="1">
      <alignment vertical="center"/>
    </xf>
    <xf numFmtId="180" fontId="0" fillId="0" borderId="0" xfId="0" applyNumberFormat="1">
      <alignment vertical="center"/>
    </xf>
    <xf numFmtId="177" fontId="0" fillId="2" borderId="0" xfId="0" applyFill="1">
      <alignment vertical="center"/>
    </xf>
    <xf numFmtId="177" fontId="32" fillId="2" borderId="0" xfId="0" applyNumberFormat="1" applyFont="1" applyFill="1">
      <alignment vertical="center"/>
    </xf>
    <xf numFmtId="179" fontId="32" fillId="2" borderId="0" xfId="0" applyNumberFormat="1" applyFont="1" applyFill="1">
      <alignment vertical="center"/>
    </xf>
    <xf numFmtId="14" fontId="32" fillId="2" borderId="0" xfId="0" applyNumberFormat="1" applyFont="1" applyFill="1">
      <alignment vertical="center"/>
    </xf>
    <xf numFmtId="177" fontId="32" fillId="2" borderId="0" xfId="0" applyFont="1" applyFill="1">
      <alignment vertical="center"/>
    </xf>
    <xf numFmtId="177" fontId="33" fillId="0" borderId="0" xfId="0" applyFont="1">
      <alignment vertical="center"/>
    </xf>
    <xf numFmtId="179" fontId="32" fillId="0" borderId="0" xfId="0" applyNumberFormat="1" applyFont="1">
      <alignment vertical="center"/>
    </xf>
    <xf numFmtId="14" fontId="32" fillId="0" borderId="0" xfId="0" applyNumberFormat="1" applyFont="1">
      <alignment vertical="center"/>
    </xf>
    <xf numFmtId="177" fontId="32" fillId="0" borderId="0" xfId="0" applyFont="1">
      <alignment vertical="center"/>
    </xf>
    <xf numFmtId="176" fontId="9" fillId="0" borderId="1" xfId="10" applyNumberFormat="1" applyFont="1" applyFill="1" applyBorder="1" applyAlignment="1" applyProtection="1">
      <alignment horizontal="center" vertical="center"/>
      <protection locked="0"/>
    </xf>
    <xf numFmtId="177" fontId="10" fillId="0" borderId="1" xfId="10" applyFont="1" applyFill="1" applyBorder="1" applyAlignment="1" applyProtection="1">
      <alignment horizontal="center" vertical="center"/>
      <protection locked="0"/>
    </xf>
    <xf numFmtId="1" fontId="11" fillId="0" borderId="1" xfId="10" applyNumberFormat="1" applyFont="1" applyFill="1" applyBorder="1" applyAlignment="1" applyProtection="1">
      <alignment horizontal="center" vertical="center"/>
      <protection locked="0"/>
    </xf>
    <xf numFmtId="177" fontId="35" fillId="0" borderId="0" xfId="10" applyFont="1" applyFill="1" applyBorder="1" applyAlignment="1" applyProtection="1">
      <alignment vertical="center" wrapText="1"/>
    </xf>
    <xf numFmtId="177" fontId="35" fillId="0" borderId="0" xfId="10" applyFont="1" applyFill="1" applyBorder="1" applyProtection="1">
      <alignment vertical="center"/>
    </xf>
    <xf numFmtId="177" fontId="35" fillId="0" borderId="0" xfId="10" applyFont="1" applyFill="1" applyProtection="1">
      <alignment vertical="center"/>
    </xf>
    <xf numFmtId="177" fontId="38" fillId="0" borderId="1" xfId="10" applyFont="1" applyFill="1" applyBorder="1" applyAlignment="1" applyProtection="1">
      <alignment horizontal="right" vertical="center" wrapText="1"/>
    </xf>
    <xf numFmtId="177" fontId="38" fillId="0" borderId="1" xfId="10" applyFont="1" applyFill="1" applyBorder="1" applyAlignment="1" applyProtection="1">
      <alignment horizontal="center" vertical="center"/>
      <protection locked="0"/>
    </xf>
    <xf numFmtId="49" fontId="38" fillId="0" borderId="1" xfId="10" applyNumberFormat="1" applyFont="1" applyFill="1" applyBorder="1" applyAlignment="1" applyProtection="1">
      <alignment horizontal="center" vertical="center"/>
    </xf>
    <xf numFmtId="177" fontId="38" fillId="0" borderId="1" xfId="10" applyFont="1" applyFill="1" applyBorder="1" applyAlignment="1" applyProtection="1">
      <alignment horizontal="left" vertical="center"/>
    </xf>
    <xf numFmtId="177" fontId="42" fillId="0" borderId="1" xfId="10" applyFont="1" applyFill="1" applyBorder="1" applyAlignment="1" applyProtection="1">
      <alignment horizontal="center" vertical="center"/>
      <protection locked="0"/>
    </xf>
    <xf numFmtId="177" fontId="40" fillId="0" borderId="9" xfId="10" applyFont="1" applyFill="1" applyBorder="1" applyAlignment="1" applyProtection="1">
      <alignment vertical="center" wrapText="1"/>
    </xf>
    <xf numFmtId="177" fontId="38" fillId="0" borderId="0" xfId="10" applyFont="1" applyFill="1" applyBorder="1" applyProtection="1">
      <alignment vertical="center"/>
    </xf>
    <xf numFmtId="177" fontId="38" fillId="0" borderId="10" xfId="10" applyFont="1" applyFill="1" applyBorder="1" applyProtection="1">
      <alignment vertical="center"/>
    </xf>
    <xf numFmtId="177" fontId="38" fillId="0" borderId="1" xfId="10" applyFont="1" applyFill="1" applyBorder="1" applyAlignment="1" applyProtection="1">
      <alignment horizontal="center" vertical="center" wrapText="1"/>
    </xf>
    <xf numFmtId="177" fontId="38" fillId="0" borderId="1" xfId="10" applyFont="1" applyFill="1" applyBorder="1" applyAlignment="1" applyProtection="1">
      <alignment horizontal="left" vertical="center" wrapText="1"/>
    </xf>
    <xf numFmtId="177" fontId="38" fillId="0" borderId="1" xfId="10" applyFont="1" applyFill="1" applyBorder="1" applyAlignment="1" applyProtection="1">
      <alignment horizontal="center" vertical="center"/>
    </xf>
    <xf numFmtId="176" fontId="41" fillId="0" borderId="1" xfId="3" applyNumberFormat="1" applyFont="1" applyFill="1" applyBorder="1" applyAlignment="1" applyProtection="1">
      <alignment horizontal="center" vertical="center"/>
      <protection locked="0"/>
    </xf>
    <xf numFmtId="177" fontId="41" fillId="0" borderId="1" xfId="3" applyNumberFormat="1" applyFont="1" applyFill="1" applyBorder="1" applyAlignment="1" applyProtection="1">
      <alignment horizontal="center" vertical="center"/>
      <protection locked="0"/>
    </xf>
    <xf numFmtId="177" fontId="43" fillId="0" borderId="1" xfId="3" applyFont="1" applyFill="1" applyBorder="1" applyAlignment="1" applyProtection="1">
      <alignment horizontal="center" vertical="center"/>
      <protection locked="0"/>
    </xf>
    <xf numFmtId="177" fontId="39" fillId="0" borderId="1" xfId="3" applyNumberFormat="1" applyFont="1" applyFill="1" applyBorder="1" applyAlignment="1" applyProtection="1">
      <alignment horizontal="center" vertical="center"/>
      <protection locked="0"/>
    </xf>
    <xf numFmtId="177" fontId="38" fillId="0" borderId="1" xfId="3" applyFont="1" applyFill="1" applyBorder="1" applyAlignment="1" applyProtection="1">
      <alignment horizontal="center" vertical="center"/>
      <protection locked="0"/>
    </xf>
    <xf numFmtId="2" fontId="39" fillId="0" borderId="1" xfId="3" applyNumberFormat="1" applyFont="1" applyFill="1" applyBorder="1" applyAlignment="1" applyProtection="1">
      <alignment horizontal="center" vertical="center"/>
      <protection locked="0"/>
    </xf>
    <xf numFmtId="177" fontId="38" fillId="0" borderId="1" xfId="3" applyFont="1" applyFill="1" applyBorder="1" applyAlignment="1" applyProtection="1">
      <alignment horizontal="left" vertical="center"/>
      <protection locked="0"/>
    </xf>
    <xf numFmtId="177" fontId="35" fillId="0" borderId="0" xfId="3" applyFont="1" applyFill="1" applyBorder="1" applyAlignment="1" applyProtection="1">
      <alignment vertical="center" wrapText="1"/>
      <protection locked="0"/>
    </xf>
    <xf numFmtId="177" fontId="35" fillId="0" borderId="0" xfId="3" applyFont="1" applyFill="1" applyBorder="1" applyProtection="1">
      <alignment vertical="center"/>
      <protection locked="0"/>
    </xf>
    <xf numFmtId="177" fontId="35" fillId="0" borderId="0" xfId="3" applyFont="1" applyFill="1" applyProtection="1">
      <alignment vertical="center"/>
      <protection locked="0"/>
    </xf>
    <xf numFmtId="177" fontId="38" fillId="0" borderId="0" xfId="3" applyFont="1" applyFill="1" applyBorder="1" applyAlignment="1" applyProtection="1">
      <alignment horizontal="right" vertical="center" wrapText="1"/>
      <protection locked="0"/>
    </xf>
    <xf numFmtId="177" fontId="38" fillId="0" borderId="0" xfId="3" applyFont="1" applyFill="1" applyBorder="1" applyAlignment="1" applyProtection="1">
      <alignment horizontal="center" vertical="center"/>
      <protection locked="0"/>
    </xf>
    <xf numFmtId="177" fontId="34" fillId="0" borderId="0" xfId="0" applyNumberFormat="1" applyFont="1" applyFill="1" applyBorder="1" applyAlignment="1" applyProtection="1">
      <alignment vertical="center" wrapText="1"/>
      <protection locked="0"/>
    </xf>
    <xf numFmtId="177" fontId="34" fillId="0" borderId="0" xfId="0" applyNumberFormat="1" applyFont="1" applyFill="1" applyBorder="1" applyProtection="1">
      <alignment vertical="center"/>
      <protection locked="0"/>
    </xf>
    <xf numFmtId="177" fontId="34" fillId="0" borderId="0" xfId="0" applyNumberFormat="1" applyFont="1" applyFill="1" applyProtection="1">
      <alignment vertical="center"/>
      <protection locked="0"/>
    </xf>
    <xf numFmtId="177" fontId="38" fillId="0" borderId="0" xfId="0" applyNumberFormat="1" applyFont="1" applyFill="1" applyBorder="1" applyAlignment="1" applyProtection="1">
      <alignment horizontal="right" vertical="center" wrapText="1"/>
      <protection locked="0"/>
    </xf>
    <xf numFmtId="177" fontId="38" fillId="0" borderId="0" xfId="0" applyNumberFormat="1" applyFont="1" applyFill="1" applyBorder="1" applyAlignment="1" applyProtection="1">
      <alignment horizontal="center" vertical="center"/>
      <protection locked="0"/>
    </xf>
    <xf numFmtId="177" fontId="40" fillId="0" borderId="1" xfId="10" applyFont="1" applyFill="1" applyBorder="1" applyAlignment="1" applyProtection="1">
      <alignment vertical="center"/>
    </xf>
    <xf numFmtId="177" fontId="38" fillId="0" borderId="1" xfId="10" applyFont="1" applyFill="1" applyBorder="1" applyProtection="1">
      <alignment vertical="center"/>
    </xf>
    <xf numFmtId="177" fontId="38" fillId="0" borderId="1" xfId="10" applyFont="1" applyFill="1" applyBorder="1" applyAlignment="1" applyProtection="1">
      <alignment horizontal="left" vertical="justify"/>
    </xf>
    <xf numFmtId="177" fontId="35" fillId="0" borderId="1" xfId="10" applyFont="1" applyFill="1" applyBorder="1" applyProtection="1">
      <alignment vertical="center"/>
    </xf>
    <xf numFmtId="176" fontId="42" fillId="0" borderId="1" xfId="0" quotePrefix="1" applyNumberFormat="1" applyFont="1" applyFill="1" applyBorder="1" applyAlignment="1" applyProtection="1">
      <alignment horizontal="center" vertical="center"/>
      <protection locked="0"/>
    </xf>
    <xf numFmtId="177" fontId="34" fillId="0" borderId="1" xfId="0" applyNumberFormat="1" applyFont="1" applyFill="1" applyBorder="1" applyProtection="1">
      <alignment vertical="center"/>
      <protection locked="0"/>
    </xf>
    <xf numFmtId="177" fontId="38" fillId="0" borderId="1" xfId="0" applyNumberFormat="1" applyFont="1" applyFill="1" applyBorder="1" applyAlignment="1" applyProtection="1">
      <alignment horizontal="center" vertical="center"/>
      <protection locked="0"/>
    </xf>
    <xf numFmtId="177" fontId="34" fillId="0" borderId="1" xfId="0" applyNumberFormat="1" applyFont="1" applyFill="1" applyBorder="1" applyAlignment="1" applyProtection="1">
      <alignment horizontal="left" vertical="justify"/>
      <protection locked="0"/>
    </xf>
    <xf numFmtId="177" fontId="40" fillId="0" borderId="1" xfId="10" applyFont="1" applyFill="1" applyBorder="1" applyAlignment="1" applyProtection="1">
      <alignment vertical="center" wrapText="1"/>
    </xf>
    <xf numFmtId="177" fontId="38" fillId="0" borderId="2" xfId="3" applyFont="1" applyFill="1" applyBorder="1" applyAlignment="1" applyProtection="1">
      <alignment horizontal="center" vertical="center"/>
    </xf>
    <xf numFmtId="176" fontId="41" fillId="0" borderId="1" xfId="0" quotePrefix="1" applyNumberFormat="1" applyFont="1" applyFill="1" applyBorder="1" applyAlignment="1" applyProtection="1">
      <alignment horizontal="center" vertical="center"/>
      <protection locked="0"/>
    </xf>
    <xf numFmtId="177" fontId="43" fillId="0" borderId="1" xfId="0" applyNumberFormat="1" applyFont="1" applyFill="1" applyBorder="1" applyAlignment="1" applyProtection="1">
      <alignment horizontal="left" vertical="center"/>
      <protection locked="0"/>
    </xf>
    <xf numFmtId="177" fontId="41" fillId="0" borderId="1" xfId="0" applyNumberFormat="1" applyFont="1" applyFill="1" applyBorder="1" applyAlignment="1" applyProtection="1">
      <alignment horizontal="center" vertical="center"/>
      <protection locked="0"/>
    </xf>
    <xf numFmtId="2" fontId="41" fillId="0" borderId="1" xfId="0" applyNumberFormat="1" applyFont="1" applyFill="1" applyBorder="1" applyAlignment="1" applyProtection="1">
      <alignment horizontal="center" vertical="center"/>
      <protection locked="0"/>
    </xf>
    <xf numFmtId="177" fontId="38" fillId="0" borderId="1" xfId="0" applyNumberFormat="1" applyFont="1" applyFill="1" applyBorder="1" applyAlignment="1" applyProtection="1">
      <alignment horizontal="left" vertical="top"/>
      <protection locked="0"/>
    </xf>
    <xf numFmtId="176" fontId="38" fillId="0" borderId="1" xfId="0" quotePrefix="1" applyNumberFormat="1" applyFont="1" applyFill="1" applyBorder="1" applyAlignment="1" applyProtection="1">
      <alignment horizontal="center" vertical="center"/>
      <protection locked="0"/>
    </xf>
    <xf numFmtId="49" fontId="38" fillId="0" borderId="1" xfId="10" applyNumberFormat="1" applyFont="1" applyFill="1" applyBorder="1" applyAlignment="1" applyProtection="1">
      <alignment horizontal="center" vertical="center"/>
      <protection locked="0"/>
    </xf>
    <xf numFmtId="177" fontId="38" fillId="0" borderId="1" xfId="10" applyFont="1" applyFill="1" applyBorder="1" applyAlignment="1" applyProtection="1">
      <alignment horizontal="left" vertical="top"/>
      <protection locked="0"/>
    </xf>
    <xf numFmtId="177" fontId="35" fillId="0" borderId="0" xfId="10" applyFont="1" applyFill="1" applyAlignment="1" applyProtection="1">
      <alignment vertical="center" wrapText="1"/>
      <protection locked="0"/>
    </xf>
    <xf numFmtId="177" fontId="35" fillId="0" borderId="0" xfId="10" applyFont="1" applyFill="1" applyProtection="1">
      <alignment vertical="center"/>
      <protection locked="0"/>
    </xf>
    <xf numFmtId="177" fontId="35" fillId="0" borderId="0" xfId="10" applyFont="1" applyFill="1" applyAlignment="1" applyProtection="1">
      <alignment vertical="center" wrapText="1"/>
    </xf>
    <xf numFmtId="177" fontId="9" fillId="0" borderId="1" xfId="0" applyNumberFormat="1" applyFont="1" applyFill="1" applyBorder="1" applyAlignment="1" applyProtection="1">
      <alignment horizontal="center" vertical="center"/>
      <protection locked="0"/>
    </xf>
    <xf numFmtId="177" fontId="45" fillId="0" borderId="0" xfId="0" applyFont="1">
      <alignment vertical="center"/>
    </xf>
    <xf numFmtId="177" fontId="45" fillId="0" borderId="0" xfId="0" applyNumberFormat="1" applyFont="1">
      <alignment vertical="center"/>
    </xf>
    <xf numFmtId="49" fontId="32" fillId="2" borderId="0" xfId="0" applyNumberFormat="1" applyFont="1" applyFill="1">
      <alignment vertical="center"/>
    </xf>
    <xf numFmtId="49" fontId="32" fillId="0" borderId="0" xfId="0" applyNumberFormat="1" applyFont="1">
      <alignment vertical="center"/>
    </xf>
    <xf numFmtId="49" fontId="0" fillId="0" borderId="0" xfId="0" applyNumberFormat="1">
      <alignment vertical="center"/>
    </xf>
    <xf numFmtId="177" fontId="30" fillId="0" borderId="0" xfId="0" applyFont="1" applyFill="1" applyBorder="1" applyAlignment="1" applyProtection="1">
      <alignment horizontal="center" vertical="top" wrapText="1"/>
    </xf>
    <xf numFmtId="0" fontId="30" fillId="0" borderId="0" xfId="0" applyNumberFormat="1" applyFont="1" applyFill="1" applyBorder="1" applyAlignment="1" applyProtection="1">
      <alignment horizontal="right" vertical="top" wrapText="1"/>
    </xf>
    <xf numFmtId="177" fontId="44" fillId="0" borderId="0" xfId="0" applyFont="1" applyFill="1" applyBorder="1" applyAlignment="1" applyProtection="1">
      <alignment horizontal="center" vertical="top" wrapText="1"/>
    </xf>
    <xf numFmtId="49" fontId="30" fillId="0" borderId="0" xfId="0" applyNumberFormat="1" applyFont="1" applyFill="1" applyBorder="1" applyAlignment="1" applyProtection="1">
      <alignment horizontal="center" vertical="top" wrapText="1"/>
    </xf>
    <xf numFmtId="14" fontId="29" fillId="0" borderId="0" xfId="0" applyNumberFormat="1" applyFont="1" applyFill="1" applyBorder="1" applyAlignment="1" applyProtection="1">
      <alignment horizontal="center" vertical="top" wrapText="1"/>
    </xf>
    <xf numFmtId="177" fontId="31" fillId="0" borderId="0" xfId="0" applyFont="1" applyFill="1" applyBorder="1" applyAlignment="1" applyProtection="1">
      <alignment horizontal="center" vertical="top" wrapText="1"/>
    </xf>
    <xf numFmtId="177" fontId="34" fillId="0" borderId="0" xfId="0" applyFont="1" applyFill="1" applyBorder="1" applyAlignment="1" applyProtection="1">
      <alignment horizontal="center" vertical="top" wrapText="1"/>
    </xf>
    <xf numFmtId="177" fontId="34" fillId="0" borderId="0" xfId="0" applyNumberFormat="1" applyFont="1" applyFill="1" applyBorder="1" applyAlignment="1" applyProtection="1">
      <alignment horizontal="center" vertical="top" wrapText="1"/>
    </xf>
    <xf numFmtId="177" fontId="30" fillId="0" borderId="0" xfId="0" applyFont="1" applyFill="1" applyBorder="1" applyProtection="1">
      <alignment vertical="center"/>
      <protection locked="0"/>
    </xf>
    <xf numFmtId="177" fontId="44" fillId="0" borderId="0" xfId="0" applyFont="1" applyFill="1" applyBorder="1" applyProtection="1">
      <alignment vertical="center"/>
      <protection locked="0"/>
    </xf>
    <xf numFmtId="177" fontId="34" fillId="0" borderId="0" xfId="0" applyFont="1" applyFill="1" applyBorder="1" applyProtection="1">
      <alignment vertical="center"/>
      <protection locked="0"/>
    </xf>
    <xf numFmtId="49" fontId="18" fillId="0" borderId="0" xfId="0" applyNumberFormat="1" applyFont="1" applyFill="1" applyBorder="1" applyAlignment="1" applyProtection="1">
      <alignment horizontal="left" vertical="center"/>
      <protection locked="0"/>
    </xf>
    <xf numFmtId="177" fontId="18" fillId="0" borderId="0" xfId="0" applyFont="1" applyFill="1" applyBorder="1" applyProtection="1">
      <alignment vertical="center"/>
      <protection locked="0"/>
    </xf>
    <xf numFmtId="14" fontId="13" fillId="0" borderId="0" xfId="0" applyNumberFormat="1" applyFont="1" applyFill="1" applyBorder="1" applyProtection="1">
      <alignment vertical="center"/>
      <protection locked="0"/>
    </xf>
    <xf numFmtId="177" fontId="18" fillId="0" borderId="0" xfId="0" applyFont="1" applyFill="1" applyBorder="1" applyAlignment="1" applyProtection="1">
      <alignment horizontal="center" vertical="center"/>
      <protection locked="0"/>
    </xf>
    <xf numFmtId="177" fontId="22" fillId="0" borderId="0" xfId="0" applyFont="1" applyFill="1" applyBorder="1" applyProtection="1">
      <alignment vertical="center"/>
      <protection locked="0"/>
    </xf>
    <xf numFmtId="177" fontId="35" fillId="0" borderId="0" xfId="0" applyFont="1" applyFill="1" applyBorder="1" applyProtection="1">
      <alignment vertical="center"/>
      <protection locked="0"/>
    </xf>
    <xf numFmtId="177" fontId="30" fillId="0" borderId="0" xfId="0" applyFont="1" applyFill="1" applyBorder="1" applyAlignment="1" applyProtection="1">
      <alignment horizontal="left" vertical="center"/>
      <protection locked="0"/>
    </xf>
    <xf numFmtId="177" fontId="34" fillId="9" borderId="0" xfId="0" applyFont="1" applyFill="1" applyBorder="1" applyProtection="1">
      <alignment vertical="center"/>
      <protection locked="0"/>
    </xf>
    <xf numFmtId="177" fontId="30" fillId="0" borderId="0" xfId="0" applyFont="1" applyFill="1" applyProtection="1">
      <alignment vertical="center"/>
      <protection locked="0"/>
    </xf>
    <xf numFmtId="177" fontId="44" fillId="0" borderId="0" xfId="0" applyFont="1" applyFill="1" applyProtection="1">
      <alignment vertical="center"/>
      <protection locked="0"/>
    </xf>
    <xf numFmtId="177" fontId="34" fillId="0" borderId="0" xfId="0" applyFont="1" applyFill="1" applyProtection="1">
      <alignment vertical="center"/>
      <protection locked="0"/>
    </xf>
    <xf numFmtId="49" fontId="18" fillId="0" borderId="0" xfId="0" applyNumberFormat="1" applyFont="1" applyFill="1" applyAlignment="1" applyProtection="1">
      <alignment horizontal="left" vertical="center"/>
      <protection locked="0"/>
    </xf>
    <xf numFmtId="14" fontId="49" fillId="0" borderId="0" xfId="0" applyNumberFormat="1" applyFont="1" applyFill="1" applyProtection="1">
      <alignment vertical="center"/>
      <protection locked="0"/>
    </xf>
    <xf numFmtId="177" fontId="18" fillId="0" borderId="0" xfId="0" applyFont="1" applyFill="1" applyAlignment="1" applyProtection="1">
      <alignment horizontal="center" vertical="center"/>
      <protection locked="0"/>
    </xf>
    <xf numFmtId="177" fontId="36" fillId="0" borderId="0" xfId="0" applyFont="1" applyFill="1" applyProtection="1">
      <alignment vertical="center"/>
      <protection locked="0"/>
    </xf>
    <xf numFmtId="177" fontId="30" fillId="0" borderId="0" xfId="0" applyFont="1" applyFill="1" applyAlignment="1" applyProtection="1">
      <alignment horizontal="left" vertical="center"/>
      <protection locked="0"/>
    </xf>
    <xf numFmtId="177" fontId="48" fillId="0" borderId="0" xfId="0" applyFont="1" applyProtection="1">
      <alignment vertical="center"/>
      <protection locked="0"/>
    </xf>
    <xf numFmtId="177" fontId="0" fillId="0" borderId="0" xfId="0" applyProtection="1">
      <alignment vertical="center"/>
      <protection locked="0"/>
    </xf>
    <xf numFmtId="177" fontId="0" fillId="0" borderId="0" xfId="0" applyProtection="1">
      <alignment vertical="center"/>
    </xf>
    <xf numFmtId="177" fontId="50" fillId="2" borderId="0" xfId="0" applyFont="1" applyFill="1">
      <alignment vertical="center"/>
    </xf>
    <xf numFmtId="177" fontId="51" fillId="0" borderId="0" xfId="0" applyFont="1">
      <alignment vertical="center"/>
    </xf>
    <xf numFmtId="177" fontId="52" fillId="0" borderId="0" xfId="0" applyFont="1">
      <alignment vertical="center"/>
    </xf>
    <xf numFmtId="177" fontId="0" fillId="0" borderId="0" xfId="0" applyAlignment="1">
      <alignment horizontal="right" vertical="center"/>
    </xf>
    <xf numFmtId="178" fontId="4" fillId="0" borderId="0" xfId="2" applyNumberFormat="1" applyAlignment="1">
      <alignment vertical="center"/>
    </xf>
    <xf numFmtId="178" fontId="53" fillId="2" borderId="0" xfId="2" applyNumberFormat="1" applyFont="1" applyFill="1" applyAlignment="1">
      <alignment vertical="center"/>
    </xf>
    <xf numFmtId="178" fontId="54" fillId="0" borderId="0" xfId="2" applyNumberFormat="1" applyFont="1" applyAlignment="1">
      <alignment vertical="center"/>
    </xf>
    <xf numFmtId="178" fontId="55" fillId="0" borderId="0" xfId="2" applyNumberFormat="1" applyFont="1" applyAlignment="1">
      <alignment vertical="center"/>
    </xf>
    <xf numFmtId="178" fontId="4" fillId="0" borderId="0" xfId="2" applyNumberFormat="1" applyAlignment="1">
      <alignment horizontal="right" vertical="center"/>
    </xf>
    <xf numFmtId="177" fontId="59" fillId="0" borderId="10" xfId="1" applyNumberFormat="1" applyFont="1" applyBorder="1" applyAlignment="1">
      <alignment horizontal="justify" vertical="top" wrapText="1"/>
    </xf>
    <xf numFmtId="177" fontId="56" fillId="0" borderId="0" xfId="1" applyNumberFormat="1" applyFont="1" applyBorder="1" applyAlignment="1">
      <alignment horizontal="justify" vertical="top" wrapText="1"/>
    </xf>
    <xf numFmtId="177" fontId="59" fillId="0" borderId="0" xfId="1" applyNumberFormat="1" applyFont="1" applyBorder="1" applyAlignment="1">
      <alignment horizontal="justify" vertical="top" wrapText="1"/>
    </xf>
    <xf numFmtId="177" fontId="59" fillId="0" borderId="0" xfId="1" applyNumberFormat="1" applyFont="1" applyBorder="1" applyAlignment="1">
      <alignment horizontal="right" vertical="top" wrapText="1"/>
    </xf>
    <xf numFmtId="177" fontId="59" fillId="0" borderId="9" xfId="1" applyNumberFormat="1" applyFont="1" applyBorder="1" applyAlignment="1">
      <alignment horizontal="justify" vertical="top" wrapText="1"/>
    </xf>
    <xf numFmtId="178" fontId="4" fillId="0" borderId="0" xfId="2" applyNumberFormat="1" applyBorder="1" applyAlignment="1">
      <alignment vertical="center"/>
    </xf>
    <xf numFmtId="178" fontId="60" fillId="0" borderId="0" xfId="2" applyNumberFormat="1" applyFont="1" applyAlignment="1">
      <alignment vertical="center"/>
    </xf>
    <xf numFmtId="177" fontId="56" fillId="0" borderId="9" xfId="1" applyNumberFormat="1" applyFont="1" applyBorder="1" applyAlignment="1">
      <alignment horizontal="center" vertical="center" wrapText="1"/>
    </xf>
    <xf numFmtId="181" fontId="62" fillId="0" borderId="12" xfId="1" applyNumberFormat="1" applyFont="1" applyBorder="1" applyAlignment="1">
      <alignment horizontal="left" vertical="top" wrapText="1"/>
    </xf>
    <xf numFmtId="177" fontId="63" fillId="0" borderId="0" xfId="1" applyNumberFormat="1" applyFont="1" applyBorder="1" applyAlignment="1">
      <alignment horizontal="right" vertical="top" wrapText="1"/>
    </xf>
    <xf numFmtId="177" fontId="62" fillId="0" borderId="0" xfId="1" applyNumberFormat="1" applyFont="1" applyBorder="1" applyAlignment="1">
      <alignment horizontal="center" vertical="top" wrapText="1"/>
    </xf>
    <xf numFmtId="177" fontId="62" fillId="0" borderId="0" xfId="1" applyNumberFormat="1" applyFont="1" applyBorder="1" applyAlignment="1">
      <alignment horizontal="left" vertical="top" wrapText="1"/>
    </xf>
    <xf numFmtId="177" fontId="63" fillId="0" borderId="11" xfId="1" applyNumberFormat="1" applyFont="1" applyBorder="1" applyAlignment="1">
      <alignment horizontal="right" vertical="top" wrapText="1"/>
    </xf>
    <xf numFmtId="178" fontId="66" fillId="0" borderId="0" xfId="2" applyNumberFormat="1" applyFont="1" applyAlignment="1">
      <alignment vertical="center"/>
    </xf>
    <xf numFmtId="178" fontId="68" fillId="2" borderId="0" xfId="2" applyNumberFormat="1" applyFont="1" applyFill="1" applyAlignment="1">
      <alignment vertical="center"/>
    </xf>
    <xf numFmtId="178" fontId="68" fillId="0" borderId="0" xfId="2" applyNumberFormat="1" applyFont="1" applyAlignment="1">
      <alignment vertical="center"/>
    </xf>
    <xf numFmtId="181" fontId="69" fillId="0" borderId="12" xfId="1" applyNumberFormat="1" applyFont="1" applyBorder="1" applyAlignment="1">
      <alignment horizontal="left" vertical="top" wrapText="1"/>
    </xf>
    <xf numFmtId="177" fontId="70" fillId="0" borderId="0" xfId="1" applyNumberFormat="1" applyFont="1" applyBorder="1" applyAlignment="1">
      <alignment horizontal="right" vertical="top" wrapText="1"/>
    </xf>
    <xf numFmtId="177" fontId="69" fillId="0" borderId="0" xfId="1" applyNumberFormat="1" applyFont="1" applyBorder="1" applyAlignment="1">
      <alignment horizontal="center" vertical="top" wrapText="1"/>
    </xf>
    <xf numFmtId="177" fontId="69" fillId="0" borderId="0" xfId="1" applyNumberFormat="1" applyFont="1" applyBorder="1" applyAlignment="1">
      <alignment horizontal="left" vertical="top" wrapText="1"/>
    </xf>
    <xf numFmtId="177" fontId="70" fillId="0" borderId="11" xfId="1" applyNumberFormat="1" applyFont="1" applyBorder="1" applyAlignment="1">
      <alignment horizontal="right" vertical="top" wrapText="1"/>
    </xf>
    <xf numFmtId="178" fontId="66" fillId="0" borderId="0" xfId="2" applyNumberFormat="1" applyFont="1" applyBorder="1" applyAlignment="1">
      <alignment vertical="center"/>
    </xf>
    <xf numFmtId="177" fontId="66" fillId="0" borderId="0" xfId="2" applyNumberFormat="1" applyFont="1" applyAlignment="1">
      <alignment vertical="center"/>
    </xf>
    <xf numFmtId="177" fontId="68" fillId="2" borderId="0" xfId="2" applyNumberFormat="1" applyFont="1" applyFill="1" applyAlignment="1">
      <alignment vertical="center"/>
    </xf>
    <xf numFmtId="181" fontId="72" fillId="0" borderId="12" xfId="1" applyNumberFormat="1" applyFont="1" applyBorder="1" applyAlignment="1">
      <alignment horizontal="left" vertical="top" wrapText="1"/>
    </xf>
    <xf numFmtId="177" fontId="73" fillId="0" borderId="0" xfId="1" applyNumberFormat="1" applyFont="1" applyBorder="1" applyAlignment="1">
      <alignment horizontal="right" vertical="top" wrapText="1"/>
    </xf>
    <xf numFmtId="177" fontId="72" fillId="0" borderId="0" xfId="1" applyNumberFormat="1" applyFont="1" applyBorder="1" applyAlignment="1">
      <alignment horizontal="right" vertical="top" wrapText="1"/>
    </xf>
    <xf numFmtId="177" fontId="72" fillId="0" borderId="0" xfId="1" applyNumberFormat="1" applyFont="1" applyBorder="1" applyAlignment="1">
      <alignment horizontal="left" vertical="top" wrapText="1"/>
    </xf>
    <xf numFmtId="177" fontId="73" fillId="0" borderId="11" xfId="1" applyNumberFormat="1" applyFont="1" applyBorder="1" applyAlignment="1">
      <alignment horizontal="right" vertical="top" wrapText="1"/>
    </xf>
    <xf numFmtId="178" fontId="74" fillId="0" borderId="0" xfId="2" applyNumberFormat="1" applyFont="1" applyAlignment="1">
      <alignment vertical="center"/>
    </xf>
    <xf numFmtId="178" fontId="4" fillId="0" borderId="10" xfId="2" applyNumberFormat="1" applyBorder="1" applyAlignment="1">
      <alignment vertical="center"/>
    </xf>
    <xf numFmtId="178" fontId="4" fillId="0" borderId="9" xfId="2" applyNumberFormat="1" applyBorder="1" applyAlignment="1">
      <alignment vertical="center"/>
    </xf>
    <xf numFmtId="178" fontId="75" fillId="0" borderId="0" xfId="2" applyNumberFormat="1" applyFont="1" applyAlignment="1">
      <alignment vertical="center"/>
    </xf>
    <xf numFmtId="177" fontId="63" fillId="0" borderId="10" xfId="1" applyNumberFormat="1" applyFont="1" applyBorder="1" applyAlignment="1">
      <alignment vertical="top" wrapText="1"/>
    </xf>
    <xf numFmtId="177" fontId="63" fillId="0" borderId="0" xfId="1" applyNumberFormat="1" applyFont="1" applyBorder="1" applyAlignment="1">
      <alignment vertical="top" wrapText="1"/>
    </xf>
    <xf numFmtId="177" fontId="63" fillId="0" borderId="0" xfId="1" applyNumberFormat="1" applyFont="1" applyBorder="1" applyAlignment="1">
      <alignment horizontal="left" vertical="top" wrapText="1"/>
    </xf>
    <xf numFmtId="177" fontId="63" fillId="0" borderId="9" xfId="1" applyNumberFormat="1" applyFont="1" applyBorder="1" applyAlignment="1">
      <alignment horizontal="right" vertical="top" wrapText="1"/>
    </xf>
    <xf numFmtId="178" fontId="78" fillId="0" borderId="9" xfId="2" applyNumberFormat="1" applyFont="1" applyBorder="1" applyAlignment="1">
      <alignment vertical="center"/>
    </xf>
    <xf numFmtId="178" fontId="4" fillId="0" borderId="0" xfId="2" applyNumberFormat="1" applyBorder="1" applyAlignment="1">
      <alignment horizontal="right" vertical="center"/>
    </xf>
    <xf numFmtId="179" fontId="55" fillId="0" borderId="0" xfId="2" applyNumberFormat="1" applyFont="1" applyAlignment="1">
      <alignment vertical="center"/>
    </xf>
    <xf numFmtId="178" fontId="79" fillId="0" borderId="0" xfId="2" applyNumberFormat="1" applyFont="1" applyBorder="1" applyAlignment="1">
      <alignment vertical="center"/>
    </xf>
    <xf numFmtId="182" fontId="62" fillId="0" borderId="1" xfId="1" applyNumberFormat="1" applyFont="1" applyBorder="1" applyAlignment="1">
      <alignment horizontal="center" vertical="center" wrapText="1"/>
    </xf>
    <xf numFmtId="177" fontId="63" fillId="0" borderId="1" xfId="1" applyNumberFormat="1" applyFont="1" applyBorder="1" applyAlignment="1">
      <alignment horizontal="center" vertical="center" wrapText="1"/>
    </xf>
    <xf numFmtId="178" fontId="74" fillId="2" borderId="0" xfId="2" applyNumberFormat="1" applyFont="1" applyFill="1" applyAlignment="1">
      <alignment vertical="center"/>
    </xf>
    <xf numFmtId="178" fontId="80" fillId="0" borderId="0" xfId="2" applyNumberFormat="1" applyFont="1" applyAlignment="1">
      <alignment vertical="center"/>
    </xf>
    <xf numFmtId="178" fontId="66" fillId="0" borderId="0" xfId="2" applyNumberFormat="1" applyFont="1" applyBorder="1" applyAlignment="1">
      <alignment horizontal="center" vertical="center"/>
    </xf>
    <xf numFmtId="178" fontId="4" fillId="0" borderId="0" xfId="2" applyNumberFormat="1" applyBorder="1" applyAlignment="1">
      <alignment horizontal="center" vertical="center"/>
    </xf>
    <xf numFmtId="178" fontId="82" fillId="0" borderId="0" xfId="2" applyNumberFormat="1" applyFont="1" applyBorder="1" applyAlignment="1">
      <alignment vertical="center"/>
    </xf>
    <xf numFmtId="0" fontId="34" fillId="9" borderId="0" xfId="0" applyNumberFormat="1" applyFont="1" applyFill="1" applyBorder="1" applyProtection="1">
      <alignment vertical="center"/>
      <protection locked="0"/>
    </xf>
    <xf numFmtId="178" fontId="83" fillId="0" borderId="0" xfId="0" applyNumberFormat="1" applyFont="1" applyProtection="1">
      <alignment vertical="center"/>
    </xf>
    <xf numFmtId="178" fontId="83" fillId="0" borderId="0" xfId="0" applyNumberFormat="1" applyFont="1" applyProtection="1">
      <alignment vertical="center"/>
      <protection locked="0"/>
    </xf>
    <xf numFmtId="49" fontId="12" fillId="0" borderId="0" xfId="15" applyNumberFormat="1" applyProtection="1">
      <protection locked="0"/>
    </xf>
    <xf numFmtId="49" fontId="12" fillId="0" borderId="0" xfId="15" applyNumberFormat="1" applyAlignment="1" applyProtection="1">
      <alignment horizontal="center"/>
      <protection locked="0"/>
    </xf>
    <xf numFmtId="49" fontId="12" fillId="0" borderId="0" xfId="15" applyNumberFormat="1" applyProtection="1"/>
    <xf numFmtId="49" fontId="12" fillId="9" borderId="15" xfId="15" applyNumberFormat="1" applyFill="1" applyBorder="1" applyAlignment="1" applyProtection="1">
      <alignment horizontal="center" vertical="center"/>
    </xf>
    <xf numFmtId="49" fontId="12" fillId="6" borderId="1" xfId="15" applyNumberFormat="1" applyFill="1" applyBorder="1" applyAlignment="1" applyProtection="1">
      <alignment horizontal="right"/>
    </xf>
    <xf numFmtId="49" fontId="12" fillId="7" borderId="1" xfId="15" applyNumberFormat="1" applyFill="1" applyBorder="1" applyProtection="1">
      <protection locked="0"/>
    </xf>
    <xf numFmtId="176" fontId="12" fillId="7" borderId="3" xfId="15" applyNumberFormat="1" applyFill="1" applyBorder="1" applyAlignment="1" applyProtection="1">
      <alignment horizontal="right"/>
      <protection locked="0"/>
    </xf>
    <xf numFmtId="0" fontId="12" fillId="0" borderId="0" xfId="15"/>
    <xf numFmtId="0" fontId="12" fillId="0" borderId="0" xfId="15" applyAlignment="1">
      <alignment vertical="center" wrapText="1"/>
    </xf>
    <xf numFmtId="178" fontId="84" fillId="0" borderId="0" xfId="2" applyNumberFormat="1" applyFont="1" applyBorder="1" applyAlignment="1">
      <alignment vertical="center"/>
    </xf>
    <xf numFmtId="177" fontId="85" fillId="0" borderId="0" xfId="0" applyFont="1">
      <alignment vertical="center"/>
    </xf>
    <xf numFmtId="177" fontId="86" fillId="0" borderId="11" xfId="1" applyNumberFormat="1" applyFont="1" applyBorder="1" applyAlignment="1">
      <alignment horizontal="right" vertical="top" wrapText="1"/>
    </xf>
    <xf numFmtId="177" fontId="87" fillId="0" borderId="0" xfId="1" applyNumberFormat="1" applyFont="1" applyBorder="1" applyAlignment="1">
      <alignment horizontal="left" vertical="top" wrapText="1"/>
    </xf>
    <xf numFmtId="177" fontId="87" fillId="0" borderId="0" xfId="1" applyNumberFormat="1" applyFont="1" applyBorder="1" applyAlignment="1">
      <alignment horizontal="right" vertical="top" wrapText="1"/>
    </xf>
    <xf numFmtId="177" fontId="86" fillId="0" borderId="0" xfId="1" applyNumberFormat="1" applyFont="1" applyBorder="1" applyAlignment="1">
      <alignment horizontal="right" vertical="top" wrapText="1"/>
    </xf>
    <xf numFmtId="181" fontId="87" fillId="0" borderId="12" xfId="1" applyNumberFormat="1" applyFont="1" applyBorder="1" applyAlignment="1">
      <alignment horizontal="left" vertical="top" wrapText="1"/>
    </xf>
    <xf numFmtId="177" fontId="88" fillId="0" borderId="0" xfId="0" applyFont="1">
      <alignment vertical="center"/>
    </xf>
    <xf numFmtId="177" fontId="88" fillId="2" borderId="0" xfId="0" applyFont="1" applyFill="1">
      <alignment vertical="center"/>
    </xf>
    <xf numFmtId="0" fontId="90" fillId="0" borderId="0" xfId="0" applyNumberFormat="1" applyFont="1" applyFill="1" applyBorder="1" applyAlignment="1" applyProtection="1">
      <alignment horizontal="center" vertical="center"/>
      <protection locked="0"/>
    </xf>
    <xf numFmtId="177" fontId="44" fillId="0" borderId="0" xfId="0" applyFont="1" applyFill="1" applyBorder="1" applyAlignment="1" applyProtection="1">
      <alignment horizontal="center" vertical="center"/>
      <protection locked="0"/>
    </xf>
    <xf numFmtId="177" fontId="91" fillId="0" borderId="0" xfId="0" applyFont="1" applyFill="1" applyProtection="1">
      <alignment vertical="center"/>
      <protection locked="0"/>
    </xf>
    <xf numFmtId="177" fontId="44" fillId="0" borderId="0" xfId="0" applyFont="1" applyFill="1" applyAlignment="1" applyProtection="1">
      <alignment horizontal="center" vertical="center"/>
      <protection locked="0"/>
    </xf>
    <xf numFmtId="177" fontId="92" fillId="0" borderId="0" xfId="0" applyFont="1" applyFill="1" applyBorder="1" applyAlignment="1" applyProtection="1">
      <alignment horizontal="center" vertical="top" wrapText="1"/>
    </xf>
    <xf numFmtId="177" fontId="92" fillId="0" borderId="0" xfId="0" applyFont="1" applyFill="1" applyBorder="1" applyAlignment="1" applyProtection="1">
      <alignment horizontal="center" vertical="center"/>
      <protection locked="0"/>
    </xf>
    <xf numFmtId="177" fontId="92" fillId="0" borderId="0" xfId="0" applyFont="1" applyFill="1" applyAlignment="1" applyProtection="1">
      <alignment horizontal="center" vertical="center"/>
      <protection locked="0"/>
    </xf>
    <xf numFmtId="177" fontId="92" fillId="0" borderId="0" xfId="0" applyNumberFormat="1" applyFont="1" applyFill="1" applyAlignment="1" applyProtection="1">
      <alignment horizontal="left" vertical="center"/>
      <protection locked="0"/>
    </xf>
    <xf numFmtId="177" fontId="37" fillId="0" borderId="6" xfId="10" applyFont="1" applyFill="1" applyBorder="1" applyAlignment="1" applyProtection="1">
      <alignment horizontal="center" vertical="center" wrapText="1"/>
      <protection locked="0"/>
    </xf>
    <xf numFmtId="177" fontId="37" fillId="0" borderId="7" xfId="10" applyFont="1" applyFill="1" applyBorder="1" applyAlignment="1" applyProtection="1">
      <alignment horizontal="center" vertical="center" wrapText="1"/>
      <protection locked="0"/>
    </xf>
    <xf numFmtId="177" fontId="37" fillId="0" borderId="8" xfId="10" applyFont="1" applyFill="1" applyBorder="1" applyAlignment="1" applyProtection="1">
      <alignment horizontal="center" vertical="center" wrapText="1"/>
      <protection locked="0"/>
    </xf>
    <xf numFmtId="177" fontId="40" fillId="0" borderId="3" xfId="10" applyFont="1" applyFill="1" applyBorder="1" applyAlignment="1" applyProtection="1">
      <alignment horizontal="right" vertical="center"/>
    </xf>
    <xf numFmtId="177" fontId="38" fillId="0" borderId="4" xfId="10" applyFont="1" applyFill="1" applyBorder="1" applyAlignment="1" applyProtection="1">
      <alignment horizontal="right" vertical="center"/>
    </xf>
    <xf numFmtId="177" fontId="38" fillId="0" borderId="5" xfId="10" applyFont="1" applyFill="1" applyBorder="1" applyAlignment="1" applyProtection="1">
      <alignment horizontal="right" vertical="center"/>
    </xf>
    <xf numFmtId="182" fontId="76" fillId="0" borderId="0" xfId="1" applyNumberFormat="1" applyFont="1" applyBorder="1" applyAlignment="1">
      <alignment horizontal="left" vertical="top" wrapText="1"/>
    </xf>
    <xf numFmtId="177" fontId="89" fillId="0" borderId="0" xfId="1" applyNumberFormat="1" applyFont="1" applyAlignment="1">
      <alignment horizontal="center" vertical="center"/>
    </xf>
    <xf numFmtId="177" fontId="89" fillId="0" borderId="13" xfId="1" applyNumberFormat="1" applyFont="1" applyBorder="1" applyAlignment="1">
      <alignment horizontal="center" vertical="center"/>
    </xf>
    <xf numFmtId="178" fontId="79" fillId="0" borderId="0" xfId="2" applyNumberFormat="1" applyFont="1" applyBorder="1" applyAlignment="1">
      <alignment horizontal="center" vertical="center"/>
    </xf>
    <xf numFmtId="177" fontId="76" fillId="0" borderId="1" xfId="1" applyNumberFormat="1" applyFont="1" applyBorder="1" applyAlignment="1">
      <alignment horizontal="center" vertical="center" wrapText="1"/>
    </xf>
    <xf numFmtId="177" fontId="63" fillId="0" borderId="9" xfId="1" applyNumberFormat="1" applyFont="1" applyBorder="1" applyAlignment="1">
      <alignment horizontal="justify" vertical="top" wrapText="1"/>
    </xf>
    <xf numFmtId="177" fontId="63" fillId="0" borderId="0" xfId="1" applyNumberFormat="1" applyFont="1" applyBorder="1" applyAlignment="1">
      <alignment horizontal="justify" vertical="top" wrapText="1"/>
    </xf>
    <xf numFmtId="177" fontId="77" fillId="0" borderId="0" xfId="1" applyNumberFormat="1" applyFont="1" applyBorder="1" applyAlignment="1">
      <alignment horizontal="justify" vertical="top" wrapText="1"/>
    </xf>
    <xf numFmtId="177" fontId="77" fillId="0" borderId="10" xfId="1" applyNumberFormat="1" applyFont="1" applyBorder="1" applyAlignment="1">
      <alignment horizontal="justify" vertical="top" wrapText="1"/>
    </xf>
    <xf numFmtId="177" fontId="77" fillId="0" borderId="9" xfId="1" applyNumberFormat="1" applyFont="1" applyBorder="1" applyAlignment="1">
      <alignment horizontal="justify" vertical="top" wrapText="1"/>
    </xf>
    <xf numFmtId="178" fontId="66" fillId="0" borderId="9" xfId="2" applyNumberFormat="1" applyFont="1" applyBorder="1" applyAlignment="1">
      <alignment horizontal="center" vertical="center"/>
    </xf>
    <xf numFmtId="178" fontId="66" fillId="0" borderId="0" xfId="2" applyNumberFormat="1" applyFont="1" applyBorder="1" applyAlignment="1">
      <alignment horizontal="center" vertical="center"/>
    </xf>
    <xf numFmtId="178" fontId="66" fillId="0" borderId="0" xfId="2" applyNumberFormat="1" applyFont="1" applyBorder="1" applyAlignment="1">
      <alignment horizontal="left" vertical="center"/>
    </xf>
    <xf numFmtId="178" fontId="66" fillId="0" borderId="10" xfId="2" applyNumberFormat="1" applyFont="1" applyBorder="1" applyAlignment="1">
      <alignment horizontal="left" vertical="center"/>
    </xf>
    <xf numFmtId="178" fontId="66" fillId="0" borderId="0" xfId="2" applyNumberFormat="1" applyFont="1" applyAlignment="1">
      <alignment horizontal="center" vertical="center"/>
    </xf>
    <xf numFmtId="177" fontId="56" fillId="0" borderId="20" xfId="1" applyNumberFormat="1" applyFont="1" applyBorder="1" applyAlignment="1">
      <alignment horizontal="justify" vertical="top" wrapText="1"/>
    </xf>
    <xf numFmtId="177" fontId="56" fillId="0" borderId="13" xfId="1" applyNumberFormat="1" applyFont="1" applyBorder="1" applyAlignment="1">
      <alignment horizontal="justify" vertical="top" wrapText="1"/>
    </xf>
    <xf numFmtId="177" fontId="56" fillId="0" borderId="19" xfId="1" applyNumberFormat="1" applyFont="1" applyBorder="1" applyAlignment="1">
      <alignment horizontal="justify" vertical="top" wrapText="1"/>
    </xf>
    <xf numFmtId="177" fontId="63" fillId="0" borderId="9" xfId="1" applyNumberFormat="1" applyFont="1" applyBorder="1" applyAlignment="1">
      <alignment horizontal="left" vertical="top" wrapText="1"/>
    </xf>
    <xf numFmtId="177" fontId="63" fillId="0" borderId="0" xfId="1" applyNumberFormat="1" applyFont="1" applyBorder="1" applyAlignment="1">
      <alignment horizontal="left" vertical="top" wrapText="1"/>
    </xf>
    <xf numFmtId="177" fontId="63" fillId="0" borderId="10" xfId="1" applyNumberFormat="1" applyFont="1" applyBorder="1" applyAlignment="1">
      <alignment horizontal="left" vertical="top" wrapText="1"/>
    </xf>
    <xf numFmtId="178" fontId="57" fillId="0" borderId="0" xfId="2" applyNumberFormat="1" applyFont="1" applyAlignment="1">
      <alignment horizontal="center" vertical="center"/>
    </xf>
    <xf numFmtId="178" fontId="60" fillId="0" borderId="0" xfId="2" applyNumberFormat="1" applyFont="1" applyAlignment="1">
      <alignment horizontal="center" vertical="center"/>
    </xf>
    <xf numFmtId="177" fontId="61" fillId="0" borderId="0" xfId="1" quotePrefix="1" applyNumberFormat="1" applyFont="1" applyFill="1" applyBorder="1" applyAlignment="1">
      <alignment horizontal="center" vertical="top"/>
    </xf>
    <xf numFmtId="181" fontId="57" fillId="0" borderId="0" xfId="1" applyNumberFormat="1" applyFont="1" applyBorder="1" applyAlignment="1">
      <alignment horizontal="center" vertical="center"/>
    </xf>
    <xf numFmtId="177" fontId="59" fillId="0" borderId="6" xfId="1" applyNumberFormat="1" applyFont="1" applyBorder="1" applyAlignment="1">
      <alignment horizontal="justify" vertical="top" wrapText="1"/>
    </xf>
    <xf numFmtId="177" fontId="59" fillId="0" borderId="7" xfId="1" applyNumberFormat="1" applyFont="1" applyBorder="1" applyAlignment="1">
      <alignment horizontal="justify" vertical="top" wrapText="1"/>
    </xf>
    <xf numFmtId="177" fontId="59" fillId="0" borderId="8" xfId="1" applyNumberFormat="1" applyFont="1" applyBorder="1" applyAlignment="1">
      <alignment horizontal="justify" vertical="top" wrapText="1"/>
    </xf>
    <xf numFmtId="177" fontId="57" fillId="0" borderId="20" xfId="1" applyNumberFormat="1" applyFont="1" applyBorder="1" applyAlignment="1">
      <alignment horizontal="justify" vertical="top" wrapText="1"/>
    </xf>
    <xf numFmtId="177" fontId="57" fillId="0" borderId="13" xfId="1" applyNumberFormat="1" applyFont="1" applyBorder="1" applyAlignment="1">
      <alignment horizontal="justify" vertical="top" wrapText="1"/>
    </xf>
    <xf numFmtId="177" fontId="57" fillId="0" borderId="19" xfId="1" applyNumberFormat="1" applyFont="1" applyBorder="1" applyAlignment="1">
      <alignment horizontal="justify" vertical="top" wrapText="1"/>
    </xf>
    <xf numFmtId="178" fontId="64" fillId="0" borderId="0" xfId="2" applyNumberFormat="1" applyFont="1" applyBorder="1" applyAlignment="1">
      <alignment horizontal="center" vertical="center"/>
    </xf>
    <xf numFmtId="178" fontId="65" fillId="0" borderId="0" xfId="2" applyNumberFormat="1" applyFont="1" applyAlignment="1">
      <alignment horizontal="center" vertical="center"/>
    </xf>
    <xf numFmtId="178" fontId="67" fillId="0" borderId="0" xfId="2" applyNumberFormat="1" applyFont="1" applyAlignment="1">
      <alignment horizontal="center" vertical="center"/>
    </xf>
    <xf numFmtId="178" fontId="64" fillId="0" borderId="0" xfId="2" applyNumberFormat="1" applyFont="1" applyAlignment="1">
      <alignment horizontal="center" vertical="center"/>
    </xf>
    <xf numFmtId="49" fontId="19" fillId="4" borderId="1" xfId="15" applyNumberFormat="1" applyFont="1" applyFill="1" applyBorder="1" applyAlignment="1" applyProtection="1">
      <alignment horizontal="center" vertical="center"/>
    </xf>
    <xf numFmtId="49" fontId="21" fillId="4" borderId="1" xfId="15" applyNumberFormat="1" applyFont="1" applyFill="1" applyBorder="1" applyAlignment="1" applyProtection="1">
      <alignment horizontal="center" vertical="center"/>
    </xf>
    <xf numFmtId="49" fontId="21" fillId="4" borderId="3" xfId="15" applyNumberFormat="1" applyFont="1" applyFill="1" applyBorder="1" applyAlignment="1" applyProtection="1">
      <alignment horizontal="center" vertical="center"/>
    </xf>
    <xf numFmtId="49" fontId="12" fillId="5" borderId="23" xfId="15" applyNumberFormat="1" applyFill="1" applyBorder="1" applyAlignment="1" applyProtection="1">
      <alignment horizontal="left" vertical="top" wrapText="1"/>
    </xf>
    <xf numFmtId="49" fontId="12" fillId="5" borderId="1" xfId="15" applyNumberFormat="1" applyFill="1" applyBorder="1" applyAlignment="1" applyProtection="1">
      <alignment horizontal="left" vertical="top"/>
    </xf>
    <xf numFmtId="49" fontId="12" fillId="5" borderId="24" xfId="15" applyNumberFormat="1" applyFill="1" applyBorder="1" applyAlignment="1" applyProtection="1">
      <alignment horizontal="left" vertical="top"/>
    </xf>
    <xf numFmtId="49" fontId="12" fillId="5" borderId="23" xfId="15" applyNumberFormat="1" applyFill="1" applyBorder="1" applyAlignment="1" applyProtection="1">
      <alignment horizontal="left" vertical="top"/>
    </xf>
    <xf numFmtId="49" fontId="12" fillId="5" borderId="21" xfId="15" applyNumberFormat="1" applyFill="1" applyBorder="1" applyAlignment="1" applyProtection="1">
      <alignment horizontal="left" vertical="top"/>
    </xf>
    <xf numFmtId="49" fontId="12" fillId="5" borderId="15" xfId="15" applyNumberFormat="1" applyFill="1" applyBorder="1" applyAlignment="1" applyProtection="1">
      <alignment horizontal="left" vertical="top"/>
    </xf>
    <xf numFmtId="49" fontId="12" fillId="5" borderId="22" xfId="15" applyNumberFormat="1" applyFill="1" applyBorder="1" applyAlignment="1" applyProtection="1">
      <alignment horizontal="left" vertical="top"/>
    </xf>
    <xf numFmtId="49" fontId="22" fillId="5" borderId="23" xfId="15" applyNumberFormat="1" applyFont="1" applyFill="1" applyBorder="1" applyAlignment="1" applyProtection="1">
      <alignment horizontal="left" vertical="top" wrapText="1"/>
    </xf>
    <xf numFmtId="49" fontId="35" fillId="5" borderId="1" xfId="15" applyNumberFormat="1" applyFont="1" applyFill="1" applyBorder="1" applyAlignment="1" applyProtection="1">
      <alignment horizontal="left" vertical="top" wrapText="1"/>
    </xf>
    <xf numFmtId="49" fontId="22" fillId="5" borderId="21" xfId="15" applyNumberFormat="1" applyFont="1" applyFill="1" applyBorder="1" applyAlignment="1" applyProtection="1">
      <alignment horizontal="left" vertical="top" wrapText="1"/>
    </xf>
    <xf numFmtId="49" fontId="35" fillId="5" borderId="15" xfId="15" applyNumberFormat="1" applyFont="1" applyFill="1" applyBorder="1" applyAlignment="1" applyProtection="1">
      <alignment horizontal="left" vertical="top" wrapText="1"/>
    </xf>
    <xf numFmtId="49" fontId="12" fillId="3" borderId="3" xfId="15" applyNumberFormat="1" applyFill="1" applyBorder="1" applyAlignment="1" applyProtection="1">
      <alignment horizontal="center"/>
    </xf>
    <xf numFmtId="49" fontId="12" fillId="3" borderId="14" xfId="15" applyNumberFormat="1" applyFill="1" applyBorder="1" applyAlignment="1" applyProtection="1">
      <alignment horizontal="center"/>
    </xf>
    <xf numFmtId="49" fontId="12" fillId="7" borderId="3" xfId="15" applyNumberFormat="1" applyFill="1" applyBorder="1" applyAlignment="1" applyProtection="1">
      <alignment horizontal="left"/>
      <protection locked="0"/>
    </xf>
    <xf numFmtId="49" fontId="12" fillId="7" borderId="4" xfId="15" applyNumberFormat="1" applyFill="1" applyBorder="1" applyAlignment="1" applyProtection="1">
      <alignment horizontal="left"/>
      <protection locked="0"/>
    </xf>
    <xf numFmtId="49" fontId="12" fillId="7" borderId="14" xfId="15" applyNumberFormat="1" applyFill="1" applyBorder="1" applyAlignment="1" applyProtection="1">
      <alignment horizontal="left"/>
      <protection locked="0"/>
    </xf>
    <xf numFmtId="49" fontId="24" fillId="8" borderId="1" xfId="15" applyNumberFormat="1" applyFont="1" applyFill="1" applyBorder="1" applyAlignment="1" applyProtection="1">
      <alignment horizontal="center" vertical="center"/>
    </xf>
    <xf numFmtId="49" fontId="25" fillId="8" borderId="1" xfId="15" applyNumberFormat="1" applyFont="1" applyFill="1" applyBorder="1" applyAlignment="1" applyProtection="1">
      <alignment horizontal="center" vertical="center"/>
    </xf>
    <xf numFmtId="49" fontId="25" fillId="8" borderId="3" xfId="15" applyNumberFormat="1" applyFont="1" applyFill="1" applyBorder="1" applyAlignment="1" applyProtection="1">
      <alignment horizontal="center" vertical="center"/>
    </xf>
    <xf numFmtId="49" fontId="12" fillId="0" borderId="16" xfId="15" applyNumberFormat="1" applyBorder="1" applyAlignment="1" applyProtection="1">
      <alignment horizontal="center"/>
    </xf>
    <xf numFmtId="49" fontId="12" fillId="0" borderId="17" xfId="15" applyNumberFormat="1" applyBorder="1" applyAlignment="1" applyProtection="1">
      <alignment horizontal="center"/>
    </xf>
    <xf numFmtId="49" fontId="12" fillId="0" borderId="18" xfId="15" applyNumberFormat="1" applyBorder="1" applyAlignment="1" applyProtection="1">
      <alignment horizontal="center"/>
    </xf>
  </cellXfs>
  <cellStyles count="16">
    <cellStyle name="Style 1" xfId="6"/>
    <cellStyle name="常规" xfId="0" builtinId="0"/>
    <cellStyle name="常规 10" xfId="15"/>
    <cellStyle name="常规 2" xfId="1"/>
    <cellStyle name="常规 2 2" xfId="2"/>
    <cellStyle name="常规 3" xfId="3"/>
    <cellStyle name="常规 3 2" xfId="11"/>
    <cellStyle name="常规 4" xfId="4"/>
    <cellStyle name="常规 5" xfId="5"/>
    <cellStyle name="常规 6" xfId="8"/>
    <cellStyle name="常规 6 2" xfId="10"/>
    <cellStyle name="常规 7" xfId="9"/>
    <cellStyle name="常规 8" xfId="12"/>
    <cellStyle name="常规 9" xfId="13"/>
    <cellStyle name="常规 9 3" xfId="14"/>
    <cellStyle name="样式 1" xfId="7"/>
  </cellStyles>
  <dxfs count="8">
    <dxf>
      <fill>
        <patternFill>
          <bgColor rgb="FFFFFF66"/>
        </patternFill>
      </fill>
    </dxf>
    <dxf>
      <fill>
        <patternFill>
          <bgColor rgb="FF99FF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1362075</xdr:colOff>
          <xdr:row>0</xdr:row>
          <xdr:rowOff>19050</xdr:rowOff>
        </xdr:from>
        <xdr:to>
          <xdr:col>5</xdr:col>
          <xdr:colOff>800100</xdr:colOff>
          <xdr:row>0</xdr:row>
          <xdr:rowOff>457200</xdr:rowOff>
        </xdr:to>
        <xdr:sp macro="" textlink="">
          <xdr:nvSpPr>
            <xdr:cNvPr id="41991" name="Button 7" descr="另存为" hidden="1">
              <a:extLst>
                <a:ext uri="{63B3BB69-23CF-44E3-9099-C40C66FF867C}">
                  <a14:compatExt spid="_x0000_s41991"/>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200" b="1" i="0" u="none" strike="noStrike" baseline="0">
                  <a:solidFill>
                    <a:srgbClr val="FF00FF"/>
                  </a:solidFill>
                  <a:latin typeface="宋体"/>
                  <a:ea typeface="宋体"/>
                </a:rPr>
                <a:t>生成舱单&amp;报告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1733550</xdr:colOff>
          <xdr:row>0</xdr:row>
          <xdr:rowOff>0</xdr:rowOff>
        </xdr:from>
        <xdr:to>
          <xdr:col>10</xdr:col>
          <xdr:colOff>571500</xdr:colOff>
          <xdr:row>0</xdr:row>
          <xdr:rowOff>428625</xdr:rowOff>
        </xdr:to>
        <xdr:sp macro="" textlink="">
          <xdr:nvSpPr>
            <xdr:cNvPr id="41992" name="Button 8" descr="另存为" hidden="1">
              <a:extLst>
                <a:ext uri="{63B3BB69-23CF-44E3-9099-C40C66FF867C}">
                  <a14:compatExt spid="_x0000_s4199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FF00FF"/>
                  </a:solidFill>
                  <a:latin typeface="微软雅黑"/>
                  <a:ea typeface="微软雅黑"/>
                </a:rPr>
                <a:t>获取数据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1114425</xdr:colOff>
          <xdr:row>0</xdr:row>
          <xdr:rowOff>0</xdr:rowOff>
        </xdr:from>
        <xdr:to>
          <xdr:col>8</xdr:col>
          <xdr:colOff>361950</xdr:colOff>
          <xdr:row>0</xdr:row>
          <xdr:rowOff>428625</xdr:rowOff>
        </xdr:to>
        <xdr:sp macro="" textlink="">
          <xdr:nvSpPr>
            <xdr:cNvPr id="41994" name="Button 10" descr="另存为" hidden="1">
              <a:extLst>
                <a:ext uri="{63B3BB69-23CF-44E3-9099-C40C66FF867C}">
                  <a14:compatExt spid="_x0000_s41994"/>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200" b="1" i="0" u="none" strike="noStrike" baseline="0">
                  <a:solidFill>
                    <a:srgbClr val="FF00FF"/>
                  </a:solidFill>
                  <a:latin typeface="宋体"/>
                  <a:ea typeface="宋体"/>
                </a:rPr>
                <a:t>刷公式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1695450</xdr:colOff>
          <xdr:row>0</xdr:row>
          <xdr:rowOff>0</xdr:rowOff>
        </xdr:from>
        <xdr:to>
          <xdr:col>9</xdr:col>
          <xdr:colOff>504825</xdr:colOff>
          <xdr:row>0</xdr:row>
          <xdr:rowOff>466725</xdr:rowOff>
        </xdr:to>
        <xdr:sp macro="" textlink="">
          <xdr:nvSpPr>
            <xdr:cNvPr id="41995" name="Button 11" descr="另存为" hidden="1">
              <a:extLst>
                <a:ext uri="{63B3BB69-23CF-44E3-9099-C40C66FF867C}">
                  <a14:compatExt spid="_x0000_s4199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追加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19050</xdr:colOff>
          <xdr:row>0</xdr:row>
          <xdr:rowOff>0</xdr:rowOff>
        </xdr:from>
        <xdr:to>
          <xdr:col>11</xdr:col>
          <xdr:colOff>1876425</xdr:colOff>
          <xdr:row>2</xdr:row>
          <xdr:rowOff>38100</xdr:rowOff>
        </xdr:to>
        <xdr:sp macro="" textlink="">
          <xdr:nvSpPr>
            <xdr:cNvPr id="45057" name="Button 1" descr="另存为"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zh-CN" altLang="en-US" sz="2800" b="1" i="0" u="none" strike="noStrike" baseline="0">
                  <a:solidFill>
                    <a:srgbClr val="FF0000"/>
                  </a:solidFill>
                  <a:latin typeface="微软雅黑"/>
                  <a:ea typeface="微软雅黑"/>
                </a:rPr>
                <a:t>print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47625</xdr:colOff>
          <xdr:row>0</xdr:row>
          <xdr:rowOff>0</xdr:rowOff>
        </xdr:from>
        <xdr:to>
          <xdr:col>11</xdr:col>
          <xdr:colOff>1905000</xdr:colOff>
          <xdr:row>2</xdr:row>
          <xdr:rowOff>38100</xdr:rowOff>
        </xdr:to>
        <xdr:sp macro="" textlink="">
          <xdr:nvSpPr>
            <xdr:cNvPr id="46081" name="Button 1" descr="另存为"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zh-CN" altLang="en-US" sz="2800" b="1" i="0" u="none" strike="noStrike" baseline="0">
                  <a:solidFill>
                    <a:srgbClr val="FF0000"/>
                  </a:solidFill>
                  <a:latin typeface="微软雅黑"/>
                  <a:ea typeface="微软雅黑"/>
                </a:rPr>
                <a:t>print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638175</xdr:colOff>
          <xdr:row>1</xdr:row>
          <xdr:rowOff>57150</xdr:rowOff>
        </xdr:to>
        <xdr:sp macro="" textlink="">
          <xdr:nvSpPr>
            <xdr:cNvPr id="43023" name="Button 15" descr="另存为" hidden="1">
              <a:extLst>
                <a:ext uri="{63B3BB69-23CF-44E3-9099-C40C66FF867C}">
                  <a14:compatExt spid="_x0000_s4302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16</xdr:row>
          <xdr:rowOff>0</xdr:rowOff>
        </xdr:from>
        <xdr:to>
          <xdr:col>0</xdr:col>
          <xdr:colOff>638175</xdr:colOff>
          <xdr:row>17</xdr:row>
          <xdr:rowOff>142875</xdr:rowOff>
        </xdr:to>
        <xdr:sp macro="" textlink="">
          <xdr:nvSpPr>
            <xdr:cNvPr id="43024" name="Button 16" descr="另存为" hidden="1">
              <a:extLst>
                <a:ext uri="{63B3BB69-23CF-44E3-9099-C40C66FF867C}">
                  <a14:compatExt spid="_x0000_s4302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zh-CN" altLang="en-US"/>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315UJQ/AppData/Roaming/Microsoft/Excel/20170323de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2686;&#25913;&#20844;&#36335;&#33329;&#21333;201909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数据表_1"/>
      <sheetName val="普货"/>
      <sheetName val="舱单一体"/>
      <sheetName val="进口舱单"/>
      <sheetName val="D自扣"/>
      <sheetName val="一科退单"/>
      <sheetName val="参数进口"/>
      <sheetName val="委托书"/>
      <sheetName val="承诺"/>
      <sheetName val="流程表"/>
      <sheetName val="清单表"/>
      <sheetName val="出口书"/>
      <sheetName val="参数"/>
      <sheetName val="舱单"/>
      <sheetName val="KJ1"/>
      <sheetName val="KJ2"/>
      <sheetName val="清单"/>
      <sheetName val="结果"/>
      <sheetName val="SQL"/>
      <sheetName val="YDH_5"/>
      <sheetName val="ZXCK"/>
      <sheetName val="ZXCK_2"/>
      <sheetName val="BZ"/>
      <sheetName val="进口导入"/>
      <sheetName val="导入"/>
      <sheetName val="统计"/>
      <sheetName val="CODE_TYPE"/>
      <sheetName val="CURRENCY_TYPE"/>
      <sheetName val="抬杆"/>
      <sheetName val="CUST_I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ow r="1">
          <cell r="A1" t="str">
            <v>AE 按扭式喷雾器瓶</v>
          </cell>
        </row>
        <row r="2">
          <cell r="A2" t="str">
            <v>AM 未加保护玻璃瓶</v>
          </cell>
        </row>
        <row r="3">
          <cell r="A3" t="str">
            <v>AP 加保护玻璃瓶</v>
          </cell>
        </row>
        <row r="4">
          <cell r="A4" t="str">
            <v>AT 喷雾器</v>
          </cell>
        </row>
        <row r="5">
          <cell r="A5" t="str">
            <v>BA 桶</v>
          </cell>
        </row>
        <row r="6">
          <cell r="A6" t="str">
            <v>BA 大桶</v>
          </cell>
        </row>
        <row r="7">
          <cell r="A7" t="str">
            <v>BB 细绳</v>
          </cell>
        </row>
        <row r="8">
          <cell r="A8" t="str">
            <v>BC 带有瓶架的板条箱</v>
          </cell>
        </row>
        <row r="9">
          <cell r="A9" t="str">
            <v>BD 板</v>
          </cell>
        </row>
        <row r="10">
          <cell r="A10" t="str">
            <v>BE 捆扎</v>
          </cell>
        </row>
        <row r="11">
          <cell r="A11" t="str">
            <v>BF 未加保护球形瓶</v>
          </cell>
        </row>
        <row r="12">
          <cell r="A12" t="str">
            <v>BG 袋</v>
          </cell>
        </row>
        <row r="13">
          <cell r="A13" t="str">
            <v>BH 线束</v>
          </cell>
        </row>
        <row r="14">
          <cell r="A14" t="str">
            <v>BI 料箱</v>
          </cell>
        </row>
        <row r="15">
          <cell r="A15" t="str">
            <v>BJ 吊桶</v>
          </cell>
        </row>
        <row r="16">
          <cell r="A16" t="str">
            <v>BK 筐</v>
          </cell>
        </row>
        <row r="17">
          <cell r="A17" t="str">
            <v>BL 已压缩包</v>
          </cell>
        </row>
        <row r="18">
          <cell r="A18" t="str">
            <v>BN 未压缩包</v>
          </cell>
        </row>
        <row r="19">
          <cell r="A19" t="str">
            <v>BO 未加保护圆柱形瓶</v>
          </cell>
        </row>
        <row r="20">
          <cell r="A20" t="str">
            <v>BP 加保护球形瓶</v>
          </cell>
        </row>
        <row r="21">
          <cell r="A21" t="str">
            <v>BQ 加保护圆柱形瓶</v>
          </cell>
        </row>
        <row r="22">
          <cell r="A22" t="str">
            <v>BR 棒</v>
          </cell>
        </row>
        <row r="23">
          <cell r="A23" t="str">
            <v>BS 未加保护球形瓶</v>
          </cell>
        </row>
        <row r="24">
          <cell r="A24" t="str">
            <v>BT 纸卷</v>
          </cell>
        </row>
        <row r="25">
          <cell r="A25" t="str">
            <v>BU 散装</v>
          </cell>
        </row>
        <row r="26">
          <cell r="A26" t="str">
            <v>BV 加保护球形瓶</v>
          </cell>
        </row>
        <row r="27">
          <cell r="A27" t="str">
            <v>BX 盒</v>
          </cell>
        </row>
        <row r="28">
          <cell r="A28" t="str">
            <v>BY 以堆/束/捆形式的板</v>
          </cell>
        </row>
        <row r="29">
          <cell r="A29" t="str">
            <v>BZ 以堆/束/捆形式的钢条</v>
          </cell>
        </row>
        <row r="30">
          <cell r="A30" t="str">
            <v>CA 矩形罐</v>
          </cell>
        </row>
        <row r="31">
          <cell r="A31" t="str">
            <v>CB 装啤酒板条箱</v>
          </cell>
        </row>
        <row r="32">
          <cell r="A32" t="str">
            <v>CC 盛奶器</v>
          </cell>
        </row>
        <row r="33">
          <cell r="A33" t="str">
            <v>CE 柳条鱼篮</v>
          </cell>
        </row>
        <row r="34">
          <cell r="A34" t="str">
            <v>CF 保险箱</v>
          </cell>
        </row>
        <row r="35">
          <cell r="A35" t="str">
            <v>CG 笼</v>
          </cell>
        </row>
        <row r="36">
          <cell r="A36" t="str">
            <v>CH 箱, 柜</v>
          </cell>
        </row>
        <row r="37">
          <cell r="A37" t="str">
            <v>CI 金属罐</v>
          </cell>
        </row>
        <row r="38">
          <cell r="A38" t="str">
            <v>CJ 屏蔽容器</v>
          </cell>
        </row>
        <row r="39">
          <cell r="A39" t="str">
            <v>CK 木桶</v>
          </cell>
        </row>
        <row r="40">
          <cell r="A40" t="str">
            <v>CL 圈</v>
          </cell>
        </row>
        <row r="41">
          <cell r="A41" t="str">
            <v>CO 未加保护的坛</v>
          </cell>
        </row>
        <row r="42">
          <cell r="A42" t="str">
            <v>CP 加保护的坛</v>
          </cell>
        </row>
        <row r="43">
          <cell r="A43" t="str">
            <v>CQ 罐头</v>
          </cell>
        </row>
        <row r="44">
          <cell r="A44" t="str">
            <v>CR 板条箱</v>
          </cell>
        </row>
        <row r="45">
          <cell r="A45" t="str">
            <v>CS 箱</v>
          </cell>
        </row>
        <row r="46">
          <cell r="A46" t="str">
            <v>CT 纸板箱</v>
          </cell>
        </row>
        <row r="47">
          <cell r="A47" t="str">
            <v>CU 杯</v>
          </cell>
        </row>
        <row r="48">
          <cell r="A48" t="str">
            <v>CV 包裹</v>
          </cell>
        </row>
        <row r="49">
          <cell r="A49" t="str">
            <v>CX 圆柱形罐</v>
          </cell>
        </row>
        <row r="50">
          <cell r="A50" t="str">
            <v>CY 圆筒</v>
          </cell>
        </row>
        <row r="51">
          <cell r="A51" t="str">
            <v>CZ 帆布</v>
          </cell>
        </row>
        <row r="52">
          <cell r="A52" t="str">
            <v>DJ 未加保护细颈坛</v>
          </cell>
        </row>
        <row r="53">
          <cell r="A53" t="str">
            <v>DP 加保护细颈坛</v>
          </cell>
        </row>
        <row r="54">
          <cell r="A54" t="str">
            <v>DR 金属桶</v>
          </cell>
        </row>
        <row r="55">
          <cell r="A55" t="str">
            <v>EN 包, 封</v>
          </cell>
        </row>
        <row r="56">
          <cell r="A56" t="str">
            <v>FC 装水果板条箱</v>
          </cell>
        </row>
        <row r="57">
          <cell r="A57" t="str">
            <v>FD 框架板条箱</v>
          </cell>
        </row>
        <row r="58">
          <cell r="A58" t="str">
            <v>FI 小桶</v>
          </cell>
        </row>
        <row r="59">
          <cell r="A59" t="str">
            <v>FL 细颈瓶</v>
          </cell>
        </row>
        <row r="60">
          <cell r="A60" t="str">
            <v>FO 底箱</v>
          </cell>
        </row>
        <row r="61">
          <cell r="A61" t="str">
            <v>FP 薄膜包装</v>
          </cell>
        </row>
        <row r="62">
          <cell r="A62" t="str">
            <v>FR 框架</v>
          </cell>
        </row>
        <row r="63">
          <cell r="A63" t="str">
            <v>GB 气瓶</v>
          </cell>
        </row>
        <row r="64">
          <cell r="A64" t="str">
            <v>GG 粗麻袋</v>
          </cell>
        </row>
        <row r="65">
          <cell r="A65" t="str">
            <v>GI (支)袈</v>
          </cell>
        </row>
        <row r="66">
          <cell r="A66" t="str">
            <v>GL 粗麻包</v>
          </cell>
        </row>
        <row r="67">
          <cell r="A67" t="str">
            <v>GZ 以堆/束/捆形式的(支柱)架</v>
          </cell>
        </row>
        <row r="68">
          <cell r="A68" t="str">
            <v>HG 大啤酒桶</v>
          </cell>
        </row>
        <row r="69">
          <cell r="A69" t="str">
            <v>HR 带盖的篮</v>
          </cell>
        </row>
        <row r="70">
          <cell r="A70" t="str">
            <v>ID 铁桶</v>
          </cell>
        </row>
        <row r="71">
          <cell r="A71" t="str">
            <v>IN 锭</v>
          </cell>
        </row>
        <row r="72">
          <cell r="A72" t="str">
            <v>IZ 以堆/束/捆形式的锭</v>
          </cell>
        </row>
        <row r="73">
          <cell r="A73" t="str">
            <v>JC 矩形五加仑液体罐</v>
          </cell>
        </row>
        <row r="74">
          <cell r="A74" t="str">
            <v>JG 带柄的水罐</v>
          </cell>
        </row>
        <row r="75">
          <cell r="A75" t="str">
            <v>JR 大口瓶</v>
          </cell>
        </row>
        <row r="76">
          <cell r="A76" t="str">
            <v>JT 黄麻包</v>
          </cell>
        </row>
        <row r="77">
          <cell r="A77" t="str">
            <v>JY 圆柱形五加仑液体罐</v>
          </cell>
        </row>
        <row r="78">
          <cell r="A78" t="str">
            <v>KG 小桶(小于30加仑)</v>
          </cell>
        </row>
        <row r="79">
          <cell r="A79" t="str">
            <v>LG 木材</v>
          </cell>
        </row>
        <row r="80">
          <cell r="A80" t="str">
            <v>LV 吊装货箱</v>
          </cell>
        </row>
        <row r="81">
          <cell r="A81" t="str">
            <v>LZ 以堆/束/捆形式的木材</v>
          </cell>
        </row>
        <row r="82">
          <cell r="A82" t="str">
            <v>MB 多用包</v>
          </cell>
        </row>
        <row r="83">
          <cell r="A83" t="str">
            <v>MC 装奶板条箱</v>
          </cell>
        </row>
        <row r="84">
          <cell r="A84" t="str">
            <v>MS 多层包</v>
          </cell>
        </row>
        <row r="85">
          <cell r="A85" t="str">
            <v>MT 麻袋</v>
          </cell>
        </row>
        <row r="86">
          <cell r="A86" t="str">
            <v>MX 火柴盒</v>
          </cell>
        </row>
        <row r="87">
          <cell r="A87" t="str">
            <v>NE 无包装</v>
          </cell>
        </row>
        <row r="88">
          <cell r="A88" t="str">
            <v>NS 成套器具</v>
          </cell>
        </row>
        <row r="89">
          <cell r="A89" t="str">
            <v>NT 网</v>
          </cell>
        </row>
        <row r="90">
          <cell r="A90" t="str">
            <v>NT 集装箱</v>
          </cell>
        </row>
        <row r="91">
          <cell r="A91" t="str">
            <v>PA 小包裹</v>
          </cell>
        </row>
        <row r="92">
          <cell r="A92" t="str">
            <v>PB 纸袋</v>
          </cell>
        </row>
        <row r="93">
          <cell r="A93" t="str">
            <v>PC 包裹</v>
          </cell>
        </row>
        <row r="94">
          <cell r="A94" t="str">
            <v>PE 托盘</v>
          </cell>
        </row>
        <row r="95">
          <cell r="A95" t="str">
            <v>PG 金属板</v>
          </cell>
        </row>
        <row r="96">
          <cell r="A96" t="str">
            <v>PH 大水瓶</v>
          </cell>
        </row>
        <row r="97">
          <cell r="A97" t="str">
            <v>PI 管子</v>
          </cell>
        </row>
        <row r="98">
          <cell r="A98" t="str">
            <v>PK 包</v>
          </cell>
        </row>
        <row r="99">
          <cell r="A99" t="str">
            <v>PL 桶</v>
          </cell>
        </row>
        <row r="100">
          <cell r="A100" t="str">
            <v>PN 厚木板</v>
          </cell>
        </row>
        <row r="101">
          <cell r="A101" t="str">
            <v>PO 袋装</v>
          </cell>
        </row>
        <row r="102">
          <cell r="A102" t="str">
            <v>PT 罐</v>
          </cell>
        </row>
        <row r="103">
          <cell r="A103" t="str">
            <v>PU 托盘</v>
          </cell>
        </row>
        <row r="104">
          <cell r="A104" t="str">
            <v>PY 以堆/束/捆形式的金属板</v>
          </cell>
        </row>
        <row r="105">
          <cell r="A105" t="str">
            <v>PZ 以堆/束/捆形式的管子</v>
          </cell>
        </row>
        <row r="106">
          <cell r="A106" t="str">
            <v>PZ 以堆/束/捆形式的厚木板</v>
          </cell>
        </row>
        <row r="107">
          <cell r="A107" t="str">
            <v>RD 钢筋</v>
          </cell>
        </row>
        <row r="108">
          <cell r="A108" t="str">
            <v>RG 环</v>
          </cell>
        </row>
        <row r="109">
          <cell r="A109" t="str">
            <v>RL 卷筒</v>
          </cell>
        </row>
        <row r="110">
          <cell r="A110" t="str">
            <v>RO 卷钢</v>
          </cell>
        </row>
        <row r="111">
          <cell r="A111" t="str">
            <v>RT 红色网</v>
          </cell>
        </row>
        <row r="112">
          <cell r="A112" t="str">
            <v>RZ 以堆/束/捆形式的钢筋</v>
          </cell>
        </row>
        <row r="113">
          <cell r="A113" t="str">
            <v>SA 袋</v>
          </cell>
        </row>
        <row r="114">
          <cell r="A114" t="str">
            <v>SC 薄板条箱</v>
          </cell>
        </row>
        <row r="115">
          <cell r="A115" t="str">
            <v>SD 轴</v>
          </cell>
        </row>
        <row r="116">
          <cell r="A116" t="str">
            <v>SE 海运箱</v>
          </cell>
        </row>
        <row r="117">
          <cell r="A117" t="str">
            <v>SH 小包装袋</v>
          </cell>
        </row>
        <row r="118">
          <cell r="A118" t="str">
            <v>SK 箱</v>
          </cell>
        </row>
        <row r="119">
          <cell r="A119" t="str">
            <v>SL 薄衬纸</v>
          </cell>
        </row>
        <row r="120">
          <cell r="A120" t="str">
            <v>SM 薄板金属</v>
          </cell>
        </row>
        <row r="121">
          <cell r="A121" t="str">
            <v>ST 薄板</v>
          </cell>
        </row>
        <row r="122">
          <cell r="A122" t="str">
            <v>SU 手提箱</v>
          </cell>
        </row>
        <row r="123">
          <cell r="A123" t="str">
            <v>SW 收缩包装</v>
          </cell>
        </row>
        <row r="124">
          <cell r="A124" t="str">
            <v>SZ 以堆/束/捆形式的薄板</v>
          </cell>
        </row>
        <row r="125">
          <cell r="A125" t="str">
            <v>TB 盆</v>
          </cell>
        </row>
        <row r="126">
          <cell r="A126" t="str">
            <v>TC 茶叶箱</v>
          </cell>
        </row>
        <row r="127">
          <cell r="A127" t="str">
            <v>TD 收缩管</v>
          </cell>
        </row>
        <row r="128">
          <cell r="A128" t="str">
            <v>TD 管, 可拆(收缩)</v>
          </cell>
        </row>
        <row r="129">
          <cell r="A129" t="str">
            <v>TK 矩形油箱</v>
          </cell>
        </row>
        <row r="130">
          <cell r="A130" t="str">
            <v>TN 马口铁</v>
          </cell>
        </row>
        <row r="131">
          <cell r="A131" t="str">
            <v>TO 大桶</v>
          </cell>
        </row>
        <row r="132">
          <cell r="A132" t="str">
            <v>TR 衣箱</v>
          </cell>
        </row>
        <row r="133">
          <cell r="A133" t="str">
            <v>TS 捆</v>
          </cell>
        </row>
        <row r="134">
          <cell r="A134" t="str">
            <v>TU 管</v>
          </cell>
        </row>
        <row r="135">
          <cell r="A135" t="str">
            <v>TY 圆柱形油箱</v>
          </cell>
        </row>
        <row r="136">
          <cell r="A136" t="str">
            <v>TZ 以堆/束/捆形式的管</v>
          </cell>
        </row>
        <row r="137">
          <cell r="A137" t="str">
            <v>VA 桶</v>
          </cell>
        </row>
        <row r="138">
          <cell r="A138" t="str">
            <v>VG 散装气体(1031毫巴, 15/C)</v>
          </cell>
        </row>
        <row r="139">
          <cell r="A139" t="str">
            <v>VI 小玻璃瓶</v>
          </cell>
        </row>
        <row r="140">
          <cell r="A140" t="str">
            <v>VL 散装液体</v>
          </cell>
        </row>
        <row r="141">
          <cell r="A141" t="str">
            <v>VO 散装大粒子(颗粒)固体</v>
          </cell>
        </row>
        <row r="142">
          <cell r="A142" t="str">
            <v>VP 真空包装</v>
          </cell>
        </row>
        <row r="143">
          <cell r="A143" t="str">
            <v>VQ 散装液化汽(在非正常温度/压力)</v>
          </cell>
        </row>
        <row r="144">
          <cell r="A144" t="str">
            <v>VR 散装粗粒子(粉状)固体</v>
          </cell>
        </row>
        <row r="145">
          <cell r="A145" t="str">
            <v>VY 散装微粒子(粉状)固体</v>
          </cell>
        </row>
        <row r="146">
          <cell r="A146" t="str">
            <v>WB 柳条包</v>
          </cell>
        </row>
        <row r="147">
          <cell r="A147" t="str">
            <v>WG 编织袋</v>
          </cell>
        </row>
      </sheetData>
      <sheetData sheetId="27">
        <row r="1">
          <cell r="A1" t="str">
            <v>CNY 人民币</v>
          </cell>
        </row>
        <row r="2">
          <cell r="A2" t="str">
            <v>HKD 港元</v>
          </cell>
        </row>
        <row r="3">
          <cell r="A3" t="str">
            <v>EUR 欧元</v>
          </cell>
        </row>
        <row r="4">
          <cell r="A4" t="str">
            <v>USD 美元</v>
          </cell>
        </row>
        <row r="5">
          <cell r="A5" t="str">
            <v>SGD 新加坡币</v>
          </cell>
        </row>
        <row r="6">
          <cell r="A6" t="str">
            <v>JPY 日元</v>
          </cell>
        </row>
        <row r="7">
          <cell r="A7" t="str">
            <v>GBP 英镑</v>
          </cell>
        </row>
        <row r="8">
          <cell r="A8" t="str">
            <v>TWD 新台币</v>
          </cell>
        </row>
        <row r="9">
          <cell r="A9" t="str">
            <v>INR 印度卢比</v>
          </cell>
        </row>
        <row r="10">
          <cell r="A10" t="str">
            <v>KRW 韩元</v>
          </cell>
        </row>
        <row r="11">
          <cell r="A11" t="str">
            <v>MOP 澳门元</v>
          </cell>
        </row>
        <row r="12">
          <cell r="A12" t="str">
            <v>RUB 卢布</v>
          </cell>
        </row>
        <row r="13">
          <cell r="A13" t="str">
            <v>AUD 澳大利亚元</v>
          </cell>
        </row>
        <row r="14">
          <cell r="A14" t="str">
            <v>CAD 加拿大元</v>
          </cell>
        </row>
        <row r="15">
          <cell r="A15" t="str">
            <v>CHF 瑞士法郎</v>
          </cell>
        </row>
        <row r="16">
          <cell r="A16" t="str">
            <v>DKK 丹麦克朗</v>
          </cell>
        </row>
        <row r="17">
          <cell r="A17" t="str">
            <v>NOK 挪威克朗</v>
          </cell>
        </row>
      </sheetData>
      <sheetData sheetId="28" refreshError="1"/>
      <sheetData sheetId="2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原始数据"/>
      <sheetName val="报舱数据"/>
      <sheetName val="进口舱单"/>
      <sheetName val="新增报告"/>
      <sheetName val="删除报告"/>
      <sheetName val="航次参数"/>
      <sheetName val="记录备份"/>
      <sheetName val="舱单删除"/>
      <sheetName val="原始图片"/>
      <sheetName val="增改公路舱单20190906"/>
    </sheetNames>
    <sheetDataSet>
      <sheetData sheetId="0" refreshError="1"/>
      <sheetData sheetId="1" refreshError="1"/>
      <sheetData sheetId="2" refreshError="1"/>
      <sheetData sheetId="3" refreshError="1"/>
      <sheetData sheetId="4" refreshError="1"/>
      <sheetData sheetId="5">
        <row r="1">
          <cell r="A1" t="str">
            <v>陆牌</v>
          </cell>
          <cell r="B1" t="str">
            <v>港牌</v>
          </cell>
          <cell r="C1" t="str">
            <v>E锁NO.</v>
          </cell>
          <cell r="D1" t="str">
            <v>黄本NO.</v>
          </cell>
          <cell r="E1" t="str">
            <v>司机</v>
          </cell>
          <cell r="F1" t="str">
            <v>卡号</v>
          </cell>
          <cell r="G1" t="str">
            <v>密码</v>
          </cell>
          <cell r="J1" t="str">
            <v>电话</v>
          </cell>
        </row>
        <row r="2">
          <cell r="A2" t="str">
            <v>粤ZCS21港</v>
          </cell>
          <cell r="B2" t="str">
            <v>SS8318</v>
          </cell>
          <cell r="C2">
            <v>13800314</v>
          </cell>
          <cell r="D2">
            <v>5340004704</v>
          </cell>
          <cell r="E2" t="str">
            <v>张令文</v>
          </cell>
          <cell r="F2">
            <v>800465</v>
          </cell>
          <cell r="J2">
            <v>13760382821</v>
          </cell>
        </row>
        <row r="3">
          <cell r="A3" t="str">
            <v>粤ZHC39港</v>
          </cell>
          <cell r="B3" t="str">
            <v>TB5876</v>
          </cell>
          <cell r="C3">
            <v>12900522</v>
          </cell>
          <cell r="D3">
            <v>5300106299</v>
          </cell>
          <cell r="E3" t="str">
            <v>张朋</v>
          </cell>
          <cell r="F3">
            <v>123672</v>
          </cell>
          <cell r="J3">
            <v>14715374290</v>
          </cell>
        </row>
        <row r="4">
          <cell r="A4" t="str">
            <v>粤ZCN49港</v>
          </cell>
          <cell r="B4" t="str">
            <v>TG7922</v>
          </cell>
          <cell r="C4">
            <v>13800315</v>
          </cell>
          <cell r="D4">
            <v>5340011636</v>
          </cell>
          <cell r="E4" t="str">
            <v>方庆华</v>
          </cell>
          <cell r="F4">
            <v>123422</v>
          </cell>
          <cell r="J4">
            <v>15889696590</v>
          </cell>
        </row>
        <row r="5">
          <cell r="A5" t="str">
            <v>粤ZCN50港</v>
          </cell>
          <cell r="B5" t="str">
            <v>MG9729</v>
          </cell>
          <cell r="C5">
            <v>13800313</v>
          </cell>
          <cell r="D5">
            <v>5300111078</v>
          </cell>
          <cell r="E5" t="str">
            <v>欧伟文</v>
          </cell>
          <cell r="F5">
            <v>444667</v>
          </cell>
          <cell r="G5">
            <v>996</v>
          </cell>
          <cell r="J5">
            <v>13823759818</v>
          </cell>
        </row>
        <row r="6">
          <cell r="A6" t="str">
            <v>粤ZDF52港</v>
          </cell>
          <cell r="B6" t="str">
            <v>RF9270</v>
          </cell>
          <cell r="C6">
            <v>13800213</v>
          </cell>
          <cell r="D6">
            <v>5300108003</v>
          </cell>
          <cell r="E6" t="str">
            <v>严明杰</v>
          </cell>
          <cell r="F6">
            <v>442847</v>
          </cell>
          <cell r="G6">
            <v>427</v>
          </cell>
        </row>
        <row r="7">
          <cell r="A7" t="str">
            <v>粤ZDF57港</v>
          </cell>
          <cell r="B7" t="str">
            <v>RH6951</v>
          </cell>
          <cell r="C7">
            <v>13800082</v>
          </cell>
          <cell r="D7">
            <v>5300112128</v>
          </cell>
          <cell r="E7" t="str">
            <v>李开林</v>
          </cell>
          <cell r="F7">
            <v>443004</v>
          </cell>
          <cell r="G7">
            <v>837</v>
          </cell>
        </row>
        <row r="8">
          <cell r="A8" t="str">
            <v>粤ZDF60港</v>
          </cell>
          <cell r="B8" t="str">
            <v>MH7530</v>
          </cell>
          <cell r="C8">
            <v>13800231</v>
          </cell>
          <cell r="D8">
            <v>5300101997</v>
          </cell>
          <cell r="E8" t="str">
            <v>欧伟文</v>
          </cell>
          <cell r="F8">
            <v>444571</v>
          </cell>
          <cell r="G8">
            <v>690</v>
          </cell>
        </row>
        <row r="9">
          <cell r="A9" t="str">
            <v>粤ZGS74港</v>
          </cell>
          <cell r="B9" t="str">
            <v>SG9975</v>
          </cell>
          <cell r="C9">
            <v>13800241</v>
          </cell>
          <cell r="D9">
            <v>5340000357</v>
          </cell>
          <cell r="E9" t="str">
            <v>李德中</v>
          </cell>
          <cell r="F9">
            <v>200074</v>
          </cell>
          <cell r="G9">
            <v>820</v>
          </cell>
        </row>
        <row r="10">
          <cell r="A10" t="str">
            <v>粤ZBW77港</v>
          </cell>
          <cell r="B10" t="str">
            <v>TR9893</v>
          </cell>
          <cell r="C10">
            <v>13800316</v>
          </cell>
          <cell r="D10">
            <v>5340015122</v>
          </cell>
          <cell r="E10" t="str">
            <v>陈志雄</v>
          </cell>
          <cell r="F10">
            <v>123479</v>
          </cell>
        </row>
        <row r="11">
          <cell r="A11" t="str">
            <v>粤ZFA60港</v>
          </cell>
          <cell r="B11" t="str">
            <v>MY6315</v>
          </cell>
          <cell r="C11">
            <v>12900521</v>
          </cell>
          <cell r="D11">
            <v>5300114389</v>
          </cell>
          <cell r="E11" t="str">
            <v>张阁</v>
          </cell>
          <cell r="F11">
            <v>123656</v>
          </cell>
        </row>
        <row r="12">
          <cell r="A12" t="str">
            <v>粤ZED82港</v>
          </cell>
          <cell r="B12" t="str">
            <v>KP6978</v>
          </cell>
          <cell r="C12">
            <v>13800311</v>
          </cell>
          <cell r="D12">
            <v>5300100911</v>
          </cell>
          <cell r="E12" t="str">
            <v>周伟中</v>
          </cell>
          <cell r="F12">
            <v>443038</v>
          </cell>
          <cell r="G12">
            <v>762</v>
          </cell>
        </row>
        <row r="13">
          <cell r="A13" t="str">
            <v>粤ZSE11港</v>
          </cell>
          <cell r="B13" t="str">
            <v>TC9556</v>
          </cell>
          <cell r="C13">
            <v>10909402</v>
          </cell>
          <cell r="D13">
            <v>5340010497</v>
          </cell>
          <cell r="E13" t="str">
            <v>冯荣忠</v>
          </cell>
          <cell r="F13">
            <v>123633</v>
          </cell>
        </row>
        <row r="14">
          <cell r="A14" t="str">
            <v>粤ZDB05港</v>
          </cell>
          <cell r="B14" t="str">
            <v>UN2983</v>
          </cell>
          <cell r="C14" t="str">
            <v>CNLS0000843545</v>
          </cell>
          <cell r="D14">
            <v>5340025247</v>
          </cell>
          <cell r="E14" t="str">
            <v>黎永生</v>
          </cell>
        </row>
        <row r="15">
          <cell r="A15" t="str">
            <v>粤ZHQ97港</v>
          </cell>
          <cell r="B15" t="str">
            <v>LF7223</v>
          </cell>
          <cell r="C15">
            <v>12900272</v>
          </cell>
          <cell r="D15">
            <v>5300105861</v>
          </cell>
          <cell r="E15" t="str">
            <v>凌孟秋</v>
          </cell>
        </row>
      </sheetData>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EM87"/>
  <sheetViews>
    <sheetView tabSelected="1" zoomScale="70" zoomScaleNormal="70" workbookViewId="0">
      <pane xSplit="11" ySplit="1" topLeftCell="L2" activePane="bottomRight" state="frozen"/>
      <selection activeCell="H12" sqref="H12"/>
      <selection pane="topRight" activeCell="H12" sqref="H12"/>
      <selection pane="bottomLeft" activeCell="H12" sqref="H12"/>
      <selection pane="bottomRight" activeCell="A2" sqref="A2"/>
    </sheetView>
  </sheetViews>
  <sheetFormatPr defaultRowHeight="22.5"/>
  <cols>
    <col min="1" max="1" width="11.25" style="196" customWidth="1"/>
    <col min="2" max="2" width="9.5" style="197" customWidth="1"/>
    <col min="3" max="3" width="10.5" style="200" customWidth="1"/>
    <col min="4" max="4" width="15.375" style="201" customWidth="1"/>
    <col min="5" max="5" width="21.625" style="105" customWidth="1"/>
    <col min="6" max="6" width="39.5" style="105" customWidth="1"/>
    <col min="7" max="7" width="19.625" style="106" bestFit="1" customWidth="1"/>
    <col min="8" max="8" width="4.375" style="107" customWidth="1"/>
    <col min="9" max="9" width="29.5" style="108" customWidth="1"/>
    <col min="10" max="10" width="29.375" style="108" customWidth="1"/>
    <col min="11" max="11" width="17.25" style="107" bestFit="1" customWidth="1"/>
    <col min="12" max="12" width="18.125" style="109" bestFit="1" customWidth="1"/>
    <col min="13" max="13" width="10.75" style="107" customWidth="1"/>
    <col min="14" max="14" width="9.125" style="107" customWidth="1"/>
    <col min="15" max="15" width="9" style="110"/>
    <col min="16" max="16" width="13.375" style="110" customWidth="1"/>
    <col min="17" max="17" width="5.625" style="107" hidden="1" customWidth="1"/>
    <col min="18" max="18" width="0" style="107" hidden="1" customWidth="1"/>
    <col min="19" max="19" width="23.875" style="107" hidden="1" customWidth="1"/>
    <col min="20" max="20" width="4.25" style="107" hidden="1" customWidth="1"/>
    <col min="21" max="21" width="23.875" style="107" hidden="1" customWidth="1"/>
    <col min="22" max="22" width="4.375" style="107" hidden="1" customWidth="1"/>
    <col min="23" max="23" width="4.5" style="107" hidden="1" customWidth="1"/>
    <col min="24" max="24" width="4.375" style="107" hidden="1" customWidth="1"/>
    <col min="25" max="25" width="4.5" style="107" hidden="1" customWidth="1"/>
    <col min="26" max="26" width="16.125" style="107" hidden="1" customWidth="1"/>
    <col min="27" max="28" width="7.125" style="107" hidden="1" customWidth="1"/>
    <col min="29" max="29" width="0" style="107" hidden="1" customWidth="1"/>
    <col min="30" max="31" width="11" style="107" hidden="1" customWidth="1"/>
    <col min="32" max="33" width="45" style="107" hidden="1" customWidth="1"/>
    <col min="34" max="34" width="11" style="107" hidden="1" customWidth="1"/>
    <col min="35" max="35" width="13" style="107" hidden="1" customWidth="1"/>
    <col min="36" max="36" width="19.375" style="107" hidden="1" customWidth="1"/>
    <col min="37" max="38" width="17.25" style="107" hidden="1" customWidth="1"/>
    <col min="39" max="39" width="15" style="107" hidden="1" customWidth="1"/>
    <col min="40" max="40" width="13" style="107" hidden="1" customWidth="1"/>
    <col min="41" max="41" width="12.125" style="107" hidden="1" customWidth="1"/>
    <col min="42" max="43" width="11" style="107" hidden="1" customWidth="1"/>
    <col min="44" max="44" width="13" style="107" hidden="1" customWidth="1"/>
    <col min="45" max="45" width="11" style="107" hidden="1" customWidth="1"/>
    <col min="46" max="47" width="45" style="107" hidden="1" customWidth="1"/>
    <col min="48" max="48" width="27.25" style="107" hidden="1" customWidth="1"/>
    <col min="49" max="50" width="26.125" style="107" hidden="1" customWidth="1"/>
    <col min="51" max="51" width="16.125" style="107" hidden="1" customWidth="1"/>
    <col min="52" max="52" width="13" style="107" hidden="1" customWidth="1"/>
    <col min="53" max="53" width="12.125" style="107" hidden="1" customWidth="1"/>
    <col min="54" max="54" width="11" style="107" hidden="1" customWidth="1"/>
    <col min="55" max="55" width="15" style="107" hidden="1" customWidth="1"/>
    <col min="56" max="56" width="13.875" style="107" hidden="1" customWidth="1"/>
    <col min="57" max="57" width="17.25" style="107" hidden="1" customWidth="1"/>
    <col min="58" max="58" width="13.125" style="107" hidden="1" customWidth="1"/>
    <col min="59" max="59" width="91.125" style="111" bestFit="1" customWidth="1"/>
    <col min="60" max="60" width="13" style="107" hidden="1" customWidth="1"/>
    <col min="61" max="61" width="25.5" style="107" hidden="1" customWidth="1"/>
    <col min="62" max="63" width="0" style="107" hidden="1" customWidth="1"/>
    <col min="64" max="64" width="21.375" style="107" hidden="1" customWidth="1"/>
    <col min="65" max="65" width="23.5" style="107" hidden="1" customWidth="1"/>
    <col min="66" max="66" width="5.25" style="107" hidden="1" customWidth="1"/>
    <col min="67" max="68" width="7.125" style="107" hidden="1" customWidth="1"/>
    <col min="69" max="69" width="21.375" style="107" hidden="1" customWidth="1"/>
    <col min="70" max="70" width="15.125" style="107" hidden="1" customWidth="1"/>
    <col min="71" max="71" width="2.5" style="107" hidden="1" customWidth="1"/>
    <col min="72" max="72" width="7.125" style="107" hidden="1" customWidth="1"/>
    <col min="73" max="73" width="13" style="107" hidden="1" customWidth="1"/>
    <col min="74" max="74" width="0" style="107" hidden="1" customWidth="1"/>
    <col min="75" max="75" width="5.25" style="107" hidden="1" customWidth="1"/>
    <col min="76" max="78" width="16.25" style="107" hidden="1" customWidth="1"/>
    <col min="79" max="79" width="8.25" style="107" hidden="1" customWidth="1"/>
    <col min="80" max="81" width="11" style="107" hidden="1" customWidth="1"/>
    <col min="82" max="82" width="8.5" style="107" hidden="1" customWidth="1"/>
    <col min="83" max="83" width="12.75" style="107" hidden="1" customWidth="1"/>
    <col min="84" max="84" width="13" style="107" hidden="1" customWidth="1"/>
    <col min="85" max="85" width="10.75" style="107" hidden="1" customWidth="1"/>
    <col min="86" max="86" width="0" style="107" hidden="1" customWidth="1"/>
    <col min="87" max="87" width="14.375" style="112" customWidth="1"/>
    <col min="88" max="88" width="0" style="107" hidden="1" customWidth="1"/>
    <col min="89" max="89" width="9.5" style="107" hidden="1" customWidth="1"/>
    <col min="90" max="90" width="17.25" style="107" hidden="1" customWidth="1"/>
    <col min="91" max="91" width="0" style="107" hidden="1" customWidth="1"/>
    <col min="92" max="92" width="13" style="107" hidden="1" customWidth="1"/>
    <col min="93" max="93" width="8.25" style="107" hidden="1" customWidth="1"/>
    <col min="94" max="94" width="17.25" style="107" hidden="1" customWidth="1"/>
    <col min="95" max="96" width="11" style="107" hidden="1" customWidth="1"/>
    <col min="97" max="97" width="0" style="107" hidden="1" customWidth="1"/>
    <col min="98" max="98" width="13" style="107" hidden="1" customWidth="1"/>
    <col min="99" max="102" width="0" style="107" hidden="1" customWidth="1"/>
    <col min="103" max="113" width="9" style="107"/>
    <col min="114" max="118" width="7.125" style="107" bestFit="1" customWidth="1"/>
    <col min="119" max="119" width="3.375" style="107" bestFit="1" customWidth="1"/>
    <col min="120" max="121" width="7.125" style="107" bestFit="1" customWidth="1"/>
    <col min="122" max="141" width="9" style="107"/>
    <col min="142" max="142" width="14.25" style="107" customWidth="1"/>
    <col min="143" max="16384" width="9" style="107"/>
  </cols>
  <sheetData>
    <row r="1" spans="1:143" s="92" customFormat="1" ht="39.75" customHeight="1">
      <c r="A1" s="88" t="s">
        <v>100</v>
      </c>
      <c r="B1" s="88" t="s">
        <v>3652</v>
      </c>
      <c r="C1" s="198" t="s">
        <v>97</v>
      </c>
      <c r="D1" s="198" t="s">
        <v>96</v>
      </c>
      <c r="E1" s="86" t="s">
        <v>98</v>
      </c>
      <c r="F1" s="87" t="s">
        <v>99</v>
      </c>
      <c r="G1" s="88" t="s">
        <v>101</v>
      </c>
      <c r="H1" s="86"/>
      <c r="I1" s="89" t="s">
        <v>13</v>
      </c>
      <c r="J1" s="89" t="s">
        <v>106</v>
      </c>
      <c r="K1" s="86" t="s">
        <v>14</v>
      </c>
      <c r="L1" s="90" t="s">
        <v>15</v>
      </c>
      <c r="M1" s="86" t="s">
        <v>16</v>
      </c>
      <c r="N1" s="86" t="s">
        <v>17</v>
      </c>
      <c r="O1" s="86" t="s">
        <v>1</v>
      </c>
      <c r="P1" s="86" t="s">
        <v>0</v>
      </c>
      <c r="Q1" s="91" t="s">
        <v>18</v>
      </c>
      <c r="R1" s="91" t="s">
        <v>19</v>
      </c>
      <c r="S1" s="91" t="s">
        <v>90</v>
      </c>
      <c r="T1" s="91" t="s">
        <v>108</v>
      </c>
      <c r="U1" s="91" t="s">
        <v>91</v>
      </c>
      <c r="V1" s="91" t="s">
        <v>109</v>
      </c>
      <c r="W1" s="91" t="s">
        <v>110</v>
      </c>
      <c r="X1" s="91" t="s">
        <v>111</v>
      </c>
      <c r="Y1" s="91" t="s">
        <v>112</v>
      </c>
      <c r="Z1" s="91" t="s">
        <v>113</v>
      </c>
      <c r="AA1" s="91" t="s">
        <v>20</v>
      </c>
      <c r="AB1" s="91" t="s">
        <v>21</v>
      </c>
      <c r="AC1" s="91" t="s">
        <v>22</v>
      </c>
      <c r="AD1" s="91" t="s">
        <v>23</v>
      </c>
      <c r="AE1" s="91" t="s">
        <v>24</v>
      </c>
      <c r="AF1" s="91" t="s">
        <v>25</v>
      </c>
      <c r="AG1" s="91" t="s">
        <v>114</v>
      </c>
      <c r="AH1" s="91" t="s">
        <v>26</v>
      </c>
      <c r="AI1" s="91" t="s">
        <v>27</v>
      </c>
      <c r="AJ1" s="91" t="s">
        <v>28</v>
      </c>
      <c r="AK1" s="91" t="s">
        <v>29</v>
      </c>
      <c r="AL1" s="91" t="s">
        <v>30</v>
      </c>
      <c r="AM1" s="91" t="s">
        <v>31</v>
      </c>
      <c r="AN1" s="91" t="s">
        <v>32</v>
      </c>
      <c r="AO1" s="91" t="s">
        <v>115</v>
      </c>
      <c r="AP1" s="91" t="s">
        <v>33</v>
      </c>
      <c r="AQ1" s="91" t="s">
        <v>34</v>
      </c>
      <c r="AR1" s="91" t="s">
        <v>35</v>
      </c>
      <c r="AS1" s="91" t="s">
        <v>169</v>
      </c>
      <c r="AT1" s="91" t="s">
        <v>36</v>
      </c>
      <c r="AU1" s="91" t="s">
        <v>116</v>
      </c>
      <c r="AV1" s="91" t="s">
        <v>37</v>
      </c>
      <c r="AW1" s="91" t="s">
        <v>38</v>
      </c>
      <c r="AX1" s="91" t="s">
        <v>39</v>
      </c>
      <c r="AY1" s="91" t="s">
        <v>40</v>
      </c>
      <c r="AZ1" s="91" t="s">
        <v>41</v>
      </c>
      <c r="BA1" s="91" t="s">
        <v>117</v>
      </c>
      <c r="BB1" s="91" t="s">
        <v>42</v>
      </c>
      <c r="BC1" s="91" t="s">
        <v>43</v>
      </c>
      <c r="BD1" s="91" t="s">
        <v>44</v>
      </c>
      <c r="BE1" s="91" t="s">
        <v>45</v>
      </c>
      <c r="BF1" s="91" t="s">
        <v>118</v>
      </c>
      <c r="BG1" s="86" t="s">
        <v>46</v>
      </c>
      <c r="BH1" s="91" t="s">
        <v>47</v>
      </c>
      <c r="BI1" s="91" t="s">
        <v>48</v>
      </c>
      <c r="BJ1" s="91" t="s">
        <v>170</v>
      </c>
      <c r="BK1" s="91" t="s">
        <v>171</v>
      </c>
      <c r="BL1" s="91" t="s">
        <v>172</v>
      </c>
      <c r="BM1" s="91" t="s">
        <v>49</v>
      </c>
      <c r="BN1" s="91" t="s">
        <v>2</v>
      </c>
      <c r="BO1" s="91" t="s">
        <v>173</v>
      </c>
      <c r="BP1" s="91" t="s">
        <v>174</v>
      </c>
      <c r="BQ1" s="91" t="s">
        <v>50</v>
      </c>
      <c r="BR1" s="91" t="s">
        <v>51</v>
      </c>
      <c r="BS1" s="91" t="s">
        <v>52</v>
      </c>
      <c r="BT1" s="91" t="s">
        <v>53</v>
      </c>
      <c r="BU1" s="91" t="s">
        <v>54</v>
      </c>
      <c r="BV1" s="91" t="s">
        <v>92</v>
      </c>
      <c r="BW1" s="91" t="s">
        <v>55</v>
      </c>
      <c r="BX1" s="91" t="s">
        <v>80</v>
      </c>
      <c r="BY1" s="91" t="s">
        <v>56</v>
      </c>
      <c r="BZ1" s="91" t="s">
        <v>57</v>
      </c>
      <c r="CA1" s="91" t="s">
        <v>119</v>
      </c>
      <c r="CB1" s="91" t="s">
        <v>58</v>
      </c>
      <c r="CC1" s="91" t="s">
        <v>59</v>
      </c>
      <c r="CD1" s="91" t="s">
        <v>60</v>
      </c>
      <c r="CE1" s="91" t="s">
        <v>61</v>
      </c>
      <c r="CF1" s="91" t="s">
        <v>62</v>
      </c>
      <c r="CG1" s="91" t="s">
        <v>63</v>
      </c>
      <c r="CH1" s="91" t="s">
        <v>64</v>
      </c>
      <c r="CI1" s="86" t="s">
        <v>65</v>
      </c>
      <c r="CJ1" s="92" t="s">
        <v>66</v>
      </c>
      <c r="CK1" s="92" t="s">
        <v>120</v>
      </c>
      <c r="CL1" s="92" t="s">
        <v>67</v>
      </c>
      <c r="CM1" s="92" t="s">
        <v>68</v>
      </c>
      <c r="CN1" s="92" t="s">
        <v>69</v>
      </c>
      <c r="CO1" s="92" t="s">
        <v>70</v>
      </c>
      <c r="CP1" s="92" t="s">
        <v>71</v>
      </c>
      <c r="CQ1" s="92" t="s">
        <v>121</v>
      </c>
      <c r="CR1" s="92" t="s">
        <v>72</v>
      </c>
      <c r="CS1" s="92" t="s">
        <v>73</v>
      </c>
      <c r="CT1" s="92" t="s">
        <v>74</v>
      </c>
      <c r="CU1" s="92" t="s">
        <v>75</v>
      </c>
      <c r="CV1" s="92" t="s">
        <v>76</v>
      </c>
      <c r="CW1" s="92" t="s">
        <v>77</v>
      </c>
      <c r="CX1" s="92" t="s">
        <v>78</v>
      </c>
      <c r="CY1" s="92" t="s">
        <v>79</v>
      </c>
      <c r="CZ1" s="92" t="s">
        <v>122</v>
      </c>
      <c r="DA1" s="92" t="s">
        <v>123</v>
      </c>
      <c r="DB1" s="92" t="s">
        <v>124</v>
      </c>
      <c r="DC1" s="92" t="s">
        <v>125</v>
      </c>
      <c r="DD1" s="92" t="s">
        <v>126</v>
      </c>
      <c r="DE1" s="92" t="s">
        <v>127</v>
      </c>
      <c r="DF1" s="92" t="s">
        <v>128</v>
      </c>
      <c r="DG1" s="92" t="s">
        <v>129</v>
      </c>
      <c r="DH1" s="92" t="s">
        <v>130</v>
      </c>
      <c r="DI1" s="92" t="s">
        <v>131</v>
      </c>
      <c r="DJ1" s="92" t="s">
        <v>132</v>
      </c>
      <c r="DK1" s="92" t="s">
        <v>133</v>
      </c>
      <c r="DL1" s="92" t="s">
        <v>134</v>
      </c>
      <c r="DM1" s="92" t="s">
        <v>135</v>
      </c>
      <c r="DN1" s="92" t="s">
        <v>136</v>
      </c>
      <c r="DO1" s="92" t="s">
        <v>137</v>
      </c>
      <c r="DP1" s="92" t="s">
        <v>138</v>
      </c>
      <c r="DQ1" s="92" t="s">
        <v>139</v>
      </c>
      <c r="DR1" s="92" t="s">
        <v>140</v>
      </c>
      <c r="DS1" s="92" t="s">
        <v>141</v>
      </c>
      <c r="DT1" s="92" t="s">
        <v>142</v>
      </c>
      <c r="DU1" s="92" t="s">
        <v>143</v>
      </c>
      <c r="DV1" s="92" t="s">
        <v>144</v>
      </c>
      <c r="DW1" s="92" t="s">
        <v>145</v>
      </c>
      <c r="DX1" s="92" t="s">
        <v>146</v>
      </c>
      <c r="DY1" s="92" t="s">
        <v>147</v>
      </c>
      <c r="DZ1" s="92" t="s">
        <v>148</v>
      </c>
      <c r="EA1" s="92" t="s">
        <v>149</v>
      </c>
      <c r="EB1" s="92" t="s">
        <v>150</v>
      </c>
      <c r="EC1" s="92" t="s">
        <v>151</v>
      </c>
      <c r="ED1" s="92" t="s">
        <v>152</v>
      </c>
      <c r="EE1" s="92" t="s">
        <v>153</v>
      </c>
      <c r="EF1" s="92" t="s">
        <v>154</v>
      </c>
      <c r="EG1" s="92" t="s">
        <v>155</v>
      </c>
      <c r="EH1" s="92" t="s">
        <v>156</v>
      </c>
      <c r="EI1" s="92" t="s">
        <v>157</v>
      </c>
      <c r="EJ1" s="92" t="s">
        <v>158</v>
      </c>
      <c r="EK1" s="92" t="s">
        <v>159</v>
      </c>
      <c r="EL1" s="92" t="s">
        <v>168</v>
      </c>
      <c r="EM1" s="93"/>
    </row>
    <row r="2" spans="1:143" s="96" customFormat="1">
      <c r="A2" s="194"/>
      <c r="B2" s="195"/>
      <c r="C2" s="199">
        <f t="shared" ref="C2:C65" si="0">IF(LEN(I2)&gt;9,"件数",O2)</f>
        <v>0</v>
      </c>
      <c r="D2" s="199">
        <f t="shared" ref="D2:D65" si="1">IF(LEN(I2)&gt;9,B2,IF(B2&lt;&gt;"",B2,P2))</f>
        <v>0</v>
      </c>
      <c r="E2" s="94" t="str">
        <f t="shared" ref="E2:E65" ca="1" si="2">TEXT(L2+TIME(HOUR(NOW()),MINUTE(NOW()),SECOND(NOW())),"emmddHHMMSS")</f>
        <v>19000100155941</v>
      </c>
      <c r="F2" s="94" t="str">
        <f>IFERROR(""&amp;(MID(BG2,1,MIN(FIND({"("},BG2,1)-1)))&amp;"货样","")</f>
        <v/>
      </c>
      <c r="G2" s="95" t="str">
        <f>IF(K2&lt;&gt;"",IFERROR(VLOOKUP(LEFT(K2,7),航次参数!$A$1:$J$20,1,FALSE),"车牌错误"),"")</f>
        <v/>
      </c>
      <c r="I2" s="97"/>
      <c r="J2" s="97"/>
      <c r="K2" s="98"/>
      <c r="L2" s="99"/>
      <c r="M2" s="98"/>
      <c r="N2" s="98"/>
      <c r="O2" s="100"/>
      <c r="P2" s="100"/>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8"/>
      <c r="BC2" s="98"/>
      <c r="BD2" s="98"/>
      <c r="BE2" s="98"/>
      <c r="BF2" s="98"/>
      <c r="BG2" s="98"/>
      <c r="BH2" s="101"/>
      <c r="BI2" s="102"/>
      <c r="BJ2" s="102"/>
      <c r="BL2" s="101"/>
      <c r="CD2" s="101"/>
      <c r="CF2" s="101"/>
      <c r="CH2" s="101"/>
      <c r="CI2" s="103"/>
      <c r="CJ2" s="101"/>
      <c r="CO2" s="101"/>
      <c r="CP2" s="102"/>
      <c r="CQ2" s="102"/>
      <c r="CR2" s="102"/>
      <c r="CT2" s="101"/>
      <c r="CW2" s="102"/>
      <c r="DJ2" s="102"/>
      <c r="DK2" s="102"/>
      <c r="DL2" s="102"/>
      <c r="DM2" s="102"/>
      <c r="DN2" s="102"/>
      <c r="DO2" s="102"/>
      <c r="DP2" s="102"/>
      <c r="DQ2" s="102"/>
    </row>
    <row r="3" spans="1:143" s="96" customFormat="1">
      <c r="A3" s="194"/>
      <c r="B3" s="195"/>
      <c r="C3" s="199">
        <f t="shared" si="0"/>
        <v>0</v>
      </c>
      <c r="D3" s="199">
        <f t="shared" si="1"/>
        <v>0</v>
      </c>
      <c r="E3" s="94" t="str">
        <f t="shared" ca="1" si="2"/>
        <v>19000100155941</v>
      </c>
      <c r="F3" s="94" t="str">
        <f>IFERROR(""&amp;(MID(BG3,1,MIN(FIND({"("},BG3,1)-1)))&amp;"货样","")</f>
        <v/>
      </c>
      <c r="G3" s="95" t="str">
        <f>IF(K3&lt;&gt;"",IFERROR(VLOOKUP(LEFT(K3,7),航次参数!$A$1:$J$20,1,FALSE),"车牌错误"),"")</f>
        <v/>
      </c>
      <c r="I3" s="97"/>
      <c r="J3" s="97"/>
      <c r="K3" s="98"/>
      <c r="L3" s="99"/>
      <c r="M3" s="98"/>
      <c r="N3" s="98"/>
      <c r="O3" s="100"/>
      <c r="P3" s="100"/>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c r="BD3" s="98"/>
      <c r="BE3" s="98"/>
      <c r="BF3" s="98"/>
      <c r="BG3" s="98"/>
      <c r="BH3" s="101"/>
      <c r="BI3" s="102"/>
      <c r="BJ3" s="102"/>
      <c r="BL3" s="101"/>
      <c r="CD3" s="101"/>
      <c r="CF3" s="101"/>
      <c r="CH3" s="101"/>
      <c r="CI3" s="103"/>
      <c r="CJ3" s="101"/>
      <c r="CO3" s="101"/>
      <c r="CP3" s="102"/>
      <c r="CQ3" s="102"/>
      <c r="CR3" s="102"/>
      <c r="CT3" s="101"/>
      <c r="CW3" s="102"/>
      <c r="DJ3" s="102"/>
      <c r="DK3" s="102"/>
      <c r="DL3" s="102"/>
      <c r="DM3" s="102"/>
      <c r="DN3" s="102"/>
      <c r="DO3" s="102"/>
      <c r="DP3" s="102"/>
      <c r="DQ3" s="102"/>
    </row>
    <row r="4" spans="1:143" s="96" customFormat="1">
      <c r="A4" s="194"/>
      <c r="B4" s="195"/>
      <c r="C4" s="199">
        <f t="shared" si="0"/>
        <v>0</v>
      </c>
      <c r="D4" s="199">
        <f t="shared" si="1"/>
        <v>0</v>
      </c>
      <c r="E4" s="94" t="str">
        <f t="shared" ca="1" si="2"/>
        <v>19000100155941</v>
      </c>
      <c r="F4" s="94" t="str">
        <f>IFERROR(""&amp;(MID(BG4,1,MIN(FIND({"("},BG4,1)-1)))&amp;"货样","")</f>
        <v/>
      </c>
      <c r="G4" s="95" t="str">
        <f>IF(K4&lt;&gt;"",IFERROR(VLOOKUP(LEFT(K4,7),航次参数!$A$1:$J$20,1,FALSE),"车牌错误"),"")</f>
        <v/>
      </c>
      <c r="I4" s="97"/>
      <c r="J4" s="97"/>
      <c r="K4" s="98"/>
      <c r="L4" s="99"/>
      <c r="M4" s="98"/>
      <c r="N4" s="98"/>
      <c r="O4" s="100"/>
      <c r="P4" s="100"/>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c r="BD4" s="98"/>
      <c r="BE4" s="98"/>
      <c r="BF4" s="98"/>
      <c r="BG4" s="98"/>
      <c r="BH4" s="101"/>
      <c r="BI4" s="102"/>
      <c r="BJ4" s="102"/>
      <c r="BL4" s="101"/>
      <c r="CD4" s="101"/>
      <c r="CF4" s="101"/>
      <c r="CH4" s="101"/>
      <c r="CI4" s="103"/>
      <c r="CJ4" s="101"/>
      <c r="CO4" s="101"/>
      <c r="CP4" s="102"/>
      <c r="CQ4" s="102"/>
      <c r="CR4" s="102"/>
      <c r="CT4" s="101"/>
      <c r="CW4" s="102"/>
      <c r="DJ4" s="102"/>
      <c r="DK4" s="102"/>
      <c r="DL4" s="102"/>
      <c r="DM4" s="102"/>
      <c r="DN4" s="102"/>
      <c r="DO4" s="102"/>
      <c r="DP4" s="102"/>
      <c r="DQ4" s="102"/>
    </row>
    <row r="5" spans="1:143" s="96" customFormat="1">
      <c r="A5" s="194"/>
      <c r="B5" s="195"/>
      <c r="C5" s="199">
        <f t="shared" si="0"/>
        <v>0</v>
      </c>
      <c r="D5" s="199">
        <f t="shared" si="1"/>
        <v>0</v>
      </c>
      <c r="E5" s="94" t="str">
        <f t="shared" ca="1" si="2"/>
        <v>19000100155941</v>
      </c>
      <c r="F5" s="94" t="str">
        <f>IFERROR(""&amp;(MID(BG5,1,MIN(FIND({"("},BG5,1)-1)))&amp;"货样","")</f>
        <v/>
      </c>
      <c r="G5" s="95" t="str">
        <f>IF(K5&lt;&gt;"",IFERROR(VLOOKUP(LEFT(K5,7),航次参数!$A$1:$J$20,1,FALSE),"车牌错误"),"")</f>
        <v/>
      </c>
      <c r="I5" s="97"/>
      <c r="J5" s="97"/>
      <c r="K5" s="98"/>
      <c r="L5" s="99"/>
      <c r="M5" s="98"/>
      <c r="N5" s="98"/>
      <c r="O5" s="100"/>
      <c r="P5" s="100"/>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c r="BD5" s="98"/>
      <c r="BE5" s="98"/>
      <c r="BF5" s="98"/>
      <c r="BG5" s="98"/>
      <c r="BH5" s="101"/>
      <c r="BI5" s="102"/>
      <c r="BJ5" s="102"/>
      <c r="BL5" s="101"/>
      <c r="CD5" s="101"/>
      <c r="CF5" s="101"/>
      <c r="CH5" s="101"/>
      <c r="CI5" s="103"/>
      <c r="CJ5" s="101"/>
      <c r="CO5" s="101"/>
      <c r="CP5" s="102"/>
      <c r="CQ5" s="102"/>
      <c r="CR5" s="102"/>
      <c r="CT5" s="101"/>
      <c r="CW5" s="102"/>
      <c r="DJ5" s="102"/>
      <c r="DK5" s="102"/>
      <c r="DL5" s="102"/>
      <c r="DM5" s="102"/>
      <c r="DN5" s="102"/>
      <c r="DO5" s="102"/>
      <c r="DP5" s="102"/>
      <c r="DQ5" s="102"/>
    </row>
    <row r="6" spans="1:143" s="96" customFormat="1">
      <c r="A6" s="194"/>
      <c r="B6" s="195"/>
      <c r="C6" s="199">
        <f t="shared" si="0"/>
        <v>0</v>
      </c>
      <c r="D6" s="199">
        <f t="shared" si="1"/>
        <v>0</v>
      </c>
      <c r="E6" s="94" t="str">
        <f t="shared" ca="1" si="2"/>
        <v>19000100155941</v>
      </c>
      <c r="F6" s="94" t="str">
        <f>IFERROR(""&amp;(MID(BG6,1,MIN(FIND({"("},BG6,1)-1)))&amp;"货样","")</f>
        <v/>
      </c>
      <c r="G6" s="95" t="str">
        <f>IF(K6&lt;&gt;"",IFERROR(VLOOKUP(LEFT(K6,7),航次参数!$A$1:$J$20,1,FALSE),"车牌错误"),"")</f>
        <v/>
      </c>
      <c r="I6" s="97"/>
      <c r="J6" s="97"/>
      <c r="K6" s="98"/>
      <c r="L6" s="99"/>
      <c r="M6" s="98"/>
      <c r="N6" s="98"/>
      <c r="O6" s="100"/>
      <c r="P6" s="100"/>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98"/>
      <c r="BC6" s="98"/>
      <c r="BD6" s="98"/>
      <c r="BE6" s="98"/>
      <c r="BF6" s="98"/>
      <c r="BG6" s="98"/>
      <c r="BH6" s="101"/>
      <c r="BI6" s="102"/>
      <c r="BJ6" s="102"/>
      <c r="BL6" s="101"/>
      <c r="CD6" s="101"/>
      <c r="CF6" s="101"/>
      <c r="CH6" s="101"/>
      <c r="CI6" s="103"/>
      <c r="CJ6" s="101"/>
      <c r="CO6" s="101"/>
      <c r="CP6" s="102"/>
      <c r="CQ6" s="102"/>
      <c r="CR6" s="102"/>
      <c r="CT6" s="101"/>
      <c r="CW6" s="102"/>
      <c r="DJ6" s="102"/>
      <c r="DK6" s="102"/>
      <c r="DL6" s="102"/>
      <c r="DM6" s="102"/>
      <c r="DN6" s="102"/>
      <c r="DO6" s="102"/>
      <c r="DP6" s="102"/>
      <c r="DQ6" s="102"/>
    </row>
    <row r="7" spans="1:143" s="96" customFormat="1">
      <c r="A7" s="194"/>
      <c r="B7" s="195"/>
      <c r="C7" s="199">
        <f t="shared" si="0"/>
        <v>0</v>
      </c>
      <c r="D7" s="199">
        <f t="shared" si="1"/>
        <v>0</v>
      </c>
      <c r="E7" s="94" t="str">
        <f t="shared" ca="1" si="2"/>
        <v>19000100155941</v>
      </c>
      <c r="F7" s="94" t="str">
        <f>IFERROR(""&amp;(MID(BG7,1,MIN(FIND({"("},BG7,1)-1)))&amp;"货样","")</f>
        <v/>
      </c>
      <c r="G7" s="95" t="str">
        <f>IF(K7&lt;&gt;"",IFERROR(VLOOKUP(LEFT(K7,7),航次参数!$A$1:$J$20,1,FALSE),"车牌错误"),"")</f>
        <v/>
      </c>
      <c r="I7" s="97"/>
      <c r="J7" s="97"/>
      <c r="K7" s="98"/>
      <c r="L7" s="99"/>
      <c r="M7" s="98"/>
      <c r="N7" s="98"/>
      <c r="O7" s="100"/>
      <c r="P7" s="100"/>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c r="BD7" s="98"/>
      <c r="BE7" s="98"/>
      <c r="BF7" s="98"/>
      <c r="BG7" s="98"/>
      <c r="BH7" s="101"/>
      <c r="BI7" s="102"/>
      <c r="BJ7" s="102"/>
      <c r="BL7" s="101"/>
      <c r="CD7" s="101"/>
      <c r="CF7" s="101"/>
      <c r="CH7" s="101"/>
      <c r="CI7" s="103"/>
      <c r="CJ7" s="101"/>
      <c r="CO7" s="101"/>
      <c r="CP7" s="102"/>
      <c r="CQ7" s="102"/>
      <c r="CR7" s="102"/>
      <c r="CT7" s="101"/>
      <c r="CW7" s="102"/>
      <c r="DJ7" s="102"/>
      <c r="DK7" s="102"/>
      <c r="DL7" s="102"/>
      <c r="DM7" s="102"/>
      <c r="DN7" s="102"/>
      <c r="DO7" s="102"/>
      <c r="DP7" s="102"/>
      <c r="DQ7" s="102"/>
    </row>
    <row r="8" spans="1:143" s="96" customFormat="1">
      <c r="A8" s="194"/>
      <c r="B8" s="195"/>
      <c r="C8" s="199">
        <f t="shared" si="0"/>
        <v>0</v>
      </c>
      <c r="D8" s="199">
        <f t="shared" si="1"/>
        <v>0</v>
      </c>
      <c r="E8" s="94" t="str">
        <f t="shared" ca="1" si="2"/>
        <v>19000100155941</v>
      </c>
      <c r="F8" s="94" t="str">
        <f>IFERROR(""&amp;(MID(BG8,1,MIN(FIND({"("},BG8,1)-1)))&amp;"货样","")</f>
        <v/>
      </c>
      <c r="G8" s="95" t="str">
        <f>IF(K8&lt;&gt;"",IFERROR(VLOOKUP(LEFT(K8,7),航次参数!$A$1:$J$20,1,FALSE),"车牌错误"),"")</f>
        <v/>
      </c>
      <c r="I8" s="97"/>
      <c r="J8" s="97"/>
      <c r="K8" s="98"/>
      <c r="L8" s="99"/>
      <c r="M8" s="98"/>
      <c r="N8" s="98"/>
      <c r="O8" s="100"/>
      <c r="P8" s="100"/>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c r="BD8" s="98"/>
      <c r="BE8" s="98"/>
      <c r="BF8" s="98"/>
      <c r="BG8" s="98"/>
      <c r="BH8" s="101"/>
      <c r="BI8" s="102"/>
      <c r="BJ8" s="102"/>
      <c r="BL8" s="101"/>
      <c r="CD8" s="101"/>
      <c r="CF8" s="101"/>
      <c r="CH8" s="101"/>
      <c r="CI8" s="103"/>
      <c r="CJ8" s="101"/>
      <c r="CO8" s="101"/>
      <c r="CP8" s="102"/>
      <c r="CQ8" s="102"/>
      <c r="CR8" s="102"/>
      <c r="CT8" s="101"/>
      <c r="CW8" s="102"/>
      <c r="DJ8" s="102"/>
      <c r="DK8" s="102"/>
      <c r="DL8" s="102"/>
      <c r="DM8" s="102"/>
      <c r="DN8" s="102"/>
      <c r="DO8" s="102"/>
      <c r="DP8" s="102"/>
      <c r="DQ8" s="102"/>
    </row>
    <row r="9" spans="1:143" s="173" customFormat="1">
      <c r="A9" s="194"/>
      <c r="B9" s="195"/>
      <c r="C9" s="199">
        <f t="shared" si="0"/>
        <v>0</v>
      </c>
      <c r="D9" s="199">
        <f t="shared" si="1"/>
        <v>0</v>
      </c>
      <c r="E9" s="94" t="str">
        <f t="shared" ca="1" si="2"/>
        <v>19000100155941</v>
      </c>
      <c r="F9" s="94" t="str">
        <f>IFERROR(""&amp;(MID(BG9,1,MIN(FIND({"("},BG9,1)-1)))&amp;"货样","")</f>
        <v/>
      </c>
      <c r="G9" s="95" t="str">
        <f>IF(K9&lt;&gt;"",IFERROR(VLOOKUP(LEFT(K9,7),航次参数!$A$1:$J$20,1,FALSE),"车牌错误"),"")</f>
        <v/>
      </c>
      <c r="H9" s="96"/>
      <c r="I9" s="97"/>
      <c r="J9" s="97"/>
      <c r="K9" s="98"/>
      <c r="L9" s="99"/>
      <c r="M9" s="98"/>
      <c r="N9" s="98"/>
      <c r="O9" s="100"/>
      <c r="P9" s="100"/>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c r="BD9" s="98"/>
      <c r="BE9" s="98"/>
      <c r="BF9" s="98"/>
      <c r="BG9" s="98"/>
      <c r="BH9" s="101"/>
      <c r="BI9" s="102"/>
      <c r="BJ9" s="102"/>
      <c r="BK9" s="96"/>
      <c r="BL9" s="101"/>
      <c r="BM9" s="96"/>
      <c r="BN9" s="96"/>
      <c r="BO9" s="96"/>
      <c r="BP9" s="96"/>
      <c r="BQ9" s="96"/>
      <c r="BR9" s="96"/>
      <c r="BS9" s="96"/>
      <c r="BT9" s="96"/>
      <c r="BU9" s="96"/>
      <c r="BV9" s="96"/>
      <c r="BW9" s="96"/>
      <c r="BX9" s="96"/>
      <c r="BY9" s="96"/>
      <c r="BZ9" s="96"/>
      <c r="CA9" s="96"/>
      <c r="CB9" s="96"/>
      <c r="CC9" s="96"/>
      <c r="CD9" s="101"/>
      <c r="CE9" s="96"/>
      <c r="CF9" s="101"/>
      <c r="CG9" s="96"/>
      <c r="CH9" s="101"/>
      <c r="CI9" s="103"/>
      <c r="CJ9" s="101"/>
      <c r="CK9" s="96"/>
      <c r="CL9" s="96"/>
      <c r="CM9" s="96"/>
      <c r="CN9" s="96"/>
      <c r="CO9" s="101"/>
      <c r="CP9" s="102"/>
      <c r="CQ9" s="102"/>
      <c r="CR9" s="102"/>
      <c r="CS9" s="96"/>
      <c r="CT9" s="101"/>
      <c r="CU9" s="96"/>
      <c r="CV9" s="96"/>
      <c r="CW9" s="102"/>
      <c r="CX9" s="96"/>
      <c r="CY9" s="96"/>
      <c r="CZ9" s="96"/>
      <c r="DA9" s="96"/>
      <c r="DB9" s="96"/>
      <c r="DC9" s="96"/>
      <c r="DD9" s="96"/>
      <c r="DE9" s="96"/>
      <c r="DF9" s="96"/>
      <c r="DG9" s="96"/>
      <c r="DH9" s="96"/>
      <c r="DI9" s="96"/>
      <c r="DJ9" s="102"/>
      <c r="DK9" s="102"/>
      <c r="DL9" s="102"/>
      <c r="DM9" s="102"/>
      <c r="DN9" s="102"/>
      <c r="DO9" s="102"/>
      <c r="DP9" s="102"/>
      <c r="DQ9" s="102"/>
      <c r="DR9" s="96"/>
      <c r="DS9" s="96"/>
      <c r="DT9" s="96"/>
      <c r="DU9" s="96"/>
      <c r="DV9" s="96"/>
      <c r="DW9" s="96"/>
      <c r="DX9" s="96"/>
      <c r="DY9" s="96"/>
      <c r="DZ9" s="96"/>
      <c r="EA9" s="96"/>
      <c r="EB9" s="96"/>
      <c r="EC9" s="96"/>
      <c r="ED9" s="96"/>
      <c r="EE9" s="96"/>
      <c r="EF9" s="96"/>
      <c r="EG9" s="96"/>
      <c r="EH9" s="96"/>
      <c r="EI9" s="96"/>
      <c r="EJ9" s="96"/>
      <c r="EM9" s="96"/>
    </row>
    <row r="10" spans="1:143" s="96" customFormat="1">
      <c r="A10" s="194"/>
      <c r="B10" s="195"/>
      <c r="C10" s="199">
        <f t="shared" si="0"/>
        <v>0</v>
      </c>
      <c r="D10" s="199">
        <f t="shared" si="1"/>
        <v>0</v>
      </c>
      <c r="E10" s="94" t="str">
        <f t="shared" ca="1" si="2"/>
        <v>19000100155941</v>
      </c>
      <c r="F10" s="94" t="str">
        <f>IFERROR(""&amp;(MID(BG10,1,MIN(FIND({"("},BG10,1)-1)))&amp;"货样","")</f>
        <v/>
      </c>
      <c r="G10" s="95" t="str">
        <f>IF(K10&lt;&gt;"",IFERROR(VLOOKUP(LEFT(K10,7),航次参数!$A$1:$J$20,1,FALSE),"车牌错误"),"")</f>
        <v/>
      </c>
      <c r="I10" s="97"/>
      <c r="J10" s="97"/>
      <c r="K10" s="98"/>
      <c r="L10" s="99"/>
      <c r="M10" s="98"/>
      <c r="N10" s="98"/>
      <c r="O10" s="100"/>
      <c r="P10" s="100"/>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c r="BD10" s="98"/>
      <c r="BE10" s="98"/>
      <c r="BF10" s="98"/>
      <c r="BG10" s="98"/>
      <c r="BH10" s="101"/>
      <c r="BI10" s="102"/>
      <c r="BJ10" s="102"/>
      <c r="BL10" s="101"/>
      <c r="CD10" s="101"/>
      <c r="CF10" s="101"/>
      <c r="CH10" s="101"/>
      <c r="CI10" s="103"/>
      <c r="CJ10" s="101"/>
      <c r="CO10" s="101"/>
      <c r="CP10" s="102"/>
      <c r="CQ10" s="102"/>
      <c r="CR10" s="102"/>
      <c r="CT10" s="101"/>
      <c r="CW10" s="102"/>
      <c r="DJ10" s="102"/>
      <c r="DK10" s="102"/>
      <c r="DL10" s="102"/>
      <c r="DM10" s="102"/>
      <c r="DN10" s="102"/>
      <c r="DO10" s="102"/>
      <c r="DP10" s="102"/>
      <c r="DQ10" s="102"/>
    </row>
    <row r="11" spans="1:143" s="104" customFormat="1">
      <c r="A11" s="194"/>
      <c r="B11" s="195"/>
      <c r="C11" s="199">
        <f t="shared" si="0"/>
        <v>0</v>
      </c>
      <c r="D11" s="199">
        <f t="shared" si="1"/>
        <v>0</v>
      </c>
      <c r="E11" s="94" t="str">
        <f t="shared" ca="1" si="2"/>
        <v>19000100155941</v>
      </c>
      <c r="F11" s="94" t="str">
        <f>IFERROR(""&amp;(MID(BG11,1,MIN(FIND({"("},BG11,1)-1)))&amp;"货样","")</f>
        <v/>
      </c>
      <c r="G11" s="95" t="str">
        <f>IF(K11&lt;&gt;"",IFERROR(VLOOKUP(LEFT(K11,7),航次参数!$A$1:$J$20,1,FALSE),"车牌错误"),"")</f>
        <v/>
      </c>
      <c r="H11" s="96"/>
      <c r="I11" s="97"/>
      <c r="J11" s="97"/>
      <c r="K11" s="98"/>
      <c r="L11" s="99"/>
      <c r="M11" s="98"/>
      <c r="N11" s="98"/>
      <c r="O11" s="100"/>
      <c r="P11" s="100"/>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c r="BD11" s="98"/>
      <c r="BE11" s="98"/>
      <c r="BF11" s="98"/>
      <c r="BG11" s="98"/>
      <c r="BH11" s="101"/>
      <c r="BI11" s="102"/>
      <c r="BJ11" s="102"/>
      <c r="BK11" s="96"/>
      <c r="BL11" s="101"/>
      <c r="BM11" s="96"/>
      <c r="BN11" s="96"/>
      <c r="BO11" s="96"/>
      <c r="BP11" s="96"/>
      <c r="BQ11" s="96"/>
      <c r="BR11" s="96"/>
      <c r="BS11" s="96"/>
      <c r="BT11" s="96"/>
      <c r="BU11" s="96"/>
      <c r="BV11" s="96"/>
      <c r="BW11" s="96"/>
      <c r="BX11" s="96"/>
      <c r="BY11" s="96"/>
      <c r="BZ11" s="96"/>
      <c r="CA11" s="96"/>
      <c r="CB11" s="96"/>
      <c r="CC11" s="96"/>
      <c r="CD11" s="101"/>
      <c r="CE11" s="96"/>
      <c r="CF11" s="101"/>
      <c r="CG11" s="96"/>
      <c r="CH11" s="101"/>
      <c r="CI11" s="103"/>
      <c r="CJ11" s="101"/>
      <c r="CK11" s="96"/>
      <c r="CL11" s="96"/>
      <c r="CM11" s="96"/>
      <c r="CN11" s="96"/>
      <c r="CO11" s="101"/>
      <c r="CP11" s="102"/>
      <c r="CQ11" s="102"/>
      <c r="CR11" s="102"/>
      <c r="CS11" s="96"/>
      <c r="CT11" s="101"/>
      <c r="CU11" s="96"/>
      <c r="CV11" s="96"/>
      <c r="CW11" s="102"/>
      <c r="CX11" s="96"/>
      <c r="CY11" s="96"/>
      <c r="CZ11" s="96"/>
      <c r="DA11" s="96"/>
      <c r="DB11" s="96"/>
      <c r="DC11" s="96"/>
      <c r="DD11" s="96"/>
      <c r="DE11" s="96"/>
      <c r="DF11" s="96"/>
      <c r="DG11" s="96"/>
      <c r="DH11" s="96"/>
      <c r="DI11" s="96"/>
      <c r="DJ11" s="102"/>
      <c r="DK11" s="102"/>
      <c r="DL11" s="102"/>
      <c r="DM11" s="102"/>
      <c r="DN11" s="102"/>
      <c r="DO11" s="102"/>
      <c r="DP11" s="102"/>
      <c r="DQ11" s="102"/>
      <c r="DR11" s="96"/>
      <c r="DS11" s="96"/>
      <c r="DT11" s="96"/>
      <c r="DU11" s="96"/>
      <c r="DV11" s="96"/>
      <c r="DW11" s="96"/>
      <c r="DX11" s="96"/>
      <c r="DY11" s="96"/>
      <c r="DZ11" s="96"/>
      <c r="EA11" s="96"/>
      <c r="EB11" s="96"/>
      <c r="EC11" s="96"/>
      <c r="ED11" s="96"/>
      <c r="EE11" s="96"/>
      <c r="EF11" s="96"/>
      <c r="EG11" s="96"/>
      <c r="EH11" s="96"/>
      <c r="EI11" s="96"/>
      <c r="EJ11" s="96"/>
      <c r="EM11" s="96"/>
    </row>
    <row r="12" spans="1:143" s="96" customFormat="1">
      <c r="A12" s="194"/>
      <c r="B12" s="195"/>
      <c r="C12" s="199">
        <f t="shared" si="0"/>
        <v>0</v>
      </c>
      <c r="D12" s="199">
        <f t="shared" si="1"/>
        <v>0</v>
      </c>
      <c r="E12" s="94" t="str">
        <f t="shared" ca="1" si="2"/>
        <v>19000100155941</v>
      </c>
      <c r="F12" s="94" t="str">
        <f>IFERROR(""&amp;(MID(BG12,1,MIN(FIND({"("},BG12,1)-1)))&amp;"货样","")</f>
        <v/>
      </c>
      <c r="G12" s="95" t="str">
        <f>IF(K12&lt;&gt;"",IFERROR(VLOOKUP(LEFT(K12,7),航次参数!$A$1:$J$20,1,FALSE),"车牌错误"),"")</f>
        <v/>
      </c>
      <c r="I12" s="97"/>
      <c r="J12" s="97"/>
      <c r="K12" s="98"/>
      <c r="L12" s="99"/>
      <c r="M12" s="98"/>
      <c r="N12" s="98"/>
      <c r="O12" s="100"/>
      <c r="P12" s="100"/>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c r="BD12" s="98"/>
      <c r="BE12" s="98"/>
      <c r="BF12" s="98"/>
      <c r="BG12" s="98"/>
      <c r="BH12" s="101"/>
      <c r="BI12" s="102"/>
      <c r="BJ12" s="102"/>
      <c r="BL12" s="101"/>
      <c r="CD12" s="101"/>
      <c r="CF12" s="101"/>
      <c r="CH12" s="101"/>
      <c r="CI12" s="103"/>
      <c r="CJ12" s="101"/>
      <c r="CO12" s="101"/>
      <c r="CP12" s="102"/>
      <c r="CQ12" s="102"/>
      <c r="CR12" s="102"/>
      <c r="CT12" s="101"/>
      <c r="CW12" s="102"/>
      <c r="DJ12" s="102"/>
      <c r="DK12" s="102"/>
      <c r="DL12" s="102"/>
      <c r="DM12" s="102"/>
      <c r="DN12" s="102"/>
      <c r="DO12" s="102"/>
      <c r="DP12" s="102"/>
      <c r="DQ12" s="102"/>
    </row>
    <row r="13" spans="1:143" s="104" customFormat="1">
      <c r="A13" s="194"/>
      <c r="B13" s="195"/>
      <c r="C13" s="199">
        <f t="shared" si="0"/>
        <v>0</v>
      </c>
      <c r="D13" s="199">
        <f t="shared" si="1"/>
        <v>0</v>
      </c>
      <c r="E13" s="94" t="str">
        <f t="shared" ca="1" si="2"/>
        <v>19000100155941</v>
      </c>
      <c r="F13" s="94" t="str">
        <f>IFERROR(""&amp;(MID(BG13,1,MIN(FIND({"("},BG13,1)-1)))&amp;"货样","")</f>
        <v/>
      </c>
      <c r="G13" s="95" t="str">
        <f>IF(K13&lt;&gt;"",IFERROR(VLOOKUP(LEFT(K13,7),航次参数!$A$1:$J$20,1,FALSE),"车牌错误"),"")</f>
        <v/>
      </c>
      <c r="H13" s="96"/>
      <c r="I13" s="97"/>
      <c r="J13" s="97"/>
      <c r="K13" s="98"/>
      <c r="L13" s="99"/>
      <c r="M13" s="98"/>
      <c r="N13" s="98"/>
      <c r="O13" s="100"/>
      <c r="P13" s="100"/>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c r="BD13" s="98"/>
      <c r="BE13" s="98"/>
      <c r="BF13" s="98"/>
      <c r="BG13" s="98"/>
      <c r="BH13" s="101"/>
      <c r="BI13" s="102"/>
      <c r="BJ13" s="102"/>
      <c r="BK13" s="96"/>
      <c r="BL13" s="101"/>
      <c r="BM13" s="96"/>
      <c r="BN13" s="96"/>
      <c r="BO13" s="96"/>
      <c r="BP13" s="96"/>
      <c r="BQ13" s="96"/>
      <c r="BR13" s="96"/>
      <c r="BS13" s="96"/>
      <c r="BT13" s="96"/>
      <c r="BU13" s="96"/>
      <c r="BV13" s="96"/>
      <c r="BW13" s="96"/>
      <c r="BX13" s="96"/>
      <c r="BY13" s="96"/>
      <c r="BZ13" s="96"/>
      <c r="CA13" s="96"/>
      <c r="CB13" s="96"/>
      <c r="CC13" s="96"/>
      <c r="CD13" s="101"/>
      <c r="CE13" s="96"/>
      <c r="CF13" s="101"/>
      <c r="CG13" s="96"/>
      <c r="CH13" s="101"/>
      <c r="CI13" s="103"/>
      <c r="CJ13" s="101"/>
      <c r="CK13" s="96"/>
      <c r="CL13" s="96"/>
      <c r="CM13" s="96"/>
      <c r="CN13" s="96"/>
      <c r="CO13" s="101"/>
      <c r="CP13" s="102"/>
      <c r="CQ13" s="102"/>
      <c r="CR13" s="102"/>
      <c r="CS13" s="96"/>
      <c r="CT13" s="101"/>
      <c r="CU13" s="96"/>
      <c r="CV13" s="96"/>
      <c r="CW13" s="102"/>
      <c r="CX13" s="96"/>
      <c r="CY13" s="96"/>
      <c r="CZ13" s="96"/>
      <c r="DA13" s="96"/>
      <c r="DB13" s="96"/>
      <c r="DC13" s="96"/>
      <c r="DD13" s="96"/>
      <c r="DE13" s="96"/>
      <c r="DF13" s="96"/>
      <c r="DG13" s="96"/>
      <c r="DH13" s="96"/>
      <c r="DI13" s="96"/>
      <c r="DJ13" s="102"/>
      <c r="DK13" s="102"/>
      <c r="DL13" s="102"/>
      <c r="DM13" s="102"/>
      <c r="DN13" s="102"/>
      <c r="DO13" s="102"/>
      <c r="DP13" s="102"/>
      <c r="DQ13" s="102"/>
      <c r="DR13" s="96"/>
      <c r="DS13" s="96"/>
      <c r="DT13" s="96"/>
      <c r="DU13" s="96"/>
      <c r="DV13" s="96"/>
      <c r="DW13" s="96"/>
      <c r="DX13" s="96"/>
      <c r="DY13" s="96"/>
      <c r="DZ13" s="96"/>
      <c r="EA13" s="96"/>
      <c r="EB13" s="96"/>
      <c r="EC13" s="96"/>
      <c r="ED13" s="96"/>
      <c r="EE13" s="96"/>
      <c r="EF13" s="96"/>
      <c r="EG13" s="96"/>
      <c r="EH13" s="96"/>
      <c r="EI13" s="96"/>
      <c r="EJ13" s="96"/>
      <c r="EM13" s="96"/>
    </row>
    <row r="14" spans="1:143" s="96" customFormat="1">
      <c r="A14" s="194"/>
      <c r="B14" s="195"/>
      <c r="C14" s="199">
        <f t="shared" si="0"/>
        <v>0</v>
      </c>
      <c r="D14" s="199">
        <f t="shared" si="1"/>
        <v>0</v>
      </c>
      <c r="E14" s="94" t="str">
        <f t="shared" ca="1" si="2"/>
        <v>19000100155941</v>
      </c>
      <c r="F14" s="94" t="str">
        <f>IFERROR(""&amp;(MID(BG14,1,MIN(FIND({"("},BG14,1)-1)))&amp;"货样","")</f>
        <v/>
      </c>
      <c r="G14" s="95" t="str">
        <f>IF(K14&lt;&gt;"",IFERROR(VLOOKUP(LEFT(K14,7),航次参数!$A$1:$J$20,1,FALSE),"车牌错误"),"")</f>
        <v/>
      </c>
      <c r="I14" s="97"/>
      <c r="J14" s="97"/>
      <c r="K14" s="98"/>
      <c r="L14" s="99"/>
      <c r="M14" s="98"/>
      <c r="N14" s="98"/>
      <c r="O14" s="100"/>
      <c r="P14" s="100"/>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c r="BD14" s="98"/>
      <c r="BE14" s="98"/>
      <c r="BF14" s="98"/>
      <c r="BG14" s="98"/>
      <c r="BH14" s="101"/>
      <c r="BI14" s="102"/>
      <c r="BJ14" s="102"/>
      <c r="BL14" s="101"/>
      <c r="CD14" s="101"/>
      <c r="CF14" s="101"/>
      <c r="CH14" s="101"/>
      <c r="CI14" s="103"/>
      <c r="CJ14" s="101"/>
      <c r="CO14" s="101"/>
      <c r="CP14" s="102"/>
      <c r="CQ14" s="102"/>
      <c r="CR14" s="102"/>
      <c r="CT14" s="101"/>
      <c r="CW14" s="102"/>
      <c r="DJ14" s="102"/>
      <c r="DK14" s="102"/>
      <c r="DL14" s="102"/>
      <c r="DM14" s="102"/>
      <c r="DN14" s="102"/>
      <c r="DO14" s="102"/>
      <c r="DP14" s="102"/>
      <c r="DQ14" s="102"/>
    </row>
    <row r="15" spans="1:143" s="104" customFormat="1">
      <c r="A15" s="194"/>
      <c r="B15" s="195"/>
      <c r="C15" s="199">
        <f t="shared" si="0"/>
        <v>0</v>
      </c>
      <c r="D15" s="199">
        <f t="shared" si="1"/>
        <v>0</v>
      </c>
      <c r="E15" s="94" t="str">
        <f t="shared" ca="1" si="2"/>
        <v>19000100155941</v>
      </c>
      <c r="F15" s="94" t="str">
        <f>IFERROR(""&amp;(MID(BG15,1,MIN(FIND({"("},BG15,1)-1)))&amp;"货样","")</f>
        <v/>
      </c>
      <c r="G15" s="95" t="str">
        <f>IF(K15&lt;&gt;"",IFERROR(VLOOKUP(LEFT(K15,7),航次参数!$A$1:$J$20,1,FALSE),"车牌错误"),"")</f>
        <v/>
      </c>
      <c r="H15" s="96"/>
      <c r="I15" s="97"/>
      <c r="J15" s="97"/>
      <c r="K15" s="98"/>
      <c r="L15" s="99"/>
      <c r="M15" s="98"/>
      <c r="N15" s="98"/>
      <c r="O15" s="100"/>
      <c r="P15" s="100"/>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c r="BD15" s="98"/>
      <c r="BE15" s="98"/>
      <c r="BF15" s="98"/>
      <c r="BG15" s="98"/>
      <c r="BH15" s="101"/>
      <c r="BI15" s="102"/>
      <c r="BJ15" s="102"/>
      <c r="BK15" s="96"/>
      <c r="BL15" s="101"/>
      <c r="BM15" s="96"/>
      <c r="BN15" s="96"/>
      <c r="BO15" s="96"/>
      <c r="BP15" s="96"/>
      <c r="BQ15" s="96"/>
      <c r="BR15" s="96"/>
      <c r="BS15" s="96"/>
      <c r="BT15" s="96"/>
      <c r="BU15" s="96"/>
      <c r="BV15" s="96"/>
      <c r="BW15" s="96"/>
      <c r="BX15" s="96"/>
      <c r="BY15" s="96"/>
      <c r="BZ15" s="96"/>
      <c r="CA15" s="96"/>
      <c r="CB15" s="96"/>
      <c r="CC15" s="96"/>
      <c r="CD15" s="101"/>
      <c r="CE15" s="96"/>
      <c r="CF15" s="101"/>
      <c r="CG15" s="96"/>
      <c r="CH15" s="101"/>
      <c r="CI15" s="103"/>
      <c r="CJ15" s="101"/>
      <c r="CK15" s="96"/>
      <c r="CL15" s="96"/>
      <c r="CM15" s="96"/>
      <c r="CN15" s="96"/>
      <c r="CO15" s="101"/>
      <c r="CP15" s="102"/>
      <c r="CQ15" s="102"/>
      <c r="CR15" s="102"/>
      <c r="CS15" s="96"/>
      <c r="CT15" s="101"/>
      <c r="CU15" s="96"/>
      <c r="CV15" s="96"/>
      <c r="CW15" s="102"/>
      <c r="CX15" s="96"/>
      <c r="CY15" s="96"/>
      <c r="CZ15" s="96"/>
      <c r="DA15" s="96"/>
      <c r="DB15" s="96"/>
      <c r="DC15" s="96"/>
      <c r="DD15" s="96"/>
      <c r="DE15" s="96"/>
      <c r="DF15" s="96"/>
      <c r="DG15" s="96"/>
      <c r="DH15" s="96"/>
      <c r="DI15" s="96"/>
      <c r="DJ15" s="102"/>
      <c r="DK15" s="102"/>
      <c r="DL15" s="102"/>
      <c r="DM15" s="102"/>
      <c r="DN15" s="102"/>
      <c r="DO15" s="102"/>
      <c r="DP15" s="102"/>
      <c r="DQ15" s="102"/>
      <c r="DR15" s="96"/>
      <c r="DS15" s="96"/>
      <c r="DT15" s="96"/>
      <c r="DU15" s="96"/>
      <c r="DV15" s="96"/>
      <c r="DW15" s="96"/>
      <c r="DX15" s="96"/>
      <c r="DY15" s="96"/>
      <c r="DZ15" s="96"/>
      <c r="EA15" s="96"/>
      <c r="EB15" s="96"/>
      <c r="EC15" s="96"/>
      <c r="ED15" s="96"/>
      <c r="EE15" s="96"/>
      <c r="EF15" s="96"/>
      <c r="EG15" s="96"/>
      <c r="EH15" s="96"/>
      <c r="EI15" s="96"/>
      <c r="EJ15" s="96"/>
      <c r="EM15" s="96"/>
    </row>
    <row r="16" spans="1:143" s="96" customFormat="1">
      <c r="A16" s="194"/>
      <c r="B16" s="195"/>
      <c r="C16" s="199">
        <f t="shared" si="0"/>
        <v>0</v>
      </c>
      <c r="D16" s="199">
        <f t="shared" si="1"/>
        <v>0</v>
      </c>
      <c r="E16" s="94" t="str">
        <f t="shared" ca="1" si="2"/>
        <v>19000100155941</v>
      </c>
      <c r="F16" s="94" t="str">
        <f>IFERROR(""&amp;(MID(BG16,1,MIN(FIND({"("},BG16,1)-1)))&amp;"货样","")</f>
        <v/>
      </c>
      <c r="G16" s="95" t="str">
        <f>IF(K16&lt;&gt;"",IFERROR(VLOOKUP(LEFT(K16,7),航次参数!$A$1:$J$20,1,FALSE),"车牌错误"),"")</f>
        <v/>
      </c>
      <c r="I16" s="97"/>
      <c r="J16" s="97"/>
      <c r="K16" s="98"/>
      <c r="L16" s="99"/>
      <c r="M16" s="98"/>
      <c r="N16" s="98"/>
      <c r="O16" s="100"/>
      <c r="P16" s="100"/>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98"/>
      <c r="BC16" s="98"/>
      <c r="BD16" s="98"/>
      <c r="BE16" s="98"/>
      <c r="BF16" s="98"/>
      <c r="BG16" s="98"/>
      <c r="BH16" s="101"/>
      <c r="BI16" s="102"/>
      <c r="BJ16" s="102"/>
      <c r="BL16" s="101"/>
      <c r="CD16" s="101"/>
      <c r="CF16" s="101"/>
      <c r="CH16" s="101"/>
      <c r="CI16" s="103"/>
      <c r="CJ16" s="101"/>
      <c r="CO16" s="101"/>
      <c r="CP16" s="102"/>
      <c r="CQ16" s="102"/>
      <c r="CR16" s="102"/>
      <c r="CT16" s="101"/>
      <c r="CW16" s="102"/>
      <c r="DJ16" s="102"/>
      <c r="DK16" s="102"/>
      <c r="DL16" s="102"/>
      <c r="DM16" s="102"/>
      <c r="DN16" s="102"/>
      <c r="DO16" s="102"/>
      <c r="DP16" s="102"/>
      <c r="DQ16" s="102"/>
    </row>
    <row r="17" spans="1:143" s="104" customFormat="1">
      <c r="A17" s="194"/>
      <c r="B17" s="195"/>
      <c r="C17" s="199">
        <f t="shared" si="0"/>
        <v>0</v>
      </c>
      <c r="D17" s="199">
        <f t="shared" si="1"/>
        <v>0</v>
      </c>
      <c r="E17" s="94" t="str">
        <f t="shared" ca="1" si="2"/>
        <v>19000100155941</v>
      </c>
      <c r="F17" s="94" t="str">
        <f>IFERROR(""&amp;(MID(BG17,1,MIN(FIND({"("},BG17,1)-1)))&amp;"货样","")</f>
        <v/>
      </c>
      <c r="G17" s="95" t="str">
        <f>IF(K17&lt;&gt;"",IFERROR(VLOOKUP(LEFT(K17,7),航次参数!$A$1:$J$20,1,FALSE),"车牌错误"),"")</f>
        <v/>
      </c>
      <c r="H17" s="96"/>
      <c r="I17" s="97"/>
      <c r="J17" s="97"/>
      <c r="K17" s="98"/>
      <c r="L17" s="99"/>
      <c r="M17" s="98"/>
      <c r="N17" s="98"/>
      <c r="O17" s="100"/>
      <c r="P17" s="100"/>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c r="BD17" s="98"/>
      <c r="BE17" s="98"/>
      <c r="BF17" s="98"/>
      <c r="BG17" s="98"/>
      <c r="BH17" s="101"/>
      <c r="BI17" s="102"/>
      <c r="BJ17" s="102"/>
      <c r="BK17" s="96"/>
      <c r="BL17" s="101"/>
      <c r="BM17" s="96"/>
      <c r="BN17" s="96"/>
      <c r="BO17" s="96"/>
      <c r="BP17" s="96"/>
      <c r="BQ17" s="96"/>
      <c r="BR17" s="96"/>
      <c r="BS17" s="96"/>
      <c r="BT17" s="96"/>
      <c r="BU17" s="96"/>
      <c r="BV17" s="96"/>
      <c r="BW17" s="96"/>
      <c r="BX17" s="96"/>
      <c r="BY17" s="96"/>
      <c r="BZ17" s="96"/>
      <c r="CA17" s="96"/>
      <c r="CB17" s="96"/>
      <c r="CC17" s="96"/>
      <c r="CD17" s="101"/>
      <c r="CE17" s="96"/>
      <c r="CF17" s="101"/>
      <c r="CG17" s="96"/>
      <c r="CH17" s="101"/>
      <c r="CI17" s="103"/>
      <c r="CJ17" s="101"/>
      <c r="CK17" s="96"/>
      <c r="CL17" s="96"/>
      <c r="CM17" s="96"/>
      <c r="CN17" s="96"/>
      <c r="CO17" s="101"/>
      <c r="CP17" s="102"/>
      <c r="CQ17" s="102"/>
      <c r="CR17" s="102"/>
      <c r="CS17" s="96"/>
      <c r="CT17" s="101"/>
      <c r="CU17" s="96"/>
      <c r="CV17" s="96"/>
      <c r="CW17" s="102"/>
      <c r="CX17" s="96"/>
      <c r="CY17" s="96"/>
      <c r="CZ17" s="96"/>
      <c r="DA17" s="96"/>
      <c r="DB17" s="96"/>
      <c r="DC17" s="96"/>
      <c r="DD17" s="96"/>
      <c r="DE17" s="96"/>
      <c r="DF17" s="96"/>
      <c r="DG17" s="96"/>
      <c r="DH17" s="96"/>
      <c r="DI17" s="96"/>
      <c r="DJ17" s="102"/>
      <c r="DK17" s="102"/>
      <c r="DL17" s="102"/>
      <c r="DM17" s="102"/>
      <c r="DN17" s="102"/>
      <c r="DO17" s="102"/>
      <c r="DP17" s="102"/>
      <c r="DQ17" s="102"/>
      <c r="DR17" s="96"/>
      <c r="DS17" s="96"/>
      <c r="DT17" s="96"/>
      <c r="DU17" s="96"/>
      <c r="DV17" s="96"/>
      <c r="DW17" s="96"/>
      <c r="DX17" s="96"/>
      <c r="DY17" s="96"/>
      <c r="DZ17" s="96"/>
      <c r="EA17" s="96"/>
      <c r="EB17" s="96"/>
      <c r="EC17" s="96"/>
      <c r="ED17" s="96"/>
      <c r="EE17" s="96"/>
      <c r="EF17" s="96"/>
      <c r="EG17" s="96"/>
      <c r="EH17" s="96"/>
      <c r="EI17" s="96"/>
      <c r="EJ17" s="96"/>
      <c r="EM17" s="96"/>
    </row>
    <row r="18" spans="1:143" s="96" customFormat="1">
      <c r="A18" s="194"/>
      <c r="B18" s="195"/>
      <c r="C18" s="199">
        <f t="shared" si="0"/>
        <v>0</v>
      </c>
      <c r="D18" s="199">
        <f t="shared" si="1"/>
        <v>0</v>
      </c>
      <c r="E18" s="94" t="str">
        <f t="shared" ca="1" si="2"/>
        <v>19000100155941</v>
      </c>
      <c r="F18" s="94" t="str">
        <f>IFERROR(""&amp;(MID(BG18,1,MIN(FIND({"("},BG18,1)-1)))&amp;"货样","")</f>
        <v/>
      </c>
      <c r="G18" s="95" t="str">
        <f>IF(K18&lt;&gt;"",IFERROR(VLOOKUP(LEFT(K18,7),航次参数!$A$1:$J$20,1,FALSE),"车牌错误"),"")</f>
        <v/>
      </c>
      <c r="I18" s="97"/>
      <c r="J18" s="97"/>
      <c r="K18" s="98"/>
      <c r="L18" s="99"/>
      <c r="M18" s="98"/>
      <c r="N18" s="98"/>
      <c r="O18" s="100"/>
      <c r="P18" s="100"/>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c r="BD18" s="98"/>
      <c r="BE18" s="98"/>
      <c r="BF18" s="98"/>
      <c r="BG18" s="98"/>
      <c r="BH18" s="101"/>
      <c r="BI18" s="102"/>
      <c r="BJ18" s="102"/>
      <c r="BL18" s="101"/>
      <c r="CD18" s="101"/>
      <c r="CF18" s="101"/>
      <c r="CH18" s="101"/>
      <c r="CI18" s="103"/>
      <c r="CJ18" s="101"/>
      <c r="CO18" s="101"/>
      <c r="CP18" s="102"/>
      <c r="CQ18" s="102"/>
      <c r="CR18" s="102"/>
      <c r="CT18" s="101"/>
      <c r="CW18" s="102"/>
      <c r="DJ18" s="102"/>
      <c r="DK18" s="102"/>
      <c r="DL18" s="102"/>
      <c r="DM18" s="102"/>
      <c r="DN18" s="102"/>
      <c r="DO18" s="102"/>
      <c r="DP18" s="102"/>
      <c r="DQ18" s="102"/>
    </row>
    <row r="19" spans="1:143" s="104" customFormat="1">
      <c r="A19" s="194"/>
      <c r="B19" s="195"/>
      <c r="C19" s="199">
        <f t="shared" si="0"/>
        <v>0</v>
      </c>
      <c r="D19" s="199">
        <f t="shared" si="1"/>
        <v>0</v>
      </c>
      <c r="E19" s="94" t="str">
        <f t="shared" ca="1" si="2"/>
        <v>19000100155941</v>
      </c>
      <c r="F19" s="94" t="str">
        <f>IFERROR(""&amp;(MID(BG19,1,MIN(FIND({"("},BG19,1)-1)))&amp;"货样","")</f>
        <v/>
      </c>
      <c r="G19" s="95" t="str">
        <f>IF(K19&lt;&gt;"",IFERROR(VLOOKUP(LEFT(K19,7),航次参数!$A$1:$J$20,1,FALSE),"车牌错误"),"")</f>
        <v/>
      </c>
      <c r="H19" s="96"/>
      <c r="I19" s="97"/>
      <c r="J19" s="97"/>
      <c r="K19" s="98"/>
      <c r="L19" s="99"/>
      <c r="M19" s="98"/>
      <c r="N19" s="98"/>
      <c r="O19" s="100"/>
      <c r="P19" s="100"/>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c r="BD19" s="98"/>
      <c r="BE19" s="98"/>
      <c r="BF19" s="98"/>
      <c r="BG19" s="98"/>
      <c r="BH19" s="101"/>
      <c r="BI19" s="102"/>
      <c r="BJ19" s="102"/>
      <c r="BK19" s="96"/>
      <c r="BL19" s="101"/>
      <c r="BM19" s="96"/>
      <c r="BN19" s="96"/>
      <c r="BO19" s="96"/>
      <c r="BP19" s="96"/>
      <c r="BQ19" s="96"/>
      <c r="BR19" s="96"/>
      <c r="BS19" s="96"/>
      <c r="BT19" s="96"/>
      <c r="BU19" s="96"/>
      <c r="BV19" s="96"/>
      <c r="BW19" s="96"/>
      <c r="BX19" s="96"/>
      <c r="BY19" s="96"/>
      <c r="BZ19" s="96"/>
      <c r="CA19" s="96"/>
      <c r="CB19" s="96"/>
      <c r="CC19" s="96"/>
      <c r="CD19" s="101"/>
      <c r="CE19" s="96"/>
      <c r="CF19" s="101"/>
      <c r="CG19" s="96"/>
      <c r="CH19" s="101"/>
      <c r="CI19" s="103"/>
      <c r="CJ19" s="101"/>
      <c r="CK19" s="96"/>
      <c r="CL19" s="96"/>
      <c r="CM19" s="96"/>
      <c r="CN19" s="96"/>
      <c r="CO19" s="101"/>
      <c r="CP19" s="102"/>
      <c r="CQ19" s="102"/>
      <c r="CR19" s="102"/>
      <c r="CS19" s="96"/>
      <c r="CT19" s="101"/>
      <c r="CU19" s="96"/>
      <c r="CV19" s="96"/>
      <c r="CW19" s="102"/>
      <c r="CX19" s="96"/>
      <c r="CY19" s="96"/>
      <c r="CZ19" s="96"/>
      <c r="DA19" s="96"/>
      <c r="DB19" s="96"/>
      <c r="DC19" s="96"/>
      <c r="DD19" s="96"/>
      <c r="DE19" s="96"/>
      <c r="DF19" s="96"/>
      <c r="DG19" s="96"/>
      <c r="DH19" s="96"/>
      <c r="DI19" s="96"/>
      <c r="DJ19" s="102"/>
      <c r="DK19" s="102"/>
      <c r="DL19" s="102"/>
      <c r="DM19" s="102"/>
      <c r="DN19" s="102"/>
      <c r="DO19" s="102"/>
      <c r="DP19" s="102"/>
      <c r="DQ19" s="102"/>
      <c r="DR19" s="96"/>
      <c r="DS19" s="96"/>
      <c r="DT19" s="96"/>
      <c r="DU19" s="96"/>
      <c r="DV19" s="96"/>
      <c r="DW19" s="96"/>
      <c r="DX19" s="96"/>
      <c r="DY19" s="96"/>
      <c r="DZ19" s="96"/>
      <c r="EA19" s="96"/>
      <c r="EB19" s="96"/>
      <c r="EC19" s="96"/>
      <c r="ED19" s="96"/>
      <c r="EE19" s="96"/>
      <c r="EF19" s="96"/>
      <c r="EG19" s="96"/>
      <c r="EH19" s="96"/>
      <c r="EI19" s="96"/>
      <c r="EJ19" s="96"/>
      <c r="EM19" s="96"/>
    </row>
    <row r="20" spans="1:143" s="96" customFormat="1">
      <c r="A20" s="194"/>
      <c r="B20" s="195"/>
      <c r="C20" s="199">
        <f t="shared" si="0"/>
        <v>0</v>
      </c>
      <c r="D20" s="199">
        <f t="shared" si="1"/>
        <v>0</v>
      </c>
      <c r="E20" s="94" t="str">
        <f t="shared" ca="1" si="2"/>
        <v>19000100155941</v>
      </c>
      <c r="F20" s="94" t="str">
        <f>IFERROR(""&amp;(MID(BG20,1,MIN(FIND({"("},BG20,1)-1)))&amp;"货样","")</f>
        <v/>
      </c>
      <c r="G20" s="95" t="str">
        <f>IF(K20&lt;&gt;"",IFERROR(VLOOKUP(LEFT(K20,7),航次参数!$A$1:$J$20,1,FALSE),"车牌错误"),"")</f>
        <v/>
      </c>
      <c r="I20" s="97"/>
      <c r="J20" s="97"/>
      <c r="K20" s="98"/>
      <c r="L20" s="99"/>
      <c r="M20" s="98"/>
      <c r="N20" s="98"/>
      <c r="O20" s="100"/>
      <c r="P20" s="100"/>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c r="BD20" s="98"/>
      <c r="BE20" s="98"/>
      <c r="BF20" s="98"/>
      <c r="BG20" s="98"/>
      <c r="BH20" s="101"/>
      <c r="BI20" s="102"/>
      <c r="BJ20" s="102"/>
      <c r="BL20" s="101"/>
      <c r="CD20" s="101"/>
      <c r="CF20" s="101"/>
      <c r="CH20" s="101"/>
      <c r="CI20" s="103"/>
      <c r="CJ20" s="101"/>
      <c r="CO20" s="101"/>
      <c r="CP20" s="102"/>
      <c r="CQ20" s="102"/>
      <c r="CR20" s="102"/>
      <c r="CT20" s="101"/>
      <c r="CW20" s="102"/>
      <c r="DJ20" s="102"/>
      <c r="DK20" s="102"/>
      <c r="DL20" s="102"/>
      <c r="DM20" s="102"/>
      <c r="DN20" s="102"/>
      <c r="DO20" s="102"/>
      <c r="DP20" s="102"/>
      <c r="DQ20" s="102"/>
    </row>
    <row r="21" spans="1:143" s="104" customFormat="1">
      <c r="A21" s="194"/>
      <c r="B21" s="195"/>
      <c r="C21" s="199">
        <f t="shared" si="0"/>
        <v>0</v>
      </c>
      <c r="D21" s="199">
        <f t="shared" si="1"/>
        <v>0</v>
      </c>
      <c r="E21" s="94" t="str">
        <f t="shared" ca="1" si="2"/>
        <v>19000100155941</v>
      </c>
      <c r="F21" s="94" t="str">
        <f>IFERROR(""&amp;(MID(BG21,1,MIN(FIND({"("},BG21,1)-1)))&amp;"货样","")</f>
        <v/>
      </c>
      <c r="G21" s="95" t="str">
        <f>IF(K21&lt;&gt;"",IFERROR(VLOOKUP(LEFT(K21,7),航次参数!$A$1:$J$20,1,FALSE),"车牌错误"),"")</f>
        <v/>
      </c>
      <c r="H21" s="96"/>
      <c r="I21" s="97"/>
      <c r="J21" s="97"/>
      <c r="K21" s="98"/>
      <c r="L21" s="99"/>
      <c r="M21" s="98"/>
      <c r="N21" s="98"/>
      <c r="O21" s="100"/>
      <c r="P21" s="100"/>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c r="BD21" s="98"/>
      <c r="BE21" s="98"/>
      <c r="BF21" s="98"/>
      <c r="BG21" s="98"/>
      <c r="BH21" s="101"/>
      <c r="BI21" s="102"/>
      <c r="BJ21" s="102"/>
      <c r="BK21" s="96"/>
      <c r="BL21" s="101"/>
      <c r="BM21" s="96"/>
      <c r="BN21" s="96"/>
      <c r="BO21" s="96"/>
      <c r="BP21" s="96"/>
      <c r="BQ21" s="96"/>
      <c r="BR21" s="96"/>
      <c r="BS21" s="96"/>
      <c r="BT21" s="96"/>
      <c r="BU21" s="96"/>
      <c r="BV21" s="96"/>
      <c r="BW21" s="96"/>
      <c r="BX21" s="96"/>
      <c r="BY21" s="96"/>
      <c r="BZ21" s="96"/>
      <c r="CA21" s="96"/>
      <c r="CB21" s="96"/>
      <c r="CC21" s="96"/>
      <c r="CD21" s="101"/>
      <c r="CE21" s="96"/>
      <c r="CF21" s="101"/>
      <c r="CG21" s="96"/>
      <c r="CH21" s="101"/>
      <c r="CI21" s="103"/>
      <c r="CJ21" s="101"/>
      <c r="CK21" s="96"/>
      <c r="CL21" s="96"/>
      <c r="CM21" s="96"/>
      <c r="CN21" s="96"/>
      <c r="CO21" s="101"/>
      <c r="CP21" s="102"/>
      <c r="CQ21" s="102"/>
      <c r="CR21" s="102"/>
      <c r="CS21" s="96"/>
      <c r="CT21" s="101"/>
      <c r="CU21" s="96"/>
      <c r="CV21" s="96"/>
      <c r="CW21" s="102"/>
      <c r="CX21" s="96"/>
      <c r="CY21" s="96"/>
      <c r="CZ21" s="96"/>
      <c r="DA21" s="96"/>
      <c r="DB21" s="96"/>
      <c r="DC21" s="96"/>
      <c r="DD21" s="96"/>
      <c r="DE21" s="96"/>
      <c r="DF21" s="96"/>
      <c r="DG21" s="96"/>
      <c r="DH21" s="96"/>
      <c r="DI21" s="96"/>
      <c r="DJ21" s="102"/>
      <c r="DK21" s="102"/>
      <c r="DL21" s="102"/>
      <c r="DM21" s="102"/>
      <c r="DN21" s="102"/>
      <c r="DO21" s="102"/>
      <c r="DP21" s="102"/>
      <c r="DQ21" s="102"/>
      <c r="DR21" s="96"/>
      <c r="DS21" s="96"/>
      <c r="DT21" s="96"/>
      <c r="DU21" s="96"/>
      <c r="DV21" s="96"/>
      <c r="DW21" s="96"/>
      <c r="DX21" s="96"/>
      <c r="DY21" s="96"/>
      <c r="DZ21" s="96"/>
      <c r="EA21" s="96"/>
      <c r="EB21" s="96"/>
      <c r="EC21" s="96"/>
      <c r="ED21" s="96"/>
      <c r="EE21" s="96"/>
      <c r="EF21" s="96"/>
      <c r="EG21" s="96"/>
      <c r="EH21" s="96"/>
      <c r="EI21" s="96"/>
      <c r="EJ21" s="96"/>
      <c r="EM21" s="96"/>
    </row>
    <row r="22" spans="1:143" s="96" customFormat="1">
      <c r="A22" s="194"/>
      <c r="B22" s="195"/>
      <c r="C22" s="199">
        <f t="shared" si="0"/>
        <v>0</v>
      </c>
      <c r="D22" s="199">
        <f t="shared" si="1"/>
        <v>0</v>
      </c>
      <c r="E22" s="94" t="str">
        <f t="shared" ca="1" si="2"/>
        <v>19000100155941</v>
      </c>
      <c r="F22" s="94" t="str">
        <f>IFERROR(""&amp;(MID(BG22,1,MIN(FIND({"("},BG22,1)-1)))&amp;"货样","")</f>
        <v/>
      </c>
      <c r="G22" s="95" t="str">
        <f>IF(K22&lt;&gt;"",IFERROR(VLOOKUP(LEFT(K22,7),航次参数!$A$1:$J$20,1,FALSE),"车牌错误"),"")</f>
        <v/>
      </c>
      <c r="I22" s="97"/>
      <c r="J22" s="97"/>
      <c r="K22" s="98"/>
      <c r="L22" s="99"/>
      <c r="M22" s="98"/>
      <c r="N22" s="98"/>
      <c r="O22" s="100"/>
      <c r="P22" s="100"/>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c r="BD22" s="98"/>
      <c r="BE22" s="98"/>
      <c r="BF22" s="98"/>
      <c r="BG22" s="98"/>
      <c r="BH22" s="101"/>
      <c r="BI22" s="102"/>
      <c r="BJ22" s="102"/>
      <c r="BL22" s="101"/>
      <c r="CD22" s="101"/>
      <c r="CF22" s="101"/>
      <c r="CH22" s="101"/>
      <c r="CI22" s="103"/>
      <c r="CJ22" s="101"/>
      <c r="CO22" s="101"/>
      <c r="CP22" s="102"/>
      <c r="CQ22" s="102"/>
      <c r="CR22" s="102"/>
      <c r="CT22" s="101"/>
      <c r="CW22" s="102"/>
      <c r="DJ22" s="102"/>
      <c r="DK22" s="102"/>
      <c r="DL22" s="102"/>
      <c r="DM22" s="102"/>
      <c r="DN22" s="102"/>
      <c r="DO22" s="102"/>
      <c r="DP22" s="102"/>
      <c r="DQ22" s="102"/>
    </row>
    <row r="23" spans="1:143" s="104" customFormat="1">
      <c r="A23" s="194"/>
      <c r="B23" s="195"/>
      <c r="C23" s="199">
        <f t="shared" si="0"/>
        <v>0</v>
      </c>
      <c r="D23" s="199">
        <f t="shared" si="1"/>
        <v>0</v>
      </c>
      <c r="E23" s="94" t="str">
        <f t="shared" ca="1" si="2"/>
        <v>19000100155941</v>
      </c>
      <c r="F23" s="94" t="str">
        <f>IFERROR(""&amp;(MID(BG23,1,MIN(FIND({"("},BG23,1)-1)))&amp;"货样","")</f>
        <v/>
      </c>
      <c r="G23" s="95" t="str">
        <f>IF(K23&lt;&gt;"",IFERROR(VLOOKUP(LEFT(K23,7),航次参数!$A$1:$J$20,1,FALSE),"车牌错误"),"")</f>
        <v/>
      </c>
      <c r="H23" s="96"/>
      <c r="I23" s="97"/>
      <c r="J23" s="97"/>
      <c r="K23" s="98"/>
      <c r="L23" s="99"/>
      <c r="M23" s="98"/>
      <c r="N23" s="98"/>
      <c r="O23" s="100"/>
      <c r="P23" s="100"/>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c r="BD23" s="98"/>
      <c r="BE23" s="98"/>
      <c r="BF23" s="98"/>
      <c r="BG23" s="98"/>
      <c r="BH23" s="101"/>
      <c r="BI23" s="102"/>
      <c r="BJ23" s="102"/>
      <c r="BK23" s="96"/>
      <c r="BL23" s="101"/>
      <c r="BM23" s="96"/>
      <c r="BN23" s="96"/>
      <c r="BO23" s="96"/>
      <c r="BP23" s="96"/>
      <c r="BQ23" s="96"/>
      <c r="BR23" s="96"/>
      <c r="BS23" s="96"/>
      <c r="BT23" s="96"/>
      <c r="BU23" s="96"/>
      <c r="BV23" s="96"/>
      <c r="BW23" s="96"/>
      <c r="BX23" s="96"/>
      <c r="BY23" s="96"/>
      <c r="BZ23" s="96"/>
      <c r="CA23" s="96"/>
      <c r="CB23" s="96"/>
      <c r="CC23" s="96"/>
      <c r="CD23" s="101"/>
      <c r="CE23" s="96"/>
      <c r="CF23" s="101"/>
      <c r="CG23" s="96"/>
      <c r="CH23" s="101"/>
      <c r="CI23" s="103"/>
      <c r="CJ23" s="101"/>
      <c r="CK23" s="96"/>
      <c r="CL23" s="96"/>
      <c r="CM23" s="96"/>
      <c r="CN23" s="96"/>
      <c r="CO23" s="101"/>
      <c r="CP23" s="102"/>
      <c r="CQ23" s="102"/>
      <c r="CR23" s="102"/>
      <c r="CS23" s="96"/>
      <c r="CT23" s="101"/>
      <c r="CU23" s="96"/>
      <c r="CV23" s="96"/>
      <c r="CW23" s="102"/>
      <c r="CX23" s="96"/>
      <c r="CY23" s="96"/>
      <c r="CZ23" s="96"/>
      <c r="DA23" s="96"/>
      <c r="DB23" s="96"/>
      <c r="DC23" s="96"/>
      <c r="DD23" s="96"/>
      <c r="DE23" s="96"/>
      <c r="DF23" s="96"/>
      <c r="DG23" s="96"/>
      <c r="DH23" s="96"/>
      <c r="DI23" s="96"/>
      <c r="DJ23" s="102"/>
      <c r="DK23" s="102"/>
      <c r="DL23" s="102"/>
      <c r="DM23" s="102"/>
      <c r="DN23" s="102"/>
      <c r="DO23" s="102"/>
      <c r="DP23" s="102"/>
      <c r="DQ23" s="102"/>
      <c r="DR23" s="96"/>
      <c r="DS23" s="96"/>
      <c r="DT23" s="96"/>
      <c r="DU23" s="96"/>
      <c r="DV23" s="96"/>
      <c r="DW23" s="96"/>
      <c r="DX23" s="96"/>
      <c r="DY23" s="96"/>
      <c r="DZ23" s="96"/>
      <c r="EA23" s="96"/>
      <c r="EB23" s="96"/>
      <c r="EC23" s="96"/>
      <c r="ED23" s="96"/>
      <c r="EE23" s="96"/>
      <c r="EF23" s="96"/>
      <c r="EG23" s="96"/>
      <c r="EH23" s="96"/>
      <c r="EI23" s="96"/>
      <c r="EJ23" s="96"/>
      <c r="EM23" s="96"/>
    </row>
    <row r="24" spans="1:143" s="96" customFormat="1">
      <c r="A24" s="194"/>
      <c r="B24" s="195"/>
      <c r="C24" s="199">
        <f t="shared" si="0"/>
        <v>0</v>
      </c>
      <c r="D24" s="199">
        <f t="shared" si="1"/>
        <v>0</v>
      </c>
      <c r="E24" s="94" t="str">
        <f t="shared" ca="1" si="2"/>
        <v>19000100155941</v>
      </c>
      <c r="F24" s="94" t="str">
        <f>IFERROR(""&amp;(MID(BG24,1,MIN(FIND({"("},BG24,1)-1)))&amp;"货样","")</f>
        <v/>
      </c>
      <c r="G24" s="95" t="str">
        <f>IF(K24&lt;&gt;"",IFERROR(VLOOKUP(LEFT(K24,7),航次参数!$A$1:$J$20,1,FALSE),"车牌错误"),"")</f>
        <v/>
      </c>
      <c r="I24" s="97"/>
      <c r="J24" s="97"/>
      <c r="K24" s="98"/>
      <c r="L24" s="99"/>
      <c r="M24" s="98"/>
      <c r="N24" s="98"/>
      <c r="O24" s="100"/>
      <c r="P24" s="100"/>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c r="BD24" s="98"/>
      <c r="BE24" s="98"/>
      <c r="BF24" s="98"/>
      <c r="BG24" s="98"/>
      <c r="BH24" s="101"/>
      <c r="BI24" s="102"/>
      <c r="BJ24" s="102"/>
      <c r="BL24" s="101"/>
      <c r="CD24" s="101"/>
      <c r="CF24" s="101"/>
      <c r="CH24" s="101"/>
      <c r="CI24" s="103"/>
      <c r="CJ24" s="101"/>
      <c r="CO24" s="101"/>
      <c r="CP24" s="102"/>
      <c r="CQ24" s="102"/>
      <c r="CR24" s="102"/>
      <c r="CT24" s="101"/>
      <c r="CW24" s="102"/>
      <c r="DJ24" s="102"/>
      <c r="DK24" s="102"/>
      <c r="DL24" s="102"/>
      <c r="DM24" s="102"/>
      <c r="DN24" s="102"/>
      <c r="DO24" s="102"/>
      <c r="DP24" s="102"/>
      <c r="DQ24" s="102"/>
    </row>
    <row r="25" spans="1:143" s="104" customFormat="1">
      <c r="A25" s="194"/>
      <c r="B25" s="195"/>
      <c r="C25" s="199">
        <f t="shared" si="0"/>
        <v>0</v>
      </c>
      <c r="D25" s="199">
        <f t="shared" si="1"/>
        <v>0</v>
      </c>
      <c r="E25" s="94" t="str">
        <f t="shared" ca="1" si="2"/>
        <v>19000100155941</v>
      </c>
      <c r="F25" s="94" t="str">
        <f>IFERROR(""&amp;(MID(BG25,1,MIN(FIND({"("},BG25,1)-1)))&amp;"货样","")</f>
        <v/>
      </c>
      <c r="G25" s="95" t="str">
        <f>IF(K25&lt;&gt;"",IFERROR(VLOOKUP(LEFT(K25,7),航次参数!$A$1:$J$20,1,FALSE),"车牌错误"),"")</f>
        <v/>
      </c>
      <c r="H25" s="96"/>
      <c r="I25" s="97"/>
      <c r="J25" s="97"/>
      <c r="K25" s="98"/>
      <c r="L25" s="99"/>
      <c r="M25" s="98"/>
      <c r="N25" s="98"/>
      <c r="O25" s="100"/>
      <c r="P25" s="100"/>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c r="BD25" s="98"/>
      <c r="BE25" s="98"/>
      <c r="BF25" s="98"/>
      <c r="BG25" s="98"/>
      <c r="BH25" s="101"/>
      <c r="BI25" s="102"/>
      <c r="BJ25" s="102"/>
      <c r="BK25" s="96"/>
      <c r="BL25" s="101"/>
      <c r="BM25" s="96"/>
      <c r="BN25" s="96"/>
      <c r="BO25" s="96"/>
      <c r="BP25" s="96"/>
      <c r="BQ25" s="96"/>
      <c r="BR25" s="96"/>
      <c r="BS25" s="96"/>
      <c r="BT25" s="96"/>
      <c r="BU25" s="96"/>
      <c r="BV25" s="96"/>
      <c r="BW25" s="96"/>
      <c r="BX25" s="96"/>
      <c r="BY25" s="96"/>
      <c r="BZ25" s="96"/>
      <c r="CA25" s="96"/>
      <c r="CB25" s="96"/>
      <c r="CC25" s="96"/>
      <c r="CD25" s="101"/>
      <c r="CE25" s="96"/>
      <c r="CF25" s="101"/>
      <c r="CG25" s="96"/>
      <c r="CH25" s="101"/>
      <c r="CI25" s="103"/>
      <c r="CJ25" s="101"/>
      <c r="CK25" s="96"/>
      <c r="CL25" s="96"/>
      <c r="CM25" s="96"/>
      <c r="CN25" s="96"/>
      <c r="CO25" s="101"/>
      <c r="CP25" s="102"/>
      <c r="CQ25" s="102"/>
      <c r="CR25" s="102"/>
      <c r="CS25" s="96"/>
      <c r="CT25" s="101"/>
      <c r="CU25" s="96"/>
      <c r="CV25" s="96"/>
      <c r="CW25" s="102"/>
      <c r="CX25" s="96"/>
      <c r="CY25" s="96"/>
      <c r="CZ25" s="96"/>
      <c r="DA25" s="96"/>
      <c r="DB25" s="96"/>
      <c r="DC25" s="96"/>
      <c r="DD25" s="96"/>
      <c r="DE25" s="96"/>
      <c r="DF25" s="96"/>
      <c r="DG25" s="96"/>
      <c r="DH25" s="96"/>
      <c r="DI25" s="96"/>
      <c r="DJ25" s="102"/>
      <c r="DK25" s="102"/>
      <c r="DL25" s="102"/>
      <c r="DM25" s="102"/>
      <c r="DN25" s="102"/>
      <c r="DO25" s="102"/>
      <c r="DP25" s="102"/>
      <c r="DQ25" s="102"/>
      <c r="DR25" s="96"/>
      <c r="DS25" s="96"/>
      <c r="DT25" s="96"/>
      <c r="DU25" s="96"/>
      <c r="DV25" s="96"/>
      <c r="DW25" s="96"/>
      <c r="DX25" s="96"/>
      <c r="DY25" s="96"/>
      <c r="DZ25" s="96"/>
      <c r="EA25" s="96"/>
      <c r="EB25" s="96"/>
      <c r="EC25" s="96"/>
      <c r="ED25" s="96"/>
      <c r="EE25" s="96"/>
      <c r="EF25" s="96"/>
      <c r="EG25" s="96"/>
      <c r="EH25" s="96"/>
      <c r="EI25" s="96"/>
      <c r="EJ25" s="96"/>
      <c r="EM25" s="96"/>
    </row>
    <row r="26" spans="1:143" s="96" customFormat="1">
      <c r="A26" s="194"/>
      <c r="B26" s="195"/>
      <c r="C26" s="199">
        <f t="shared" si="0"/>
        <v>0</v>
      </c>
      <c r="D26" s="199">
        <f t="shared" si="1"/>
        <v>0</v>
      </c>
      <c r="E26" s="94" t="str">
        <f t="shared" ca="1" si="2"/>
        <v>19000100155941</v>
      </c>
      <c r="F26" s="94" t="str">
        <f>IFERROR(""&amp;(MID(BG26,1,MIN(FIND({"("},BG26,1)-1)))&amp;"货样","")</f>
        <v/>
      </c>
      <c r="G26" s="95" t="str">
        <f>IF(K26&lt;&gt;"",IFERROR(VLOOKUP(LEFT(K26,7),航次参数!$A$1:$J$20,1,FALSE),"车牌错误"),"")</f>
        <v/>
      </c>
      <c r="I26" s="97"/>
      <c r="J26" s="97"/>
      <c r="K26" s="98"/>
      <c r="L26" s="99"/>
      <c r="M26" s="98"/>
      <c r="N26" s="98"/>
      <c r="O26" s="100"/>
      <c r="P26" s="100"/>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c r="BD26" s="98"/>
      <c r="BE26" s="98"/>
      <c r="BF26" s="98"/>
      <c r="BG26" s="98"/>
      <c r="BH26" s="101"/>
      <c r="BI26" s="102"/>
      <c r="BJ26" s="102"/>
      <c r="BL26" s="101"/>
      <c r="CD26" s="101"/>
      <c r="CF26" s="101"/>
      <c r="CH26" s="101"/>
      <c r="CI26" s="103"/>
      <c r="CJ26" s="101"/>
      <c r="CO26" s="101"/>
      <c r="CP26" s="102"/>
      <c r="CQ26" s="102"/>
      <c r="CR26" s="102"/>
      <c r="CT26" s="101"/>
      <c r="CW26" s="102"/>
      <c r="DJ26" s="102"/>
      <c r="DK26" s="102"/>
      <c r="DL26" s="102"/>
      <c r="DM26" s="102"/>
      <c r="DN26" s="102"/>
      <c r="DO26" s="102"/>
      <c r="DP26" s="102"/>
      <c r="DQ26" s="102"/>
    </row>
    <row r="27" spans="1:143" s="104" customFormat="1">
      <c r="A27" s="194"/>
      <c r="B27" s="195"/>
      <c r="C27" s="199">
        <f t="shared" si="0"/>
        <v>0</v>
      </c>
      <c r="D27" s="199">
        <f t="shared" si="1"/>
        <v>0</v>
      </c>
      <c r="E27" s="94" t="str">
        <f t="shared" ca="1" si="2"/>
        <v>19000100155941</v>
      </c>
      <c r="F27" s="94" t="str">
        <f>IFERROR(""&amp;(MID(BG27,1,MIN(FIND({"("},BG27,1)-1)))&amp;"货样","")</f>
        <v/>
      </c>
      <c r="G27" s="95" t="str">
        <f>IF(K27&lt;&gt;"",IFERROR(VLOOKUP(LEFT(K27,7),航次参数!$A$1:$J$20,1,FALSE),"车牌错误"),"")</f>
        <v/>
      </c>
      <c r="H27" s="96"/>
      <c r="I27" s="97"/>
      <c r="J27" s="97"/>
      <c r="K27" s="98"/>
      <c r="L27" s="99"/>
      <c r="M27" s="98"/>
      <c r="N27" s="98"/>
      <c r="O27" s="100"/>
      <c r="P27" s="100"/>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c r="BD27" s="98"/>
      <c r="BE27" s="98"/>
      <c r="BF27" s="98"/>
      <c r="BG27" s="98"/>
      <c r="BH27" s="101"/>
      <c r="BI27" s="102"/>
      <c r="BJ27" s="102"/>
      <c r="BK27" s="96"/>
      <c r="BL27" s="101"/>
      <c r="BM27" s="96"/>
      <c r="BN27" s="96"/>
      <c r="BO27" s="96"/>
      <c r="BP27" s="96"/>
      <c r="BQ27" s="96"/>
      <c r="BR27" s="96"/>
      <c r="BS27" s="96"/>
      <c r="BT27" s="96"/>
      <c r="BU27" s="96"/>
      <c r="BV27" s="96"/>
      <c r="BW27" s="96"/>
      <c r="BX27" s="96"/>
      <c r="BY27" s="96"/>
      <c r="BZ27" s="96"/>
      <c r="CA27" s="96"/>
      <c r="CB27" s="96"/>
      <c r="CC27" s="96"/>
      <c r="CD27" s="101"/>
      <c r="CE27" s="96"/>
      <c r="CF27" s="101"/>
      <c r="CG27" s="96"/>
      <c r="CH27" s="101"/>
      <c r="CI27" s="103"/>
      <c r="CJ27" s="101"/>
      <c r="CK27" s="96"/>
      <c r="CL27" s="96"/>
      <c r="CM27" s="96"/>
      <c r="CN27" s="96"/>
      <c r="CO27" s="101"/>
      <c r="CP27" s="102"/>
      <c r="CQ27" s="102"/>
      <c r="CR27" s="102"/>
      <c r="CS27" s="96"/>
      <c r="CT27" s="101"/>
      <c r="CU27" s="96"/>
      <c r="CV27" s="96"/>
      <c r="CW27" s="102"/>
      <c r="CX27" s="96"/>
      <c r="CY27" s="96"/>
      <c r="CZ27" s="96"/>
      <c r="DA27" s="96"/>
      <c r="DB27" s="96"/>
      <c r="DC27" s="96"/>
      <c r="DD27" s="96"/>
      <c r="DE27" s="96"/>
      <c r="DF27" s="96"/>
      <c r="DG27" s="96"/>
      <c r="DH27" s="96"/>
      <c r="DI27" s="96"/>
      <c r="DJ27" s="102"/>
      <c r="DK27" s="102"/>
      <c r="DL27" s="102"/>
      <c r="DM27" s="102"/>
      <c r="DN27" s="102"/>
      <c r="DO27" s="102"/>
      <c r="DP27" s="102"/>
      <c r="DQ27" s="102"/>
      <c r="DR27" s="96"/>
      <c r="DS27" s="96"/>
      <c r="DT27" s="96"/>
      <c r="DU27" s="96"/>
      <c r="DV27" s="96"/>
      <c r="DW27" s="96"/>
      <c r="DX27" s="96"/>
      <c r="DY27" s="96"/>
      <c r="DZ27" s="96"/>
      <c r="EA27" s="96"/>
      <c r="EB27" s="96"/>
      <c r="EC27" s="96"/>
      <c r="ED27" s="96"/>
      <c r="EE27" s="96"/>
      <c r="EF27" s="96"/>
      <c r="EG27" s="96"/>
      <c r="EH27" s="96"/>
      <c r="EI27" s="96"/>
      <c r="EJ27" s="96"/>
      <c r="EM27" s="96"/>
    </row>
    <row r="28" spans="1:143" s="96" customFormat="1">
      <c r="A28" s="194"/>
      <c r="B28" s="195"/>
      <c r="C28" s="199">
        <f t="shared" si="0"/>
        <v>0</v>
      </c>
      <c r="D28" s="199">
        <f t="shared" si="1"/>
        <v>0</v>
      </c>
      <c r="E28" s="94" t="str">
        <f t="shared" ca="1" si="2"/>
        <v>19000100155941</v>
      </c>
      <c r="F28" s="94" t="str">
        <f>IFERROR(""&amp;(MID(BG28,1,MIN(FIND({"("},BG28,1)-1)))&amp;"货样","")</f>
        <v/>
      </c>
      <c r="G28" s="95" t="str">
        <f>IF(K28&lt;&gt;"",IFERROR(VLOOKUP(LEFT(K28,7),航次参数!$A$1:$J$20,1,FALSE),"车牌错误"),"")</f>
        <v/>
      </c>
      <c r="I28" s="97"/>
      <c r="J28" s="97"/>
      <c r="K28" s="98"/>
      <c r="L28" s="99"/>
      <c r="M28" s="98"/>
      <c r="N28" s="98"/>
      <c r="O28" s="100"/>
      <c r="P28" s="100"/>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c r="BD28" s="98"/>
      <c r="BE28" s="98"/>
      <c r="BF28" s="98"/>
      <c r="BG28" s="98"/>
      <c r="BH28" s="101"/>
      <c r="BI28" s="102"/>
      <c r="BJ28" s="102"/>
      <c r="BL28" s="101"/>
      <c r="CD28" s="101"/>
      <c r="CF28" s="101"/>
      <c r="CH28" s="101"/>
      <c r="CI28" s="103"/>
      <c r="CJ28" s="101"/>
      <c r="CO28" s="101"/>
      <c r="CP28" s="102"/>
      <c r="CQ28" s="102"/>
      <c r="CR28" s="102"/>
      <c r="CT28" s="101"/>
      <c r="CW28" s="102"/>
      <c r="DJ28" s="102"/>
      <c r="DK28" s="102"/>
      <c r="DL28" s="102"/>
      <c r="DM28" s="102"/>
      <c r="DN28" s="102"/>
      <c r="DO28" s="102"/>
      <c r="DP28" s="102"/>
      <c r="DQ28" s="102"/>
    </row>
    <row r="29" spans="1:143" s="104" customFormat="1">
      <c r="A29" s="194"/>
      <c r="B29" s="195"/>
      <c r="C29" s="199">
        <f t="shared" si="0"/>
        <v>0</v>
      </c>
      <c r="D29" s="199">
        <f t="shared" si="1"/>
        <v>0</v>
      </c>
      <c r="E29" s="94" t="str">
        <f t="shared" ca="1" si="2"/>
        <v>19000100155941</v>
      </c>
      <c r="F29" s="94" t="str">
        <f>IFERROR(""&amp;(MID(BG29,1,MIN(FIND({"("},BG29,1)-1)))&amp;"货样","")</f>
        <v/>
      </c>
      <c r="G29" s="95" t="str">
        <f>IF(K29&lt;&gt;"",IFERROR(VLOOKUP(LEFT(K29,7),航次参数!$A$1:$J$20,1,FALSE),"车牌错误"),"")</f>
        <v/>
      </c>
      <c r="H29" s="96"/>
      <c r="I29" s="97"/>
      <c r="J29" s="97"/>
      <c r="K29" s="98"/>
      <c r="L29" s="99"/>
      <c r="M29" s="98"/>
      <c r="N29" s="98"/>
      <c r="O29" s="100"/>
      <c r="P29" s="100"/>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c r="BD29" s="98"/>
      <c r="BE29" s="98"/>
      <c r="BF29" s="98"/>
      <c r="BG29" s="98"/>
      <c r="BH29" s="101"/>
      <c r="BI29" s="102"/>
      <c r="BJ29" s="102"/>
      <c r="BK29" s="96"/>
      <c r="BL29" s="101"/>
      <c r="BM29" s="96"/>
      <c r="BN29" s="96"/>
      <c r="BO29" s="96"/>
      <c r="BP29" s="96"/>
      <c r="BQ29" s="96"/>
      <c r="BR29" s="96"/>
      <c r="BS29" s="96"/>
      <c r="BT29" s="96"/>
      <c r="BU29" s="96"/>
      <c r="BV29" s="96"/>
      <c r="BW29" s="96"/>
      <c r="BX29" s="96"/>
      <c r="BY29" s="96"/>
      <c r="BZ29" s="96"/>
      <c r="CA29" s="96"/>
      <c r="CB29" s="96"/>
      <c r="CC29" s="96"/>
      <c r="CD29" s="101"/>
      <c r="CE29" s="96"/>
      <c r="CF29" s="101"/>
      <c r="CG29" s="96"/>
      <c r="CH29" s="101"/>
      <c r="CI29" s="103"/>
      <c r="CJ29" s="101"/>
      <c r="CK29" s="96"/>
      <c r="CL29" s="96"/>
      <c r="CM29" s="96"/>
      <c r="CN29" s="96"/>
      <c r="CO29" s="101"/>
      <c r="CP29" s="102"/>
      <c r="CQ29" s="102"/>
      <c r="CR29" s="102"/>
      <c r="CS29" s="96"/>
      <c r="CT29" s="101"/>
      <c r="CU29" s="96"/>
      <c r="CV29" s="96"/>
      <c r="CW29" s="102"/>
      <c r="CX29" s="96"/>
      <c r="CY29" s="96"/>
      <c r="CZ29" s="96"/>
      <c r="DA29" s="96"/>
      <c r="DB29" s="96"/>
      <c r="DC29" s="96"/>
      <c r="DD29" s="96"/>
      <c r="DE29" s="96"/>
      <c r="DF29" s="96"/>
      <c r="DG29" s="96"/>
      <c r="DH29" s="96"/>
      <c r="DI29" s="96"/>
      <c r="DJ29" s="102"/>
      <c r="DK29" s="102"/>
      <c r="DL29" s="102"/>
      <c r="DM29" s="102"/>
      <c r="DN29" s="102"/>
      <c r="DO29" s="102"/>
      <c r="DP29" s="102"/>
      <c r="DQ29" s="102"/>
      <c r="DR29" s="96"/>
      <c r="DS29" s="96"/>
      <c r="DT29" s="96"/>
      <c r="DU29" s="96"/>
      <c r="DV29" s="96"/>
      <c r="DW29" s="96"/>
      <c r="DX29" s="96"/>
      <c r="DY29" s="96"/>
      <c r="DZ29" s="96"/>
      <c r="EA29" s="96"/>
      <c r="EB29" s="96"/>
      <c r="EC29" s="96"/>
      <c r="ED29" s="96"/>
      <c r="EE29" s="96"/>
      <c r="EF29" s="96"/>
      <c r="EG29" s="96"/>
      <c r="EH29" s="96"/>
      <c r="EI29" s="96"/>
      <c r="EJ29" s="96"/>
      <c r="EM29" s="96"/>
    </row>
    <row r="30" spans="1:143" s="96" customFormat="1">
      <c r="A30" s="194"/>
      <c r="B30" s="195"/>
      <c r="C30" s="199">
        <f t="shared" si="0"/>
        <v>0</v>
      </c>
      <c r="D30" s="199">
        <f t="shared" si="1"/>
        <v>0</v>
      </c>
      <c r="E30" s="94" t="str">
        <f t="shared" ca="1" si="2"/>
        <v>19000100155941</v>
      </c>
      <c r="F30" s="94" t="str">
        <f>IFERROR(""&amp;(MID(BG30,1,MIN(FIND({"("},BG30,1)-1)))&amp;"货样","")</f>
        <v/>
      </c>
      <c r="G30" s="95" t="str">
        <f>IF(K30&lt;&gt;"",IFERROR(VLOOKUP(LEFT(K30,7),航次参数!$A$1:$J$20,1,FALSE),"车牌错误"),"")</f>
        <v/>
      </c>
      <c r="I30" s="97"/>
      <c r="J30" s="97"/>
      <c r="K30" s="98"/>
      <c r="L30" s="99"/>
      <c r="M30" s="98"/>
      <c r="N30" s="98"/>
      <c r="O30" s="100"/>
      <c r="P30" s="100"/>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c r="BD30" s="98"/>
      <c r="BE30" s="98"/>
      <c r="BF30" s="98"/>
      <c r="BG30" s="98"/>
      <c r="BH30" s="101"/>
      <c r="BI30" s="102"/>
      <c r="BJ30" s="102"/>
      <c r="BL30" s="101"/>
      <c r="CD30" s="101"/>
      <c r="CF30" s="101"/>
      <c r="CH30" s="101"/>
      <c r="CI30" s="103"/>
      <c r="CJ30" s="101"/>
      <c r="CO30" s="101"/>
      <c r="CP30" s="102"/>
      <c r="CQ30" s="102"/>
      <c r="CR30" s="102"/>
      <c r="CT30" s="101"/>
      <c r="CW30" s="102"/>
      <c r="DJ30" s="102"/>
      <c r="DK30" s="102"/>
      <c r="DL30" s="102"/>
      <c r="DM30" s="102"/>
      <c r="DN30" s="102"/>
      <c r="DO30" s="102"/>
      <c r="DP30" s="102"/>
      <c r="DQ30" s="102"/>
    </row>
    <row r="31" spans="1:143" s="104" customFormat="1">
      <c r="A31" s="194"/>
      <c r="B31" s="195"/>
      <c r="C31" s="199">
        <f t="shared" si="0"/>
        <v>0</v>
      </c>
      <c r="D31" s="199">
        <f t="shared" si="1"/>
        <v>0</v>
      </c>
      <c r="E31" s="94" t="str">
        <f t="shared" ca="1" si="2"/>
        <v>19000100155941</v>
      </c>
      <c r="F31" s="94" t="str">
        <f>IFERROR(""&amp;(MID(BG31,1,MIN(FIND({"("},BG31,1)-1)))&amp;"货样","")</f>
        <v/>
      </c>
      <c r="G31" s="95" t="str">
        <f>IF(K31&lt;&gt;"",IFERROR(VLOOKUP(LEFT(K31,7),航次参数!$A$1:$J$20,1,FALSE),"车牌错误"),"")</f>
        <v/>
      </c>
      <c r="H31" s="96"/>
      <c r="I31" s="97"/>
      <c r="J31" s="97"/>
      <c r="K31" s="98"/>
      <c r="L31" s="99"/>
      <c r="M31" s="98"/>
      <c r="N31" s="98"/>
      <c r="O31" s="100"/>
      <c r="P31" s="100"/>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c r="BD31" s="98"/>
      <c r="BE31" s="98"/>
      <c r="BF31" s="98"/>
      <c r="BG31" s="98"/>
      <c r="BH31" s="101"/>
      <c r="BI31" s="102"/>
      <c r="BJ31" s="102"/>
      <c r="BK31" s="96"/>
      <c r="BL31" s="101"/>
      <c r="BM31" s="96"/>
      <c r="BN31" s="96"/>
      <c r="BO31" s="96"/>
      <c r="BP31" s="96"/>
      <c r="BQ31" s="96"/>
      <c r="BR31" s="96"/>
      <c r="BS31" s="96"/>
      <c r="BT31" s="96"/>
      <c r="BU31" s="96"/>
      <c r="BV31" s="96"/>
      <c r="BW31" s="96"/>
      <c r="BX31" s="96"/>
      <c r="BY31" s="96"/>
      <c r="BZ31" s="96"/>
      <c r="CA31" s="96"/>
      <c r="CB31" s="96"/>
      <c r="CC31" s="96"/>
      <c r="CD31" s="101"/>
      <c r="CE31" s="96"/>
      <c r="CF31" s="101"/>
      <c r="CG31" s="96"/>
      <c r="CH31" s="101"/>
      <c r="CI31" s="103"/>
      <c r="CJ31" s="101"/>
      <c r="CK31" s="96"/>
      <c r="CL31" s="96"/>
      <c r="CM31" s="96"/>
      <c r="CN31" s="96"/>
      <c r="CO31" s="101"/>
      <c r="CP31" s="102"/>
      <c r="CQ31" s="102"/>
      <c r="CR31" s="102"/>
      <c r="CS31" s="96"/>
      <c r="CT31" s="101"/>
      <c r="CU31" s="96"/>
      <c r="CV31" s="96"/>
      <c r="CW31" s="102"/>
      <c r="CX31" s="96"/>
      <c r="CY31" s="96"/>
      <c r="CZ31" s="96"/>
      <c r="DA31" s="96"/>
      <c r="DB31" s="96"/>
      <c r="DC31" s="96"/>
      <c r="DD31" s="96"/>
      <c r="DE31" s="96"/>
      <c r="DF31" s="96"/>
      <c r="DG31" s="96"/>
      <c r="DH31" s="96"/>
      <c r="DI31" s="96"/>
      <c r="DJ31" s="102"/>
      <c r="DK31" s="102"/>
      <c r="DL31" s="102"/>
      <c r="DM31" s="102"/>
      <c r="DN31" s="102"/>
      <c r="DO31" s="102"/>
      <c r="DP31" s="102"/>
      <c r="DQ31" s="102"/>
      <c r="DR31" s="96"/>
      <c r="DS31" s="96"/>
      <c r="DT31" s="96"/>
      <c r="DU31" s="96"/>
      <c r="DV31" s="96"/>
      <c r="DW31" s="96"/>
      <c r="DX31" s="96"/>
      <c r="DY31" s="96"/>
      <c r="DZ31" s="96"/>
      <c r="EA31" s="96"/>
      <c r="EB31" s="96"/>
      <c r="EC31" s="96"/>
      <c r="ED31" s="96"/>
      <c r="EE31" s="96"/>
      <c r="EF31" s="96"/>
      <c r="EG31" s="96"/>
      <c r="EH31" s="96"/>
      <c r="EI31" s="96"/>
      <c r="EJ31" s="96"/>
      <c r="EM31" s="96"/>
    </row>
    <row r="32" spans="1:143" s="96" customFormat="1">
      <c r="A32" s="194"/>
      <c r="B32" s="195"/>
      <c r="C32" s="199">
        <f t="shared" si="0"/>
        <v>0</v>
      </c>
      <c r="D32" s="199">
        <f t="shared" si="1"/>
        <v>0</v>
      </c>
      <c r="E32" s="94" t="str">
        <f t="shared" ca="1" si="2"/>
        <v>19000100155941</v>
      </c>
      <c r="F32" s="94" t="str">
        <f>IFERROR(""&amp;(MID(BG32,1,MIN(FIND({"("},BG32,1)-1)))&amp;"货样","")</f>
        <v/>
      </c>
      <c r="G32" s="95" t="str">
        <f>IF(K32&lt;&gt;"",IFERROR(VLOOKUP(LEFT(K32,7),航次参数!$A$1:$J$20,1,FALSE),"车牌错误"),"")</f>
        <v/>
      </c>
      <c r="I32" s="97"/>
      <c r="J32" s="97"/>
      <c r="K32" s="98"/>
      <c r="L32" s="99"/>
      <c r="M32" s="98"/>
      <c r="N32" s="98"/>
      <c r="O32" s="100"/>
      <c r="P32" s="100"/>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c r="BD32" s="98"/>
      <c r="BE32" s="98"/>
      <c r="BF32" s="98"/>
      <c r="BG32" s="98"/>
      <c r="BH32" s="101"/>
      <c r="BI32" s="102"/>
      <c r="BJ32" s="102"/>
      <c r="BL32" s="101"/>
      <c r="CD32" s="101"/>
      <c r="CF32" s="101"/>
      <c r="CH32" s="101"/>
      <c r="CI32" s="103"/>
      <c r="CJ32" s="101"/>
      <c r="CO32" s="101"/>
      <c r="CP32" s="102"/>
      <c r="CQ32" s="102"/>
      <c r="CR32" s="102"/>
      <c r="CT32" s="101"/>
      <c r="CW32" s="102"/>
      <c r="DJ32" s="102"/>
      <c r="DK32" s="102"/>
      <c r="DL32" s="102"/>
      <c r="DM32" s="102"/>
      <c r="DN32" s="102"/>
      <c r="DO32" s="102"/>
      <c r="DP32" s="102"/>
      <c r="DQ32" s="102"/>
    </row>
    <row r="33" spans="1:143" s="104" customFormat="1">
      <c r="A33" s="194"/>
      <c r="B33" s="195"/>
      <c r="C33" s="199">
        <f t="shared" si="0"/>
        <v>0</v>
      </c>
      <c r="D33" s="199">
        <f t="shared" si="1"/>
        <v>0</v>
      </c>
      <c r="E33" s="94" t="str">
        <f t="shared" ca="1" si="2"/>
        <v>19000100155941</v>
      </c>
      <c r="F33" s="94" t="str">
        <f>IFERROR(""&amp;(MID(BG33,1,MIN(FIND({"("},BG33,1)-1)))&amp;"货样","")</f>
        <v/>
      </c>
      <c r="G33" s="95" t="str">
        <f>IF(K33&lt;&gt;"",IFERROR(VLOOKUP(LEFT(K33,7),航次参数!$A$1:$J$20,1,FALSE),"车牌错误"),"")</f>
        <v/>
      </c>
      <c r="H33" s="96"/>
      <c r="I33" s="97"/>
      <c r="J33" s="97"/>
      <c r="K33" s="98"/>
      <c r="L33" s="99"/>
      <c r="M33" s="98"/>
      <c r="N33" s="98"/>
      <c r="O33" s="100"/>
      <c r="P33" s="100"/>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c r="BD33" s="98"/>
      <c r="BE33" s="98"/>
      <c r="BF33" s="98"/>
      <c r="BG33" s="98"/>
      <c r="BH33" s="101"/>
      <c r="BI33" s="102"/>
      <c r="BJ33" s="102"/>
      <c r="BK33" s="96"/>
      <c r="BL33" s="101"/>
      <c r="BM33" s="96"/>
      <c r="BN33" s="96"/>
      <c r="BO33" s="96"/>
      <c r="BP33" s="96"/>
      <c r="BQ33" s="96"/>
      <c r="BR33" s="96"/>
      <c r="BS33" s="96"/>
      <c r="BT33" s="96"/>
      <c r="BU33" s="96"/>
      <c r="BV33" s="96"/>
      <c r="BW33" s="96"/>
      <c r="BX33" s="96"/>
      <c r="BY33" s="96"/>
      <c r="BZ33" s="96"/>
      <c r="CA33" s="96"/>
      <c r="CB33" s="96"/>
      <c r="CC33" s="96"/>
      <c r="CD33" s="101"/>
      <c r="CE33" s="96"/>
      <c r="CF33" s="101"/>
      <c r="CG33" s="96"/>
      <c r="CH33" s="101"/>
      <c r="CI33" s="103"/>
      <c r="CJ33" s="101"/>
      <c r="CK33" s="96"/>
      <c r="CL33" s="96"/>
      <c r="CM33" s="96"/>
      <c r="CN33" s="96"/>
      <c r="CO33" s="101"/>
      <c r="CP33" s="102"/>
      <c r="CQ33" s="102"/>
      <c r="CR33" s="102"/>
      <c r="CS33" s="96"/>
      <c r="CT33" s="101"/>
      <c r="CU33" s="96"/>
      <c r="CV33" s="96"/>
      <c r="CW33" s="102"/>
      <c r="CX33" s="96"/>
      <c r="CY33" s="96"/>
      <c r="CZ33" s="96"/>
      <c r="DA33" s="96"/>
      <c r="DB33" s="96"/>
      <c r="DC33" s="96"/>
      <c r="DD33" s="96"/>
      <c r="DE33" s="96"/>
      <c r="DF33" s="96"/>
      <c r="DG33" s="96"/>
      <c r="DH33" s="96"/>
      <c r="DI33" s="96"/>
      <c r="DJ33" s="102"/>
      <c r="DK33" s="102"/>
      <c r="DL33" s="102"/>
      <c r="DM33" s="102"/>
      <c r="DN33" s="102"/>
      <c r="DO33" s="102"/>
      <c r="DP33" s="102"/>
      <c r="DQ33" s="102"/>
      <c r="DR33" s="96"/>
      <c r="DS33" s="96"/>
      <c r="DT33" s="96"/>
      <c r="DU33" s="96"/>
      <c r="DV33" s="96"/>
      <c r="DW33" s="96"/>
      <c r="DX33" s="96"/>
      <c r="DY33" s="96"/>
      <c r="DZ33" s="96"/>
      <c r="EA33" s="96"/>
      <c r="EB33" s="96"/>
      <c r="EC33" s="96"/>
      <c r="ED33" s="96"/>
      <c r="EE33" s="96"/>
      <c r="EF33" s="96"/>
      <c r="EG33" s="96"/>
      <c r="EH33" s="96"/>
      <c r="EI33" s="96"/>
      <c r="EJ33" s="96"/>
      <c r="EM33" s="96"/>
    </row>
    <row r="34" spans="1:143" s="96" customFormat="1">
      <c r="A34" s="194"/>
      <c r="B34" s="195"/>
      <c r="C34" s="199">
        <f t="shared" si="0"/>
        <v>0</v>
      </c>
      <c r="D34" s="199">
        <f t="shared" si="1"/>
        <v>0</v>
      </c>
      <c r="E34" s="94" t="str">
        <f t="shared" ca="1" si="2"/>
        <v>19000100155941</v>
      </c>
      <c r="F34" s="94" t="str">
        <f>IFERROR(""&amp;(MID(BG34,1,MIN(FIND({"("},BG34,1)-1)))&amp;"货样","")</f>
        <v/>
      </c>
      <c r="G34" s="95" t="str">
        <f>IF(K34&lt;&gt;"",IFERROR(VLOOKUP(LEFT(K34,7),航次参数!$A$1:$J$20,1,FALSE),"车牌错误"),"")</f>
        <v/>
      </c>
      <c r="I34" s="97"/>
      <c r="J34" s="97"/>
      <c r="K34" s="98"/>
      <c r="L34" s="99"/>
      <c r="M34" s="98"/>
      <c r="N34" s="98"/>
      <c r="O34" s="100"/>
      <c r="P34" s="100"/>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c r="BD34" s="98"/>
      <c r="BE34" s="98"/>
      <c r="BF34" s="98"/>
      <c r="BG34" s="98"/>
      <c r="BH34" s="101"/>
      <c r="BI34" s="102"/>
      <c r="BJ34" s="102"/>
      <c r="BL34" s="101"/>
      <c r="CD34" s="101"/>
      <c r="CF34" s="101"/>
      <c r="CH34" s="101"/>
      <c r="CI34" s="103"/>
      <c r="CJ34" s="101"/>
      <c r="CO34" s="101"/>
      <c r="CP34" s="102"/>
      <c r="CQ34" s="102"/>
      <c r="CR34" s="102"/>
      <c r="CT34" s="101"/>
      <c r="CW34" s="102"/>
      <c r="DJ34" s="102"/>
      <c r="DK34" s="102"/>
      <c r="DL34" s="102"/>
      <c r="DM34" s="102"/>
      <c r="DN34" s="102"/>
      <c r="DO34" s="102"/>
      <c r="DP34" s="102"/>
      <c r="DQ34" s="102"/>
    </row>
    <row r="35" spans="1:143" s="104" customFormat="1">
      <c r="A35" s="194"/>
      <c r="B35" s="195"/>
      <c r="C35" s="199">
        <f t="shared" si="0"/>
        <v>0</v>
      </c>
      <c r="D35" s="199">
        <f t="shared" si="1"/>
        <v>0</v>
      </c>
      <c r="E35" s="94" t="str">
        <f t="shared" ca="1" si="2"/>
        <v>19000100155941</v>
      </c>
      <c r="F35" s="94" t="str">
        <f>IFERROR(""&amp;(MID(BG35,1,MIN(FIND({"("},BG35,1)-1)))&amp;"货样","")</f>
        <v/>
      </c>
      <c r="G35" s="95" t="str">
        <f>IF(K35&lt;&gt;"",IFERROR(VLOOKUP(LEFT(K35,7),航次参数!$A$1:$J$20,1,FALSE),"车牌错误"),"")</f>
        <v/>
      </c>
      <c r="H35" s="96"/>
      <c r="I35" s="97"/>
      <c r="J35" s="97"/>
      <c r="K35" s="98"/>
      <c r="L35" s="99"/>
      <c r="M35" s="98"/>
      <c r="N35" s="98"/>
      <c r="O35" s="100"/>
      <c r="P35" s="100"/>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c r="BD35" s="98"/>
      <c r="BE35" s="98"/>
      <c r="BF35" s="98"/>
      <c r="BG35" s="98"/>
      <c r="BH35" s="101"/>
      <c r="BI35" s="102"/>
      <c r="BJ35" s="102"/>
      <c r="BK35" s="96"/>
      <c r="BL35" s="101"/>
      <c r="BM35" s="96"/>
      <c r="BN35" s="96"/>
      <c r="BO35" s="96"/>
      <c r="BP35" s="96"/>
      <c r="BQ35" s="96"/>
      <c r="BR35" s="96"/>
      <c r="BS35" s="96"/>
      <c r="BT35" s="96"/>
      <c r="BU35" s="96"/>
      <c r="BV35" s="96"/>
      <c r="BW35" s="96"/>
      <c r="BX35" s="96"/>
      <c r="BY35" s="96"/>
      <c r="BZ35" s="96"/>
      <c r="CA35" s="96"/>
      <c r="CB35" s="96"/>
      <c r="CC35" s="96"/>
      <c r="CD35" s="101"/>
      <c r="CE35" s="96"/>
      <c r="CF35" s="101"/>
      <c r="CG35" s="96"/>
      <c r="CH35" s="101"/>
      <c r="CI35" s="103"/>
      <c r="CJ35" s="101"/>
      <c r="CK35" s="96"/>
      <c r="CL35" s="96"/>
      <c r="CM35" s="96"/>
      <c r="CN35" s="96"/>
      <c r="CO35" s="101"/>
      <c r="CP35" s="102"/>
      <c r="CQ35" s="102"/>
      <c r="CR35" s="102"/>
      <c r="CS35" s="96"/>
      <c r="CT35" s="101"/>
      <c r="CU35" s="96"/>
      <c r="CV35" s="96"/>
      <c r="CW35" s="102"/>
      <c r="CX35" s="96"/>
      <c r="CY35" s="96"/>
      <c r="CZ35" s="96"/>
      <c r="DA35" s="96"/>
      <c r="DB35" s="96"/>
      <c r="DC35" s="96"/>
      <c r="DD35" s="96"/>
      <c r="DE35" s="96"/>
      <c r="DF35" s="96"/>
      <c r="DG35" s="96"/>
      <c r="DH35" s="96"/>
      <c r="DI35" s="96"/>
      <c r="DJ35" s="102"/>
      <c r="DK35" s="102"/>
      <c r="DL35" s="102"/>
      <c r="DM35" s="102"/>
      <c r="DN35" s="102"/>
      <c r="DO35" s="102"/>
      <c r="DP35" s="102"/>
      <c r="DQ35" s="102"/>
      <c r="DR35" s="96"/>
      <c r="DS35" s="96"/>
      <c r="DT35" s="96"/>
      <c r="DU35" s="96"/>
      <c r="DV35" s="96"/>
      <c r="DW35" s="96"/>
      <c r="DX35" s="96"/>
      <c r="DY35" s="96"/>
      <c r="DZ35" s="96"/>
      <c r="EA35" s="96"/>
      <c r="EB35" s="96"/>
      <c r="EC35" s="96"/>
      <c r="ED35" s="96"/>
      <c r="EE35" s="96"/>
      <c r="EF35" s="96"/>
      <c r="EG35" s="96"/>
      <c r="EH35" s="96"/>
      <c r="EI35" s="96"/>
      <c r="EJ35" s="96"/>
      <c r="EM35" s="96"/>
    </row>
    <row r="36" spans="1:143" s="96" customFormat="1">
      <c r="A36" s="194"/>
      <c r="B36" s="195"/>
      <c r="C36" s="199">
        <f t="shared" si="0"/>
        <v>0</v>
      </c>
      <c r="D36" s="199">
        <f t="shared" si="1"/>
        <v>0</v>
      </c>
      <c r="E36" s="94" t="str">
        <f t="shared" ca="1" si="2"/>
        <v>19000100155941</v>
      </c>
      <c r="F36" s="94" t="str">
        <f>IFERROR(""&amp;(MID(BG36,1,MIN(FIND({"("},BG36,1)-1)))&amp;"货样","")</f>
        <v/>
      </c>
      <c r="G36" s="95" t="str">
        <f>IF(K36&lt;&gt;"",IFERROR(VLOOKUP(LEFT(K36,7),航次参数!$A$1:$J$20,1,FALSE),"车牌错误"),"")</f>
        <v/>
      </c>
      <c r="I36" s="97"/>
      <c r="J36" s="97"/>
      <c r="K36" s="98"/>
      <c r="L36" s="99"/>
      <c r="M36" s="98"/>
      <c r="N36" s="98"/>
      <c r="O36" s="100"/>
      <c r="P36" s="100"/>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c r="BD36" s="98"/>
      <c r="BE36" s="98"/>
      <c r="BF36" s="98"/>
      <c r="BG36" s="98"/>
      <c r="BH36" s="101"/>
      <c r="BI36" s="102"/>
      <c r="BJ36" s="102"/>
      <c r="BL36" s="101"/>
      <c r="CD36" s="101"/>
      <c r="CF36" s="101"/>
      <c r="CH36" s="101"/>
      <c r="CI36" s="103"/>
      <c r="CJ36" s="101"/>
      <c r="CO36" s="101"/>
      <c r="CP36" s="102"/>
      <c r="CQ36" s="102"/>
      <c r="CR36" s="102"/>
      <c r="CT36" s="101"/>
      <c r="CW36" s="102"/>
      <c r="DJ36" s="102"/>
      <c r="DK36" s="102"/>
      <c r="DL36" s="102"/>
      <c r="DM36" s="102"/>
      <c r="DN36" s="102"/>
      <c r="DO36" s="102"/>
      <c r="DP36" s="102"/>
      <c r="DQ36" s="102"/>
    </row>
    <row r="37" spans="1:143" s="104" customFormat="1">
      <c r="A37" s="194"/>
      <c r="B37" s="195"/>
      <c r="C37" s="199">
        <f t="shared" si="0"/>
        <v>0</v>
      </c>
      <c r="D37" s="199">
        <f t="shared" si="1"/>
        <v>0</v>
      </c>
      <c r="E37" s="94" t="str">
        <f t="shared" ca="1" si="2"/>
        <v>19000100155941</v>
      </c>
      <c r="F37" s="94" t="str">
        <f>IFERROR(""&amp;(MID(BG37,1,MIN(FIND({"("},BG37,1)-1)))&amp;"货样","")</f>
        <v/>
      </c>
      <c r="G37" s="95" t="str">
        <f>IF(K37&lt;&gt;"",IFERROR(VLOOKUP(LEFT(K37,7),航次参数!$A$1:$J$20,1,FALSE),"车牌错误"),"")</f>
        <v/>
      </c>
      <c r="H37" s="96"/>
      <c r="I37" s="97"/>
      <c r="J37" s="97"/>
      <c r="K37" s="98"/>
      <c r="L37" s="99"/>
      <c r="M37" s="98"/>
      <c r="N37" s="98"/>
      <c r="O37" s="100"/>
      <c r="P37" s="100"/>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101"/>
      <c r="BI37" s="102"/>
      <c r="BJ37" s="102"/>
      <c r="BK37" s="96"/>
      <c r="BL37" s="101"/>
      <c r="BM37" s="96"/>
      <c r="BN37" s="96"/>
      <c r="BO37" s="96"/>
      <c r="BP37" s="96"/>
      <c r="BQ37" s="96"/>
      <c r="BR37" s="96"/>
      <c r="BS37" s="96"/>
      <c r="BT37" s="96"/>
      <c r="BU37" s="96"/>
      <c r="BV37" s="96"/>
      <c r="BW37" s="96"/>
      <c r="BX37" s="96"/>
      <c r="BY37" s="96"/>
      <c r="BZ37" s="96"/>
      <c r="CA37" s="96"/>
      <c r="CB37" s="96"/>
      <c r="CC37" s="96"/>
      <c r="CD37" s="101"/>
      <c r="CE37" s="96"/>
      <c r="CF37" s="101"/>
      <c r="CG37" s="96"/>
      <c r="CH37" s="101"/>
      <c r="CI37" s="103"/>
      <c r="CJ37" s="101"/>
      <c r="CK37" s="96"/>
      <c r="CL37" s="96"/>
      <c r="CM37" s="96"/>
      <c r="CN37" s="96"/>
      <c r="CO37" s="101"/>
      <c r="CP37" s="102"/>
      <c r="CQ37" s="102"/>
      <c r="CR37" s="102"/>
      <c r="CS37" s="96"/>
      <c r="CT37" s="101"/>
      <c r="CU37" s="96"/>
      <c r="CV37" s="96"/>
      <c r="CW37" s="102"/>
      <c r="CX37" s="96"/>
      <c r="CY37" s="96"/>
      <c r="CZ37" s="96"/>
      <c r="DA37" s="96"/>
      <c r="DB37" s="96"/>
      <c r="DC37" s="96"/>
      <c r="DD37" s="96"/>
      <c r="DE37" s="96"/>
      <c r="DF37" s="96"/>
      <c r="DG37" s="96"/>
      <c r="DH37" s="96"/>
      <c r="DI37" s="96"/>
      <c r="DJ37" s="102"/>
      <c r="DK37" s="102"/>
      <c r="DL37" s="102"/>
      <c r="DM37" s="102"/>
      <c r="DN37" s="102"/>
      <c r="DO37" s="102"/>
      <c r="DP37" s="102"/>
      <c r="DQ37" s="102"/>
      <c r="DR37" s="96"/>
      <c r="DS37" s="96"/>
      <c r="DT37" s="96"/>
      <c r="DU37" s="96"/>
      <c r="DV37" s="96"/>
      <c r="DW37" s="96"/>
      <c r="DX37" s="96"/>
      <c r="DY37" s="96"/>
      <c r="DZ37" s="96"/>
      <c r="EA37" s="96"/>
      <c r="EB37" s="96"/>
      <c r="EC37" s="96"/>
      <c r="ED37" s="96"/>
      <c r="EE37" s="96"/>
      <c r="EF37" s="96"/>
      <c r="EG37" s="96"/>
      <c r="EH37" s="96"/>
      <c r="EI37" s="96"/>
      <c r="EJ37" s="96"/>
      <c r="EM37" s="96"/>
    </row>
    <row r="38" spans="1:143" s="96" customFormat="1">
      <c r="A38" s="194"/>
      <c r="B38" s="195"/>
      <c r="C38" s="199">
        <f t="shared" si="0"/>
        <v>0</v>
      </c>
      <c r="D38" s="199">
        <f t="shared" si="1"/>
        <v>0</v>
      </c>
      <c r="E38" s="94" t="str">
        <f t="shared" ca="1" si="2"/>
        <v>19000100155941</v>
      </c>
      <c r="F38" s="94" t="str">
        <f>IFERROR(""&amp;(MID(BG38,1,MIN(FIND({"("},BG38,1)-1)))&amp;"货样","")</f>
        <v/>
      </c>
      <c r="G38" s="95" t="str">
        <f>IF(K38&lt;&gt;"",IFERROR(VLOOKUP(LEFT(K38,7),航次参数!$A$1:$J$20,1,FALSE),"车牌错误"),"")</f>
        <v/>
      </c>
      <c r="I38" s="97"/>
      <c r="J38" s="97"/>
      <c r="K38" s="98"/>
      <c r="L38" s="99"/>
      <c r="M38" s="98"/>
      <c r="N38" s="98"/>
      <c r="O38" s="100"/>
      <c r="P38" s="100"/>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101"/>
      <c r="BI38" s="102"/>
      <c r="BJ38" s="102"/>
      <c r="BL38" s="101"/>
      <c r="CD38" s="101"/>
      <c r="CF38" s="101"/>
      <c r="CH38" s="101"/>
      <c r="CI38" s="103"/>
      <c r="CJ38" s="101"/>
      <c r="CO38" s="101"/>
      <c r="CP38" s="102"/>
      <c r="CQ38" s="102"/>
      <c r="CR38" s="102"/>
      <c r="CT38" s="101"/>
      <c r="CW38" s="102"/>
      <c r="DJ38" s="102"/>
      <c r="DK38" s="102"/>
      <c r="DL38" s="102"/>
      <c r="DM38" s="102"/>
      <c r="DN38" s="102"/>
      <c r="DO38" s="102"/>
      <c r="DP38" s="102"/>
      <c r="DQ38" s="102"/>
    </row>
    <row r="39" spans="1:143" s="104" customFormat="1">
      <c r="A39" s="194"/>
      <c r="B39" s="195"/>
      <c r="C39" s="199">
        <f t="shared" si="0"/>
        <v>0</v>
      </c>
      <c r="D39" s="199">
        <f t="shared" si="1"/>
        <v>0</v>
      </c>
      <c r="E39" s="94" t="str">
        <f t="shared" ca="1" si="2"/>
        <v>19000100155941</v>
      </c>
      <c r="F39" s="94" t="str">
        <f>IFERROR(""&amp;(MID(BG39,1,MIN(FIND({"("},BG39,1)-1)))&amp;"货样","")</f>
        <v/>
      </c>
      <c r="G39" s="95" t="str">
        <f>IF(K39&lt;&gt;"",IFERROR(VLOOKUP(LEFT(K39,7),航次参数!$A$1:$J$20,1,FALSE),"车牌错误"),"")</f>
        <v/>
      </c>
      <c r="H39" s="96"/>
      <c r="I39" s="97"/>
      <c r="J39" s="97"/>
      <c r="K39" s="98"/>
      <c r="L39" s="99"/>
      <c r="M39" s="98"/>
      <c r="N39" s="98"/>
      <c r="O39" s="100"/>
      <c r="P39" s="100"/>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c r="BD39" s="98"/>
      <c r="BE39" s="98"/>
      <c r="BF39" s="98"/>
      <c r="BG39" s="98"/>
      <c r="BH39" s="101"/>
      <c r="BI39" s="102"/>
      <c r="BJ39" s="102"/>
      <c r="BK39" s="96"/>
      <c r="BL39" s="101"/>
      <c r="BM39" s="96"/>
      <c r="BN39" s="96"/>
      <c r="BO39" s="96"/>
      <c r="BP39" s="96"/>
      <c r="BQ39" s="96"/>
      <c r="BR39" s="96"/>
      <c r="BS39" s="96"/>
      <c r="BT39" s="96"/>
      <c r="BU39" s="96"/>
      <c r="BV39" s="96"/>
      <c r="BW39" s="96"/>
      <c r="BX39" s="96"/>
      <c r="BY39" s="96"/>
      <c r="BZ39" s="96"/>
      <c r="CA39" s="96"/>
      <c r="CB39" s="96"/>
      <c r="CC39" s="96"/>
      <c r="CD39" s="101"/>
      <c r="CE39" s="96"/>
      <c r="CF39" s="101"/>
      <c r="CG39" s="96"/>
      <c r="CH39" s="101"/>
      <c r="CI39" s="103"/>
      <c r="CJ39" s="101"/>
      <c r="CK39" s="96"/>
      <c r="CL39" s="96"/>
      <c r="CM39" s="96"/>
      <c r="CN39" s="96"/>
      <c r="CO39" s="101"/>
      <c r="CP39" s="102"/>
      <c r="CQ39" s="102"/>
      <c r="CR39" s="102"/>
      <c r="CS39" s="96"/>
      <c r="CT39" s="101"/>
      <c r="CU39" s="96"/>
      <c r="CV39" s="96"/>
      <c r="CW39" s="102"/>
      <c r="CX39" s="96"/>
      <c r="CY39" s="96"/>
      <c r="CZ39" s="96"/>
      <c r="DA39" s="96"/>
      <c r="DB39" s="96"/>
      <c r="DC39" s="96"/>
      <c r="DD39" s="96"/>
      <c r="DE39" s="96"/>
      <c r="DF39" s="96"/>
      <c r="DG39" s="96"/>
      <c r="DH39" s="96"/>
      <c r="DI39" s="96"/>
      <c r="DJ39" s="102"/>
      <c r="DK39" s="102"/>
      <c r="DL39" s="102"/>
      <c r="DM39" s="102"/>
      <c r="DN39" s="102"/>
      <c r="DO39" s="102"/>
      <c r="DP39" s="102"/>
      <c r="DQ39" s="102"/>
      <c r="DR39" s="96"/>
      <c r="DS39" s="96"/>
      <c r="DT39" s="96"/>
      <c r="DU39" s="96"/>
      <c r="DV39" s="96"/>
      <c r="DW39" s="96"/>
      <c r="DX39" s="96"/>
      <c r="DY39" s="96"/>
      <c r="DZ39" s="96"/>
      <c r="EA39" s="96"/>
      <c r="EB39" s="96"/>
      <c r="EC39" s="96"/>
      <c r="ED39" s="96"/>
      <c r="EE39" s="96"/>
      <c r="EF39" s="96"/>
      <c r="EG39" s="96"/>
      <c r="EH39" s="96"/>
      <c r="EI39" s="96"/>
      <c r="EJ39" s="96"/>
      <c r="EM39" s="96"/>
    </row>
    <row r="40" spans="1:143" s="96" customFormat="1">
      <c r="A40" s="194"/>
      <c r="B40" s="195"/>
      <c r="C40" s="199">
        <f t="shared" si="0"/>
        <v>0</v>
      </c>
      <c r="D40" s="199">
        <f t="shared" si="1"/>
        <v>0</v>
      </c>
      <c r="E40" s="94" t="str">
        <f t="shared" ca="1" si="2"/>
        <v>19000100155941</v>
      </c>
      <c r="F40" s="94" t="str">
        <f>IFERROR(""&amp;(MID(BG40,1,MIN(FIND({"("},BG40,1)-1)))&amp;"货样","")</f>
        <v/>
      </c>
      <c r="G40" s="95" t="str">
        <f>IF(K40&lt;&gt;"",IFERROR(VLOOKUP(LEFT(K40,7),航次参数!$A$1:$J$20,1,FALSE),"车牌错误"),"")</f>
        <v/>
      </c>
      <c r="I40" s="97"/>
      <c r="J40" s="97"/>
      <c r="K40" s="98"/>
      <c r="L40" s="99"/>
      <c r="M40" s="98"/>
      <c r="N40" s="98"/>
      <c r="O40" s="100"/>
      <c r="P40" s="100"/>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101"/>
      <c r="BI40" s="102"/>
      <c r="BJ40" s="102"/>
      <c r="BL40" s="101"/>
      <c r="CD40" s="101"/>
      <c r="CF40" s="101"/>
      <c r="CH40" s="101"/>
      <c r="CI40" s="103"/>
      <c r="CJ40" s="101"/>
      <c r="CO40" s="101"/>
      <c r="CP40" s="102"/>
      <c r="CQ40" s="102"/>
      <c r="CR40" s="102"/>
      <c r="CT40" s="101"/>
      <c r="CW40" s="102"/>
      <c r="DJ40" s="102"/>
      <c r="DK40" s="102"/>
      <c r="DL40" s="102"/>
      <c r="DM40" s="102"/>
      <c r="DN40" s="102"/>
      <c r="DO40" s="102"/>
      <c r="DP40" s="102"/>
      <c r="DQ40" s="102"/>
    </row>
    <row r="41" spans="1:143" s="104" customFormat="1">
      <c r="A41" s="194"/>
      <c r="B41" s="195"/>
      <c r="C41" s="199">
        <f t="shared" si="0"/>
        <v>0</v>
      </c>
      <c r="D41" s="199">
        <f t="shared" si="1"/>
        <v>0</v>
      </c>
      <c r="E41" s="94" t="str">
        <f t="shared" ca="1" si="2"/>
        <v>19000100155941</v>
      </c>
      <c r="F41" s="94" t="str">
        <f>IFERROR(""&amp;(MID(BG41,1,MIN(FIND({"("},BG41,1)-1)))&amp;"货样","")</f>
        <v/>
      </c>
      <c r="G41" s="95" t="str">
        <f>IF(K41&lt;&gt;"",IFERROR(VLOOKUP(LEFT(K41,7),航次参数!$A$1:$J$20,1,FALSE),"车牌错误"),"")</f>
        <v/>
      </c>
      <c r="H41" s="96"/>
      <c r="I41" s="97"/>
      <c r="J41" s="97"/>
      <c r="K41" s="98"/>
      <c r="L41" s="99"/>
      <c r="M41" s="98"/>
      <c r="N41" s="98"/>
      <c r="O41" s="100"/>
      <c r="P41" s="100"/>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101"/>
      <c r="BI41" s="102"/>
      <c r="BJ41" s="102"/>
      <c r="BK41" s="96"/>
      <c r="BL41" s="101"/>
      <c r="BM41" s="96"/>
      <c r="BN41" s="96"/>
      <c r="BO41" s="96"/>
      <c r="BP41" s="96"/>
      <c r="BQ41" s="96"/>
      <c r="BR41" s="96"/>
      <c r="BS41" s="96"/>
      <c r="BT41" s="96"/>
      <c r="BU41" s="96"/>
      <c r="BV41" s="96"/>
      <c r="BW41" s="96"/>
      <c r="BX41" s="96"/>
      <c r="BY41" s="96"/>
      <c r="BZ41" s="96"/>
      <c r="CA41" s="96"/>
      <c r="CB41" s="96"/>
      <c r="CC41" s="96"/>
      <c r="CD41" s="101"/>
      <c r="CE41" s="96"/>
      <c r="CF41" s="101"/>
      <c r="CG41" s="96"/>
      <c r="CH41" s="101"/>
      <c r="CI41" s="103"/>
      <c r="CJ41" s="101"/>
      <c r="CK41" s="96"/>
      <c r="CL41" s="96"/>
      <c r="CM41" s="96"/>
      <c r="CN41" s="96"/>
      <c r="CO41" s="101"/>
      <c r="CP41" s="102"/>
      <c r="CQ41" s="102"/>
      <c r="CR41" s="102"/>
      <c r="CS41" s="96"/>
      <c r="CT41" s="101"/>
      <c r="CU41" s="96"/>
      <c r="CV41" s="96"/>
      <c r="CW41" s="102"/>
      <c r="CX41" s="96"/>
      <c r="CY41" s="96"/>
      <c r="CZ41" s="96"/>
      <c r="DA41" s="96"/>
      <c r="DB41" s="96"/>
      <c r="DC41" s="96"/>
      <c r="DD41" s="96"/>
      <c r="DE41" s="96"/>
      <c r="DF41" s="96"/>
      <c r="DG41" s="96"/>
      <c r="DH41" s="96"/>
      <c r="DI41" s="96"/>
      <c r="DJ41" s="102"/>
      <c r="DK41" s="102"/>
      <c r="DL41" s="102"/>
      <c r="DM41" s="102"/>
      <c r="DN41" s="102"/>
      <c r="DO41" s="102"/>
      <c r="DP41" s="102"/>
      <c r="DQ41" s="102"/>
      <c r="DR41" s="96"/>
      <c r="DS41" s="96"/>
      <c r="DT41" s="96"/>
      <c r="DU41" s="96"/>
      <c r="DV41" s="96"/>
      <c r="DW41" s="96"/>
      <c r="DX41" s="96"/>
      <c r="DY41" s="96"/>
      <c r="DZ41" s="96"/>
      <c r="EA41" s="96"/>
      <c r="EB41" s="96"/>
      <c r="EC41" s="96"/>
      <c r="ED41" s="96"/>
      <c r="EE41" s="96"/>
      <c r="EF41" s="96"/>
      <c r="EG41" s="96"/>
      <c r="EH41" s="96"/>
      <c r="EI41" s="96"/>
      <c r="EJ41" s="96"/>
      <c r="EM41" s="96"/>
    </row>
    <row r="42" spans="1:143" s="96" customFormat="1">
      <c r="A42" s="194"/>
      <c r="B42" s="195"/>
      <c r="C42" s="199">
        <f t="shared" si="0"/>
        <v>0</v>
      </c>
      <c r="D42" s="199">
        <f t="shared" si="1"/>
        <v>0</v>
      </c>
      <c r="E42" s="94" t="str">
        <f t="shared" ca="1" si="2"/>
        <v>19000100155941</v>
      </c>
      <c r="F42" s="94" t="str">
        <f>IFERROR(""&amp;(MID(BG42,1,MIN(FIND({"("},BG42,1)-1)))&amp;"货样","")</f>
        <v/>
      </c>
      <c r="G42" s="95" t="str">
        <f>IF(K42&lt;&gt;"",IFERROR(VLOOKUP(LEFT(K42,7),航次参数!$A$1:$J$20,1,FALSE),"车牌错误"),"")</f>
        <v/>
      </c>
      <c r="I42" s="97"/>
      <c r="J42" s="97"/>
      <c r="K42" s="98"/>
      <c r="L42" s="99"/>
      <c r="M42" s="98"/>
      <c r="N42" s="98"/>
      <c r="O42" s="100"/>
      <c r="P42" s="100"/>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101"/>
      <c r="BI42" s="102"/>
      <c r="BJ42" s="102"/>
      <c r="BL42" s="101"/>
      <c r="CD42" s="101"/>
      <c r="CF42" s="101"/>
      <c r="CH42" s="101"/>
      <c r="CI42" s="103"/>
      <c r="CJ42" s="101"/>
      <c r="CO42" s="101"/>
      <c r="CP42" s="102"/>
      <c r="CQ42" s="102"/>
      <c r="CR42" s="102"/>
      <c r="CT42" s="101"/>
      <c r="CW42" s="102"/>
      <c r="DJ42" s="102"/>
      <c r="DK42" s="102"/>
      <c r="DL42" s="102"/>
      <c r="DM42" s="102"/>
      <c r="DN42" s="102"/>
      <c r="DO42" s="102"/>
      <c r="DP42" s="102"/>
      <c r="DQ42" s="102"/>
    </row>
    <row r="43" spans="1:143" s="104" customFormat="1">
      <c r="A43" s="194"/>
      <c r="B43" s="195"/>
      <c r="C43" s="199">
        <f t="shared" si="0"/>
        <v>0</v>
      </c>
      <c r="D43" s="199">
        <f t="shared" si="1"/>
        <v>0</v>
      </c>
      <c r="E43" s="94" t="str">
        <f t="shared" ca="1" si="2"/>
        <v>19000100155941</v>
      </c>
      <c r="F43" s="94" t="str">
        <f>IFERROR(""&amp;(MID(BG43,1,MIN(FIND({"("},BG43,1)-1)))&amp;"货样","")</f>
        <v/>
      </c>
      <c r="G43" s="95" t="str">
        <f>IF(K43&lt;&gt;"",IFERROR(VLOOKUP(LEFT(K43,7),航次参数!$A$1:$J$20,1,FALSE),"车牌错误"),"")</f>
        <v/>
      </c>
      <c r="H43" s="96"/>
      <c r="I43" s="97"/>
      <c r="J43" s="97"/>
      <c r="K43" s="98"/>
      <c r="L43" s="99"/>
      <c r="M43" s="98"/>
      <c r="N43" s="98"/>
      <c r="O43" s="100"/>
      <c r="P43" s="100"/>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101"/>
      <c r="BI43" s="102"/>
      <c r="BJ43" s="102"/>
      <c r="BK43" s="96"/>
      <c r="BL43" s="101"/>
      <c r="BM43" s="96"/>
      <c r="BN43" s="96"/>
      <c r="BO43" s="96"/>
      <c r="BP43" s="96"/>
      <c r="BQ43" s="96"/>
      <c r="BR43" s="96"/>
      <c r="BS43" s="96"/>
      <c r="BT43" s="96"/>
      <c r="BU43" s="96"/>
      <c r="BV43" s="96"/>
      <c r="BW43" s="96"/>
      <c r="BX43" s="96"/>
      <c r="BY43" s="96"/>
      <c r="BZ43" s="96"/>
      <c r="CA43" s="96"/>
      <c r="CB43" s="96"/>
      <c r="CC43" s="96"/>
      <c r="CD43" s="101"/>
      <c r="CE43" s="96"/>
      <c r="CF43" s="101"/>
      <c r="CG43" s="96"/>
      <c r="CH43" s="101"/>
      <c r="CI43" s="103"/>
      <c r="CJ43" s="101"/>
      <c r="CK43" s="96"/>
      <c r="CL43" s="96"/>
      <c r="CM43" s="96"/>
      <c r="CN43" s="96"/>
      <c r="CO43" s="101"/>
      <c r="CP43" s="102"/>
      <c r="CQ43" s="102"/>
      <c r="CR43" s="102"/>
      <c r="CS43" s="96"/>
      <c r="CT43" s="101"/>
      <c r="CU43" s="96"/>
      <c r="CV43" s="96"/>
      <c r="CW43" s="102"/>
      <c r="CX43" s="96"/>
      <c r="CY43" s="96"/>
      <c r="CZ43" s="96"/>
      <c r="DA43" s="96"/>
      <c r="DB43" s="96"/>
      <c r="DC43" s="96"/>
      <c r="DD43" s="96"/>
      <c r="DE43" s="96"/>
      <c r="DF43" s="96"/>
      <c r="DG43" s="96"/>
      <c r="DH43" s="96"/>
      <c r="DI43" s="96"/>
      <c r="DJ43" s="102"/>
      <c r="DK43" s="102"/>
      <c r="DL43" s="102"/>
      <c r="DM43" s="102"/>
      <c r="DN43" s="102"/>
      <c r="DO43" s="102"/>
      <c r="DP43" s="102"/>
      <c r="DQ43" s="102"/>
      <c r="DR43" s="96"/>
      <c r="DS43" s="96"/>
      <c r="DT43" s="96"/>
      <c r="DU43" s="96"/>
      <c r="DV43" s="96"/>
      <c r="DW43" s="96"/>
      <c r="DX43" s="96"/>
      <c r="DY43" s="96"/>
      <c r="DZ43" s="96"/>
      <c r="EA43" s="96"/>
      <c r="EB43" s="96"/>
      <c r="EC43" s="96"/>
      <c r="ED43" s="96"/>
      <c r="EE43" s="96"/>
      <c r="EF43" s="96"/>
      <c r="EG43" s="96"/>
      <c r="EH43" s="96"/>
      <c r="EI43" s="96"/>
      <c r="EJ43" s="96"/>
      <c r="EM43" s="96"/>
    </row>
    <row r="44" spans="1:143" s="96" customFormat="1">
      <c r="A44" s="194"/>
      <c r="B44" s="195"/>
      <c r="C44" s="199">
        <f t="shared" si="0"/>
        <v>0</v>
      </c>
      <c r="D44" s="199">
        <f t="shared" si="1"/>
        <v>0</v>
      </c>
      <c r="E44" s="94" t="str">
        <f t="shared" ca="1" si="2"/>
        <v>19000100155941</v>
      </c>
      <c r="F44" s="94" t="str">
        <f>IFERROR(""&amp;(MID(BG44,1,MIN(FIND({"("},BG44,1)-1)))&amp;"货样","")</f>
        <v/>
      </c>
      <c r="G44" s="95" t="str">
        <f>IF(K44&lt;&gt;"",IFERROR(VLOOKUP(LEFT(K44,7),航次参数!$A$1:$J$20,1,FALSE),"车牌错误"),"")</f>
        <v/>
      </c>
      <c r="I44" s="97"/>
      <c r="J44" s="97"/>
      <c r="K44" s="98"/>
      <c r="L44" s="99"/>
      <c r="M44" s="98"/>
      <c r="N44" s="98"/>
      <c r="O44" s="100"/>
      <c r="P44" s="100"/>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101"/>
      <c r="BI44" s="102"/>
      <c r="BJ44" s="102"/>
      <c r="BL44" s="101"/>
      <c r="CD44" s="101"/>
      <c r="CF44" s="101"/>
      <c r="CH44" s="101"/>
      <c r="CI44" s="103"/>
      <c r="CJ44" s="101"/>
      <c r="CO44" s="101"/>
      <c r="CP44" s="102"/>
      <c r="CQ44" s="102"/>
      <c r="CR44" s="102"/>
      <c r="CT44" s="101"/>
      <c r="CW44" s="102"/>
      <c r="DJ44" s="102"/>
      <c r="DK44" s="102"/>
      <c r="DL44" s="102"/>
      <c r="DM44" s="102"/>
      <c r="DN44" s="102"/>
      <c r="DO44" s="102"/>
      <c r="DP44" s="102"/>
      <c r="DQ44" s="102"/>
    </row>
    <row r="45" spans="1:143" s="104" customFormat="1">
      <c r="A45" s="194"/>
      <c r="B45" s="195"/>
      <c r="C45" s="199">
        <f t="shared" si="0"/>
        <v>0</v>
      </c>
      <c r="D45" s="199">
        <f t="shared" si="1"/>
        <v>0</v>
      </c>
      <c r="E45" s="94" t="str">
        <f t="shared" ca="1" si="2"/>
        <v>19000100155941</v>
      </c>
      <c r="F45" s="94" t="str">
        <f>IFERROR(""&amp;(MID(BG45,1,MIN(FIND({"("},BG45,1)-1)))&amp;"货样","")</f>
        <v/>
      </c>
      <c r="G45" s="95" t="str">
        <f>IF(K45&lt;&gt;"",IFERROR(VLOOKUP(LEFT(K45,7),航次参数!$A$1:$J$20,1,FALSE),"车牌错误"),"")</f>
        <v/>
      </c>
      <c r="H45" s="96"/>
      <c r="I45" s="97"/>
      <c r="J45" s="97"/>
      <c r="K45" s="98"/>
      <c r="L45" s="99"/>
      <c r="M45" s="98"/>
      <c r="N45" s="98"/>
      <c r="O45" s="100"/>
      <c r="P45" s="100"/>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101"/>
      <c r="BI45" s="102"/>
      <c r="BJ45" s="102"/>
      <c r="BK45" s="96"/>
      <c r="BL45" s="101"/>
      <c r="BM45" s="96"/>
      <c r="BN45" s="96"/>
      <c r="BO45" s="96"/>
      <c r="BP45" s="96"/>
      <c r="BQ45" s="96"/>
      <c r="BR45" s="96"/>
      <c r="BS45" s="96"/>
      <c r="BT45" s="96"/>
      <c r="BU45" s="96"/>
      <c r="BV45" s="96"/>
      <c r="BW45" s="96"/>
      <c r="BX45" s="96"/>
      <c r="BY45" s="96"/>
      <c r="BZ45" s="96"/>
      <c r="CA45" s="96"/>
      <c r="CB45" s="96"/>
      <c r="CC45" s="96"/>
      <c r="CD45" s="101"/>
      <c r="CE45" s="96"/>
      <c r="CF45" s="101"/>
      <c r="CG45" s="96"/>
      <c r="CH45" s="101"/>
      <c r="CI45" s="103"/>
      <c r="CJ45" s="101"/>
      <c r="CK45" s="96"/>
      <c r="CL45" s="96"/>
      <c r="CM45" s="96"/>
      <c r="CN45" s="96"/>
      <c r="CO45" s="101"/>
      <c r="CP45" s="102"/>
      <c r="CQ45" s="102"/>
      <c r="CR45" s="102"/>
      <c r="CS45" s="96"/>
      <c r="CT45" s="101"/>
      <c r="CU45" s="96"/>
      <c r="CV45" s="96"/>
      <c r="CW45" s="102"/>
      <c r="CX45" s="96"/>
      <c r="CY45" s="96"/>
      <c r="CZ45" s="96"/>
      <c r="DA45" s="96"/>
      <c r="DB45" s="96"/>
      <c r="DC45" s="96"/>
      <c r="DD45" s="96"/>
      <c r="DE45" s="96"/>
      <c r="DF45" s="96"/>
      <c r="DG45" s="96"/>
      <c r="DH45" s="96"/>
      <c r="DI45" s="96"/>
      <c r="DJ45" s="102"/>
      <c r="DK45" s="102"/>
      <c r="DL45" s="102"/>
      <c r="DM45" s="102"/>
      <c r="DN45" s="102"/>
      <c r="DO45" s="102"/>
      <c r="DP45" s="102"/>
      <c r="DQ45" s="102"/>
      <c r="DR45" s="96"/>
      <c r="DS45" s="96"/>
      <c r="DT45" s="96"/>
      <c r="DU45" s="96"/>
      <c r="DV45" s="96"/>
      <c r="DW45" s="96"/>
      <c r="DX45" s="96"/>
      <c r="DY45" s="96"/>
      <c r="DZ45" s="96"/>
      <c r="EA45" s="96"/>
      <c r="EB45" s="96"/>
      <c r="EC45" s="96"/>
      <c r="ED45" s="96"/>
      <c r="EE45" s="96"/>
      <c r="EF45" s="96"/>
      <c r="EG45" s="96"/>
      <c r="EH45" s="96"/>
      <c r="EI45" s="96"/>
      <c r="EJ45" s="96"/>
      <c r="EM45" s="96"/>
    </row>
    <row r="46" spans="1:143" s="96" customFormat="1">
      <c r="A46" s="194"/>
      <c r="B46" s="195"/>
      <c r="C46" s="199">
        <f t="shared" si="0"/>
        <v>0</v>
      </c>
      <c r="D46" s="199">
        <f t="shared" si="1"/>
        <v>0</v>
      </c>
      <c r="E46" s="94" t="str">
        <f t="shared" ca="1" si="2"/>
        <v>19000100155941</v>
      </c>
      <c r="F46" s="94" t="str">
        <f>IFERROR(""&amp;(MID(BG46,1,MIN(FIND({"("},BG46,1)-1)))&amp;"货样","")</f>
        <v/>
      </c>
      <c r="G46" s="95" t="str">
        <f>IF(K46&lt;&gt;"",IFERROR(VLOOKUP(LEFT(K46,7),航次参数!$A$1:$J$20,1,FALSE),"车牌错误"),"")</f>
        <v/>
      </c>
      <c r="I46" s="97"/>
      <c r="J46" s="97"/>
      <c r="K46" s="98"/>
      <c r="L46" s="99"/>
      <c r="M46" s="98"/>
      <c r="N46" s="98"/>
      <c r="O46" s="100"/>
      <c r="P46" s="100"/>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101"/>
      <c r="BI46" s="102"/>
      <c r="BJ46" s="102"/>
      <c r="BL46" s="101"/>
      <c r="CD46" s="101"/>
      <c r="CF46" s="101"/>
      <c r="CH46" s="101"/>
      <c r="CI46" s="103"/>
      <c r="CJ46" s="101"/>
      <c r="CO46" s="101"/>
      <c r="CP46" s="102"/>
      <c r="CQ46" s="102"/>
      <c r="CR46" s="102"/>
      <c r="CT46" s="101"/>
      <c r="CW46" s="102"/>
      <c r="DJ46" s="102"/>
      <c r="DK46" s="102"/>
      <c r="DL46" s="102"/>
      <c r="DM46" s="102"/>
      <c r="DN46" s="102"/>
      <c r="DO46" s="102"/>
      <c r="DP46" s="102"/>
      <c r="DQ46" s="102"/>
    </row>
    <row r="47" spans="1:143" s="104" customFormat="1">
      <c r="A47" s="194"/>
      <c r="B47" s="195"/>
      <c r="C47" s="199">
        <f t="shared" si="0"/>
        <v>0</v>
      </c>
      <c r="D47" s="199">
        <f t="shared" si="1"/>
        <v>0</v>
      </c>
      <c r="E47" s="94" t="str">
        <f t="shared" ca="1" si="2"/>
        <v>19000100155941</v>
      </c>
      <c r="F47" s="94" t="str">
        <f>IFERROR(""&amp;(MID(BG47,1,MIN(FIND({"("},BG47,1)-1)))&amp;"货样","")</f>
        <v/>
      </c>
      <c r="G47" s="95" t="str">
        <f>IF(K47&lt;&gt;"",IFERROR(VLOOKUP(LEFT(K47,7),航次参数!$A$1:$J$20,1,FALSE),"车牌错误"),"")</f>
        <v/>
      </c>
      <c r="H47" s="96"/>
      <c r="I47" s="97"/>
      <c r="J47" s="97"/>
      <c r="K47" s="98"/>
      <c r="L47" s="99"/>
      <c r="M47" s="98"/>
      <c r="N47" s="98"/>
      <c r="O47" s="100"/>
      <c r="P47" s="100"/>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101"/>
      <c r="BI47" s="102"/>
      <c r="BJ47" s="102"/>
      <c r="BK47" s="96"/>
      <c r="BL47" s="101"/>
      <c r="BM47" s="96"/>
      <c r="BN47" s="96"/>
      <c r="BO47" s="96"/>
      <c r="BP47" s="96"/>
      <c r="BQ47" s="96"/>
      <c r="BR47" s="96"/>
      <c r="BS47" s="96"/>
      <c r="BT47" s="96"/>
      <c r="BU47" s="96"/>
      <c r="BV47" s="96"/>
      <c r="BW47" s="96"/>
      <c r="BX47" s="96"/>
      <c r="BY47" s="96"/>
      <c r="BZ47" s="96"/>
      <c r="CA47" s="96"/>
      <c r="CB47" s="96"/>
      <c r="CC47" s="96"/>
      <c r="CD47" s="101"/>
      <c r="CE47" s="96"/>
      <c r="CF47" s="101"/>
      <c r="CG47" s="96"/>
      <c r="CH47" s="101"/>
      <c r="CI47" s="103"/>
      <c r="CJ47" s="101"/>
      <c r="CK47" s="96"/>
      <c r="CL47" s="96"/>
      <c r="CM47" s="96"/>
      <c r="CN47" s="96"/>
      <c r="CO47" s="101"/>
      <c r="CP47" s="102"/>
      <c r="CQ47" s="102"/>
      <c r="CR47" s="102"/>
      <c r="CS47" s="96"/>
      <c r="CT47" s="101"/>
      <c r="CU47" s="96"/>
      <c r="CV47" s="96"/>
      <c r="CW47" s="102"/>
      <c r="CX47" s="96"/>
      <c r="CY47" s="96"/>
      <c r="CZ47" s="96"/>
      <c r="DA47" s="96"/>
      <c r="DB47" s="96"/>
      <c r="DC47" s="96"/>
      <c r="DD47" s="96"/>
      <c r="DE47" s="96"/>
      <c r="DF47" s="96"/>
      <c r="DG47" s="96"/>
      <c r="DH47" s="96"/>
      <c r="DI47" s="96"/>
      <c r="DJ47" s="102"/>
      <c r="DK47" s="102"/>
      <c r="DL47" s="102"/>
      <c r="DM47" s="102"/>
      <c r="DN47" s="102"/>
      <c r="DO47" s="102"/>
      <c r="DP47" s="102"/>
      <c r="DQ47" s="102"/>
      <c r="DR47" s="96"/>
      <c r="DS47" s="96"/>
      <c r="DT47" s="96"/>
      <c r="DU47" s="96"/>
      <c r="DV47" s="96"/>
      <c r="DW47" s="96"/>
      <c r="DX47" s="96"/>
      <c r="DY47" s="96"/>
      <c r="DZ47" s="96"/>
      <c r="EA47" s="96"/>
      <c r="EB47" s="96"/>
      <c r="EC47" s="96"/>
      <c r="ED47" s="96"/>
      <c r="EE47" s="96"/>
      <c r="EF47" s="96"/>
      <c r="EG47" s="96"/>
      <c r="EH47" s="96"/>
      <c r="EI47" s="96"/>
      <c r="EJ47" s="96"/>
      <c r="EM47" s="96"/>
    </row>
    <row r="48" spans="1:143" s="96" customFormat="1">
      <c r="A48" s="194"/>
      <c r="B48" s="195"/>
      <c r="C48" s="199">
        <f t="shared" si="0"/>
        <v>0</v>
      </c>
      <c r="D48" s="199">
        <f t="shared" si="1"/>
        <v>0</v>
      </c>
      <c r="E48" s="94" t="str">
        <f t="shared" ca="1" si="2"/>
        <v>19000100155941</v>
      </c>
      <c r="F48" s="94" t="str">
        <f>IFERROR(""&amp;(MID(BG48,1,MIN(FIND({"("},BG48,1)-1)))&amp;"货样","")</f>
        <v/>
      </c>
      <c r="G48" s="95" t="str">
        <f>IF(K48&lt;&gt;"",IFERROR(VLOOKUP(LEFT(K48,7),航次参数!$A$1:$J$20,1,FALSE),"车牌错误"),"")</f>
        <v/>
      </c>
      <c r="I48" s="97"/>
      <c r="J48" s="97"/>
      <c r="K48" s="98"/>
      <c r="L48" s="99"/>
      <c r="M48" s="98"/>
      <c r="N48" s="98"/>
      <c r="O48" s="100"/>
      <c r="P48" s="100"/>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101"/>
      <c r="BI48" s="102"/>
      <c r="BJ48" s="102"/>
      <c r="BL48" s="101"/>
      <c r="CD48" s="101"/>
      <c r="CF48" s="101"/>
      <c r="CH48" s="101"/>
      <c r="CI48" s="103"/>
      <c r="CJ48" s="101"/>
      <c r="CO48" s="101"/>
      <c r="CP48" s="102"/>
      <c r="CQ48" s="102"/>
      <c r="CR48" s="102"/>
      <c r="CT48" s="101"/>
      <c r="CW48" s="102"/>
      <c r="DJ48" s="102"/>
      <c r="DK48" s="102"/>
      <c r="DL48" s="102"/>
      <c r="DM48" s="102"/>
      <c r="DN48" s="102"/>
      <c r="DO48" s="102"/>
      <c r="DP48" s="102"/>
      <c r="DQ48" s="102"/>
    </row>
    <row r="49" spans="1:143" s="104" customFormat="1">
      <c r="A49" s="194"/>
      <c r="B49" s="195"/>
      <c r="C49" s="199">
        <f t="shared" si="0"/>
        <v>0</v>
      </c>
      <c r="D49" s="199">
        <f t="shared" si="1"/>
        <v>0</v>
      </c>
      <c r="E49" s="94" t="str">
        <f t="shared" ca="1" si="2"/>
        <v>19000100155941</v>
      </c>
      <c r="F49" s="94" t="str">
        <f>IFERROR(""&amp;(MID(BG49,1,MIN(FIND({"("},BG49,1)-1)))&amp;"货样","")</f>
        <v/>
      </c>
      <c r="G49" s="95" t="str">
        <f>IF(K49&lt;&gt;"",IFERROR(VLOOKUP(LEFT(K49,7),航次参数!$A$1:$J$20,1,FALSE),"车牌错误"),"")</f>
        <v/>
      </c>
      <c r="H49" s="96"/>
      <c r="I49" s="97"/>
      <c r="J49" s="97"/>
      <c r="K49" s="98"/>
      <c r="L49" s="99"/>
      <c r="M49" s="98"/>
      <c r="N49" s="98"/>
      <c r="O49" s="100"/>
      <c r="P49" s="100"/>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c r="BD49" s="98"/>
      <c r="BE49" s="98"/>
      <c r="BF49" s="98"/>
      <c r="BG49" s="98"/>
      <c r="BH49" s="101"/>
      <c r="BI49" s="102"/>
      <c r="BJ49" s="102"/>
      <c r="BK49" s="96"/>
      <c r="BL49" s="101"/>
      <c r="BM49" s="96"/>
      <c r="BN49" s="96"/>
      <c r="BO49" s="96"/>
      <c r="BP49" s="96"/>
      <c r="BQ49" s="96"/>
      <c r="BR49" s="96"/>
      <c r="BS49" s="96"/>
      <c r="BT49" s="96"/>
      <c r="BU49" s="96"/>
      <c r="BV49" s="96"/>
      <c r="BW49" s="96"/>
      <c r="BX49" s="96"/>
      <c r="BY49" s="96"/>
      <c r="BZ49" s="96"/>
      <c r="CA49" s="96"/>
      <c r="CB49" s="96"/>
      <c r="CC49" s="96"/>
      <c r="CD49" s="101"/>
      <c r="CE49" s="96"/>
      <c r="CF49" s="101"/>
      <c r="CG49" s="96"/>
      <c r="CH49" s="101"/>
      <c r="CI49" s="103"/>
      <c r="CJ49" s="101"/>
      <c r="CK49" s="96"/>
      <c r="CL49" s="96"/>
      <c r="CM49" s="96"/>
      <c r="CN49" s="96"/>
      <c r="CO49" s="101"/>
      <c r="CP49" s="102"/>
      <c r="CQ49" s="102"/>
      <c r="CR49" s="102"/>
      <c r="CS49" s="96"/>
      <c r="CT49" s="101"/>
      <c r="CU49" s="96"/>
      <c r="CV49" s="96"/>
      <c r="CW49" s="102"/>
      <c r="CX49" s="96"/>
      <c r="CY49" s="96"/>
      <c r="CZ49" s="96"/>
      <c r="DA49" s="96"/>
      <c r="DB49" s="96"/>
      <c r="DC49" s="96"/>
      <c r="DD49" s="96"/>
      <c r="DE49" s="96"/>
      <c r="DF49" s="96"/>
      <c r="DG49" s="96"/>
      <c r="DH49" s="96"/>
      <c r="DI49" s="96"/>
      <c r="DJ49" s="102"/>
      <c r="DK49" s="102"/>
      <c r="DL49" s="102"/>
      <c r="DM49" s="102"/>
      <c r="DN49" s="102"/>
      <c r="DO49" s="102"/>
      <c r="DP49" s="102"/>
      <c r="DQ49" s="102"/>
      <c r="DR49" s="96"/>
      <c r="DS49" s="96"/>
      <c r="DT49" s="96"/>
      <c r="DU49" s="96"/>
      <c r="DV49" s="96"/>
      <c r="DW49" s="96"/>
      <c r="DX49" s="96"/>
      <c r="DY49" s="96"/>
      <c r="DZ49" s="96"/>
      <c r="EA49" s="96"/>
      <c r="EB49" s="96"/>
      <c r="EC49" s="96"/>
      <c r="ED49" s="96"/>
      <c r="EE49" s="96"/>
      <c r="EF49" s="96"/>
      <c r="EG49" s="96"/>
      <c r="EH49" s="96"/>
      <c r="EI49" s="96"/>
      <c r="EJ49" s="96"/>
      <c r="EM49" s="96"/>
    </row>
    <row r="50" spans="1:143" s="96" customFormat="1">
      <c r="A50" s="194"/>
      <c r="B50" s="195"/>
      <c r="C50" s="199">
        <f t="shared" si="0"/>
        <v>0</v>
      </c>
      <c r="D50" s="199">
        <f t="shared" si="1"/>
        <v>0</v>
      </c>
      <c r="E50" s="94" t="str">
        <f t="shared" ca="1" si="2"/>
        <v>19000100155941</v>
      </c>
      <c r="F50" s="94" t="str">
        <f>IFERROR(""&amp;(MID(BG50,1,MIN(FIND({"("},BG50,1)-1)))&amp;"货样","")</f>
        <v/>
      </c>
      <c r="G50" s="95" t="str">
        <f>IF(K50&lt;&gt;"",IFERROR(VLOOKUP(LEFT(K50,7),航次参数!$A$1:$J$20,1,FALSE),"车牌错误"),"")</f>
        <v/>
      </c>
      <c r="I50" s="97"/>
      <c r="J50" s="97"/>
      <c r="K50" s="98"/>
      <c r="L50" s="99"/>
      <c r="M50" s="98"/>
      <c r="N50" s="98"/>
      <c r="O50" s="100"/>
      <c r="P50" s="100"/>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c r="BD50" s="98"/>
      <c r="BE50" s="98"/>
      <c r="BF50" s="98"/>
      <c r="BG50" s="98"/>
      <c r="BH50" s="101"/>
      <c r="BI50" s="102"/>
      <c r="BJ50" s="102"/>
      <c r="BL50" s="101"/>
      <c r="CD50" s="101"/>
      <c r="CF50" s="101"/>
      <c r="CH50" s="101"/>
      <c r="CI50" s="103"/>
      <c r="CJ50" s="101"/>
      <c r="CO50" s="101"/>
      <c r="CP50" s="102"/>
      <c r="CQ50" s="102"/>
      <c r="CR50" s="102"/>
      <c r="CT50" s="101"/>
      <c r="CW50" s="102"/>
      <c r="DJ50" s="102"/>
      <c r="DK50" s="102"/>
      <c r="DL50" s="102"/>
      <c r="DM50" s="102"/>
      <c r="DN50" s="102"/>
      <c r="DO50" s="102"/>
      <c r="DP50" s="102"/>
      <c r="DQ50" s="102"/>
    </row>
    <row r="51" spans="1:143" s="104" customFormat="1">
      <c r="A51" s="194"/>
      <c r="B51" s="195"/>
      <c r="C51" s="199">
        <f t="shared" si="0"/>
        <v>0</v>
      </c>
      <c r="D51" s="199">
        <f t="shared" si="1"/>
        <v>0</v>
      </c>
      <c r="E51" s="94" t="str">
        <f t="shared" ca="1" si="2"/>
        <v>19000100155941</v>
      </c>
      <c r="F51" s="94" t="str">
        <f>IFERROR(""&amp;(MID(BG51,1,MIN(FIND({"("},BG51,1)-1)))&amp;"货样","")</f>
        <v/>
      </c>
      <c r="G51" s="95" t="str">
        <f>IF(K51&lt;&gt;"",IFERROR(VLOOKUP(LEFT(K51,7),航次参数!$A$1:$J$20,1,FALSE),"车牌错误"),"")</f>
        <v/>
      </c>
      <c r="H51" s="96"/>
      <c r="I51" s="97"/>
      <c r="J51" s="97"/>
      <c r="K51" s="98"/>
      <c r="L51" s="99"/>
      <c r="M51" s="98"/>
      <c r="N51" s="98"/>
      <c r="O51" s="100"/>
      <c r="P51" s="100"/>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c r="BD51" s="98"/>
      <c r="BE51" s="98"/>
      <c r="BF51" s="98"/>
      <c r="BG51" s="98"/>
      <c r="BH51" s="101"/>
      <c r="BI51" s="102"/>
      <c r="BJ51" s="102"/>
      <c r="BK51" s="96"/>
      <c r="BL51" s="101"/>
      <c r="BM51" s="96"/>
      <c r="BN51" s="96"/>
      <c r="BO51" s="96"/>
      <c r="BP51" s="96"/>
      <c r="BQ51" s="96"/>
      <c r="BR51" s="96"/>
      <c r="BS51" s="96"/>
      <c r="BT51" s="96"/>
      <c r="BU51" s="96"/>
      <c r="BV51" s="96"/>
      <c r="BW51" s="96"/>
      <c r="BX51" s="96"/>
      <c r="BY51" s="96"/>
      <c r="BZ51" s="96"/>
      <c r="CA51" s="96"/>
      <c r="CB51" s="96"/>
      <c r="CC51" s="96"/>
      <c r="CD51" s="101"/>
      <c r="CE51" s="96"/>
      <c r="CF51" s="101"/>
      <c r="CG51" s="96"/>
      <c r="CH51" s="101"/>
      <c r="CI51" s="103"/>
      <c r="CJ51" s="101"/>
      <c r="CK51" s="96"/>
      <c r="CL51" s="96"/>
      <c r="CM51" s="96"/>
      <c r="CN51" s="96"/>
      <c r="CO51" s="101"/>
      <c r="CP51" s="102"/>
      <c r="CQ51" s="102"/>
      <c r="CR51" s="102"/>
      <c r="CS51" s="96"/>
      <c r="CT51" s="101"/>
      <c r="CU51" s="96"/>
      <c r="CV51" s="96"/>
      <c r="CW51" s="102"/>
      <c r="CX51" s="96"/>
      <c r="CY51" s="96"/>
      <c r="CZ51" s="96"/>
      <c r="DA51" s="96"/>
      <c r="DB51" s="96"/>
      <c r="DC51" s="96"/>
      <c r="DD51" s="96"/>
      <c r="DE51" s="96"/>
      <c r="DF51" s="96"/>
      <c r="DG51" s="96"/>
      <c r="DH51" s="96"/>
      <c r="DI51" s="96"/>
      <c r="DJ51" s="102"/>
      <c r="DK51" s="102"/>
      <c r="DL51" s="102"/>
      <c r="DM51" s="102"/>
      <c r="DN51" s="102"/>
      <c r="DO51" s="102"/>
      <c r="DP51" s="102"/>
      <c r="DQ51" s="102"/>
      <c r="DR51" s="96"/>
      <c r="DS51" s="96"/>
      <c r="DT51" s="96"/>
      <c r="DU51" s="96"/>
      <c r="DV51" s="96"/>
      <c r="DW51" s="96"/>
      <c r="DX51" s="96"/>
      <c r="DY51" s="96"/>
      <c r="DZ51" s="96"/>
      <c r="EA51" s="96"/>
      <c r="EB51" s="96"/>
      <c r="EC51" s="96"/>
      <c r="ED51" s="96"/>
      <c r="EE51" s="96"/>
      <c r="EF51" s="96"/>
      <c r="EG51" s="96"/>
      <c r="EH51" s="96"/>
      <c r="EI51" s="96"/>
      <c r="EJ51" s="96"/>
      <c r="EM51" s="96"/>
    </row>
    <row r="52" spans="1:143" s="96" customFormat="1">
      <c r="A52" s="194"/>
      <c r="B52" s="195"/>
      <c r="C52" s="199">
        <f t="shared" si="0"/>
        <v>0</v>
      </c>
      <c r="D52" s="199">
        <f t="shared" si="1"/>
        <v>0</v>
      </c>
      <c r="E52" s="94" t="str">
        <f t="shared" ca="1" si="2"/>
        <v>19000100155941</v>
      </c>
      <c r="F52" s="94" t="str">
        <f>IFERROR(""&amp;(MID(BG52,1,MIN(FIND({"("},BG52,1)-1)))&amp;"货样","")</f>
        <v/>
      </c>
      <c r="G52" s="95" t="str">
        <f>IF(K52&lt;&gt;"",IFERROR(VLOOKUP(LEFT(K52,7),航次参数!$A$1:$J$20,1,FALSE),"车牌错误"),"")</f>
        <v/>
      </c>
      <c r="I52" s="97"/>
      <c r="J52" s="97"/>
      <c r="K52" s="98"/>
      <c r="L52" s="99"/>
      <c r="M52" s="98"/>
      <c r="N52" s="98"/>
      <c r="O52" s="100"/>
      <c r="P52" s="100"/>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c r="BD52" s="98"/>
      <c r="BE52" s="98"/>
      <c r="BF52" s="98"/>
      <c r="BG52" s="98"/>
      <c r="BH52" s="101"/>
      <c r="BI52" s="102"/>
      <c r="BJ52" s="102"/>
      <c r="BL52" s="101"/>
      <c r="CD52" s="101"/>
      <c r="CF52" s="101"/>
      <c r="CH52" s="101"/>
      <c r="CI52" s="103"/>
      <c r="CJ52" s="101"/>
      <c r="CO52" s="101"/>
      <c r="CP52" s="102"/>
      <c r="CQ52" s="102"/>
      <c r="CR52" s="102"/>
      <c r="CT52" s="101"/>
      <c r="CW52" s="102"/>
      <c r="DJ52" s="102"/>
      <c r="DK52" s="102"/>
      <c r="DL52" s="102"/>
      <c r="DM52" s="102"/>
      <c r="DN52" s="102"/>
      <c r="DO52" s="102"/>
      <c r="DP52" s="102"/>
      <c r="DQ52" s="102"/>
    </row>
    <row r="53" spans="1:143" s="104" customFormat="1">
      <c r="A53" s="194"/>
      <c r="B53" s="195"/>
      <c r="C53" s="199">
        <f t="shared" si="0"/>
        <v>0</v>
      </c>
      <c r="D53" s="199">
        <f t="shared" si="1"/>
        <v>0</v>
      </c>
      <c r="E53" s="94" t="str">
        <f t="shared" ca="1" si="2"/>
        <v>19000100155941</v>
      </c>
      <c r="F53" s="94" t="str">
        <f>IFERROR(""&amp;(MID(BG53,1,MIN(FIND({"("},BG53,1)-1)))&amp;"货样","")</f>
        <v/>
      </c>
      <c r="G53" s="95" t="str">
        <f>IF(K53&lt;&gt;"",IFERROR(VLOOKUP(LEFT(K53,7),航次参数!$A$1:$J$20,1,FALSE),"车牌错误"),"")</f>
        <v/>
      </c>
      <c r="H53" s="96"/>
      <c r="I53" s="97"/>
      <c r="J53" s="97"/>
      <c r="K53" s="98"/>
      <c r="L53" s="99"/>
      <c r="M53" s="98"/>
      <c r="N53" s="98"/>
      <c r="O53" s="100"/>
      <c r="P53" s="100"/>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c r="BD53" s="98"/>
      <c r="BE53" s="98"/>
      <c r="BF53" s="98"/>
      <c r="BG53" s="98"/>
      <c r="BH53" s="101"/>
      <c r="BI53" s="102"/>
      <c r="BJ53" s="102"/>
      <c r="BK53" s="96"/>
      <c r="BL53" s="101"/>
      <c r="BM53" s="96"/>
      <c r="BN53" s="96"/>
      <c r="BO53" s="96"/>
      <c r="BP53" s="96"/>
      <c r="BQ53" s="96"/>
      <c r="BR53" s="96"/>
      <c r="BS53" s="96"/>
      <c r="BT53" s="96"/>
      <c r="BU53" s="96"/>
      <c r="BV53" s="96"/>
      <c r="BW53" s="96"/>
      <c r="BX53" s="96"/>
      <c r="BY53" s="96"/>
      <c r="BZ53" s="96"/>
      <c r="CA53" s="96"/>
      <c r="CB53" s="96"/>
      <c r="CC53" s="96"/>
      <c r="CD53" s="101"/>
      <c r="CE53" s="96"/>
      <c r="CF53" s="101"/>
      <c r="CG53" s="96"/>
      <c r="CH53" s="101"/>
      <c r="CI53" s="103"/>
      <c r="CJ53" s="101"/>
      <c r="CK53" s="96"/>
      <c r="CL53" s="96"/>
      <c r="CM53" s="96"/>
      <c r="CN53" s="96"/>
      <c r="CO53" s="101"/>
      <c r="CP53" s="102"/>
      <c r="CQ53" s="102"/>
      <c r="CR53" s="102"/>
      <c r="CS53" s="96"/>
      <c r="CT53" s="101"/>
      <c r="CU53" s="96"/>
      <c r="CV53" s="96"/>
      <c r="CW53" s="102"/>
      <c r="CX53" s="96"/>
      <c r="CY53" s="96"/>
      <c r="CZ53" s="96"/>
      <c r="DA53" s="96"/>
      <c r="DB53" s="96"/>
      <c r="DC53" s="96"/>
      <c r="DD53" s="96"/>
      <c r="DE53" s="96"/>
      <c r="DF53" s="96"/>
      <c r="DG53" s="96"/>
      <c r="DH53" s="96"/>
      <c r="DI53" s="96"/>
      <c r="DJ53" s="102"/>
      <c r="DK53" s="102"/>
      <c r="DL53" s="102"/>
      <c r="DM53" s="102"/>
      <c r="DN53" s="102"/>
      <c r="DO53" s="102"/>
      <c r="DP53" s="102"/>
      <c r="DQ53" s="102"/>
      <c r="DR53" s="96"/>
      <c r="DS53" s="96"/>
      <c r="DT53" s="96"/>
      <c r="DU53" s="96"/>
      <c r="DV53" s="96"/>
      <c r="DW53" s="96"/>
      <c r="DX53" s="96"/>
      <c r="DY53" s="96"/>
      <c r="DZ53" s="96"/>
      <c r="EA53" s="96"/>
      <c r="EB53" s="96"/>
      <c r="EC53" s="96"/>
      <c r="ED53" s="96"/>
      <c r="EE53" s="96"/>
      <c r="EF53" s="96"/>
      <c r="EG53" s="96"/>
      <c r="EH53" s="96"/>
      <c r="EI53" s="96"/>
      <c r="EJ53" s="96"/>
      <c r="EM53" s="96"/>
    </row>
    <row r="54" spans="1:143" s="96" customFormat="1">
      <c r="A54" s="194"/>
      <c r="B54" s="195"/>
      <c r="C54" s="199">
        <f t="shared" si="0"/>
        <v>0</v>
      </c>
      <c r="D54" s="199">
        <f t="shared" si="1"/>
        <v>0</v>
      </c>
      <c r="E54" s="94" t="str">
        <f t="shared" ca="1" si="2"/>
        <v>19000100155941</v>
      </c>
      <c r="F54" s="94" t="str">
        <f>IFERROR(""&amp;(MID(BG54,1,MIN(FIND({"("},BG54,1)-1)))&amp;"货样","")</f>
        <v/>
      </c>
      <c r="G54" s="95" t="str">
        <f>IF(K54&lt;&gt;"",IFERROR(VLOOKUP(LEFT(K54,7),航次参数!$A$1:$J$20,1,FALSE),"车牌错误"),"")</f>
        <v/>
      </c>
      <c r="I54" s="97"/>
      <c r="J54" s="97"/>
      <c r="K54" s="98"/>
      <c r="L54" s="99"/>
      <c r="M54" s="98"/>
      <c r="N54" s="98"/>
      <c r="O54" s="100"/>
      <c r="P54" s="100"/>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c r="BD54" s="98"/>
      <c r="BE54" s="98"/>
      <c r="BF54" s="98"/>
      <c r="BG54" s="98"/>
      <c r="BH54" s="101"/>
      <c r="BI54" s="102"/>
      <c r="BJ54" s="102"/>
      <c r="BL54" s="101"/>
      <c r="CD54" s="101"/>
      <c r="CF54" s="101"/>
      <c r="CH54" s="101"/>
      <c r="CI54" s="103"/>
      <c r="CJ54" s="101"/>
      <c r="CO54" s="101"/>
      <c r="CP54" s="102"/>
      <c r="CQ54" s="102"/>
      <c r="CR54" s="102"/>
      <c r="CT54" s="101"/>
      <c r="CW54" s="102"/>
      <c r="DJ54" s="102"/>
      <c r="DK54" s="102"/>
      <c r="DL54" s="102"/>
      <c r="DM54" s="102"/>
      <c r="DN54" s="102"/>
      <c r="DO54" s="102"/>
      <c r="DP54" s="102"/>
      <c r="DQ54" s="102"/>
    </row>
    <row r="55" spans="1:143" s="104" customFormat="1">
      <c r="A55" s="194"/>
      <c r="B55" s="195"/>
      <c r="C55" s="199">
        <f t="shared" si="0"/>
        <v>0</v>
      </c>
      <c r="D55" s="199">
        <f t="shared" si="1"/>
        <v>0</v>
      </c>
      <c r="E55" s="94" t="str">
        <f t="shared" ca="1" si="2"/>
        <v>19000100155941</v>
      </c>
      <c r="F55" s="94" t="str">
        <f>IFERROR(""&amp;(MID(BG55,1,MIN(FIND({"("},BG55,1)-1)))&amp;"货样","")</f>
        <v/>
      </c>
      <c r="G55" s="95" t="str">
        <f>IF(K55&lt;&gt;"",IFERROR(VLOOKUP(LEFT(K55,7),航次参数!$A$1:$J$20,1,FALSE),"车牌错误"),"")</f>
        <v/>
      </c>
      <c r="H55" s="96"/>
      <c r="I55" s="97"/>
      <c r="J55" s="97"/>
      <c r="K55" s="98"/>
      <c r="L55" s="99"/>
      <c r="M55" s="98"/>
      <c r="N55" s="98"/>
      <c r="O55" s="100"/>
      <c r="P55" s="100"/>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c r="BD55" s="98"/>
      <c r="BE55" s="98"/>
      <c r="BF55" s="98"/>
      <c r="BG55" s="98"/>
      <c r="BH55" s="101"/>
      <c r="BI55" s="102"/>
      <c r="BJ55" s="102"/>
      <c r="BK55" s="96"/>
      <c r="BL55" s="101"/>
      <c r="BM55" s="96"/>
      <c r="BN55" s="96"/>
      <c r="BO55" s="96"/>
      <c r="BP55" s="96"/>
      <c r="BQ55" s="96"/>
      <c r="BR55" s="96"/>
      <c r="BS55" s="96"/>
      <c r="BT55" s="96"/>
      <c r="BU55" s="96"/>
      <c r="BV55" s="96"/>
      <c r="BW55" s="96"/>
      <c r="BX55" s="96"/>
      <c r="BY55" s="96"/>
      <c r="BZ55" s="96"/>
      <c r="CA55" s="96"/>
      <c r="CB55" s="96"/>
      <c r="CC55" s="96"/>
      <c r="CD55" s="101"/>
      <c r="CE55" s="96"/>
      <c r="CF55" s="101"/>
      <c r="CG55" s="96"/>
      <c r="CH55" s="101"/>
      <c r="CI55" s="103"/>
      <c r="CJ55" s="101"/>
      <c r="CK55" s="96"/>
      <c r="CL55" s="96"/>
      <c r="CM55" s="96"/>
      <c r="CN55" s="96"/>
      <c r="CO55" s="101"/>
      <c r="CP55" s="102"/>
      <c r="CQ55" s="102"/>
      <c r="CR55" s="102"/>
      <c r="CS55" s="96"/>
      <c r="CT55" s="101"/>
      <c r="CU55" s="96"/>
      <c r="CV55" s="96"/>
      <c r="CW55" s="102"/>
      <c r="CX55" s="96"/>
      <c r="CY55" s="96"/>
      <c r="CZ55" s="96"/>
      <c r="DA55" s="96"/>
      <c r="DB55" s="96"/>
      <c r="DC55" s="96"/>
      <c r="DD55" s="96"/>
      <c r="DE55" s="96"/>
      <c r="DF55" s="96"/>
      <c r="DG55" s="96"/>
      <c r="DH55" s="96"/>
      <c r="DI55" s="96"/>
      <c r="DJ55" s="102"/>
      <c r="DK55" s="102"/>
      <c r="DL55" s="102"/>
      <c r="DM55" s="102"/>
      <c r="DN55" s="102"/>
      <c r="DO55" s="102"/>
      <c r="DP55" s="102"/>
      <c r="DQ55" s="102"/>
      <c r="DR55" s="96"/>
      <c r="DS55" s="96"/>
      <c r="DT55" s="96"/>
      <c r="DU55" s="96"/>
      <c r="DV55" s="96"/>
      <c r="DW55" s="96"/>
      <c r="DX55" s="96"/>
      <c r="DY55" s="96"/>
      <c r="DZ55" s="96"/>
      <c r="EA55" s="96"/>
      <c r="EB55" s="96"/>
      <c r="EC55" s="96"/>
      <c r="ED55" s="96"/>
      <c r="EE55" s="96"/>
      <c r="EF55" s="96"/>
      <c r="EG55" s="96"/>
      <c r="EH55" s="96"/>
      <c r="EI55" s="96"/>
      <c r="EJ55" s="96"/>
      <c r="EM55" s="96"/>
    </row>
    <row r="56" spans="1:143" s="96" customFormat="1">
      <c r="A56" s="194"/>
      <c r="B56" s="195"/>
      <c r="C56" s="199">
        <f t="shared" si="0"/>
        <v>0</v>
      </c>
      <c r="D56" s="199">
        <f t="shared" si="1"/>
        <v>0</v>
      </c>
      <c r="E56" s="94" t="str">
        <f t="shared" ca="1" si="2"/>
        <v>19000100155941</v>
      </c>
      <c r="F56" s="94" t="str">
        <f>IFERROR(""&amp;(MID(BG56,1,MIN(FIND({"("},BG56,1)-1)))&amp;"货样","")</f>
        <v/>
      </c>
      <c r="G56" s="95" t="str">
        <f>IF(K56&lt;&gt;"",IFERROR(VLOOKUP(LEFT(K56,7),航次参数!$A$1:$J$20,1,FALSE),"车牌错误"),"")</f>
        <v/>
      </c>
      <c r="I56" s="97"/>
      <c r="J56" s="97"/>
      <c r="K56" s="98"/>
      <c r="L56" s="99"/>
      <c r="M56" s="98"/>
      <c r="N56" s="98"/>
      <c r="O56" s="100"/>
      <c r="P56" s="100"/>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c r="BD56" s="98"/>
      <c r="BE56" s="98"/>
      <c r="BF56" s="98"/>
      <c r="BG56" s="98"/>
      <c r="BH56" s="101"/>
      <c r="BI56" s="102"/>
      <c r="BJ56" s="102"/>
      <c r="BL56" s="101"/>
      <c r="CD56" s="101"/>
      <c r="CF56" s="101"/>
      <c r="CH56" s="101"/>
      <c r="CI56" s="103"/>
      <c r="CJ56" s="101"/>
      <c r="CO56" s="101"/>
      <c r="CP56" s="102"/>
      <c r="CQ56" s="102"/>
      <c r="CR56" s="102"/>
      <c r="CT56" s="101"/>
      <c r="CW56" s="102"/>
      <c r="DJ56" s="102"/>
      <c r="DK56" s="102"/>
      <c r="DL56" s="102"/>
      <c r="DM56" s="102"/>
      <c r="DN56" s="102"/>
      <c r="DO56" s="102"/>
      <c r="DP56" s="102"/>
      <c r="DQ56" s="102"/>
    </row>
    <row r="57" spans="1:143" s="104" customFormat="1">
      <c r="A57" s="194"/>
      <c r="B57" s="195"/>
      <c r="C57" s="199">
        <f t="shared" si="0"/>
        <v>0</v>
      </c>
      <c r="D57" s="199">
        <f t="shared" si="1"/>
        <v>0</v>
      </c>
      <c r="E57" s="94" t="str">
        <f t="shared" ca="1" si="2"/>
        <v>19000100155941</v>
      </c>
      <c r="F57" s="94" t="str">
        <f>IFERROR(""&amp;(MID(BG57,1,MIN(FIND({"("},BG57,1)-1)))&amp;"货样","")</f>
        <v/>
      </c>
      <c r="G57" s="95" t="str">
        <f>IF(K57&lt;&gt;"",IFERROR(VLOOKUP(LEFT(K57,7),航次参数!$A$1:$J$20,1,FALSE),"车牌错误"),"")</f>
        <v/>
      </c>
      <c r="H57" s="96"/>
      <c r="I57" s="97"/>
      <c r="J57" s="97"/>
      <c r="K57" s="98"/>
      <c r="L57" s="99"/>
      <c r="M57" s="98"/>
      <c r="N57" s="98"/>
      <c r="O57" s="100"/>
      <c r="P57" s="100"/>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c r="BD57" s="98"/>
      <c r="BE57" s="98"/>
      <c r="BF57" s="98"/>
      <c r="BG57" s="98"/>
      <c r="BH57" s="101"/>
      <c r="BI57" s="102"/>
      <c r="BJ57" s="102"/>
      <c r="BK57" s="96"/>
      <c r="BL57" s="101"/>
      <c r="BM57" s="96"/>
      <c r="BN57" s="96"/>
      <c r="BO57" s="96"/>
      <c r="BP57" s="96"/>
      <c r="BQ57" s="96"/>
      <c r="BR57" s="96"/>
      <c r="BS57" s="96"/>
      <c r="BT57" s="96"/>
      <c r="BU57" s="96"/>
      <c r="BV57" s="96"/>
      <c r="BW57" s="96"/>
      <c r="BX57" s="96"/>
      <c r="BY57" s="96"/>
      <c r="BZ57" s="96"/>
      <c r="CA57" s="96"/>
      <c r="CB57" s="96"/>
      <c r="CC57" s="96"/>
      <c r="CD57" s="101"/>
      <c r="CE57" s="96"/>
      <c r="CF57" s="101"/>
      <c r="CG57" s="96"/>
      <c r="CH57" s="101"/>
      <c r="CI57" s="103"/>
      <c r="CJ57" s="101"/>
      <c r="CK57" s="96"/>
      <c r="CL57" s="96"/>
      <c r="CM57" s="96"/>
      <c r="CN57" s="96"/>
      <c r="CO57" s="101"/>
      <c r="CP57" s="102"/>
      <c r="CQ57" s="102"/>
      <c r="CR57" s="102"/>
      <c r="CS57" s="96"/>
      <c r="CT57" s="101"/>
      <c r="CU57" s="96"/>
      <c r="CV57" s="96"/>
      <c r="CW57" s="102"/>
      <c r="CX57" s="96"/>
      <c r="CY57" s="96"/>
      <c r="CZ57" s="96"/>
      <c r="DA57" s="96"/>
      <c r="DB57" s="96"/>
      <c r="DC57" s="96"/>
      <c r="DD57" s="96"/>
      <c r="DE57" s="96"/>
      <c r="DF57" s="96"/>
      <c r="DG57" s="96"/>
      <c r="DH57" s="96"/>
      <c r="DI57" s="96"/>
      <c r="DJ57" s="102"/>
      <c r="DK57" s="102"/>
      <c r="DL57" s="102"/>
      <c r="DM57" s="102"/>
      <c r="DN57" s="102"/>
      <c r="DO57" s="102"/>
      <c r="DP57" s="102"/>
      <c r="DQ57" s="102"/>
      <c r="DR57" s="96"/>
      <c r="DS57" s="96"/>
      <c r="DT57" s="96"/>
      <c r="DU57" s="96"/>
      <c r="DV57" s="96"/>
      <c r="DW57" s="96"/>
      <c r="DX57" s="96"/>
      <c r="DY57" s="96"/>
      <c r="DZ57" s="96"/>
      <c r="EA57" s="96"/>
      <c r="EB57" s="96"/>
      <c r="EC57" s="96"/>
      <c r="ED57" s="96"/>
      <c r="EE57" s="96"/>
      <c r="EF57" s="96"/>
      <c r="EG57" s="96"/>
      <c r="EH57" s="96"/>
      <c r="EI57" s="96"/>
      <c r="EJ57" s="96"/>
      <c r="EM57" s="96"/>
    </row>
    <row r="58" spans="1:143" s="96" customFormat="1">
      <c r="A58" s="194"/>
      <c r="B58" s="195"/>
      <c r="C58" s="199">
        <f t="shared" si="0"/>
        <v>0</v>
      </c>
      <c r="D58" s="199">
        <f t="shared" si="1"/>
        <v>0</v>
      </c>
      <c r="E58" s="94" t="str">
        <f t="shared" ca="1" si="2"/>
        <v>19000100155941</v>
      </c>
      <c r="F58" s="94" t="str">
        <f>IFERROR(""&amp;(MID(BG58,1,MIN(FIND({"("},BG58,1)-1)))&amp;"货样","")</f>
        <v/>
      </c>
      <c r="G58" s="95" t="str">
        <f>IF(K58&lt;&gt;"",IFERROR(VLOOKUP(LEFT(K58,7),航次参数!$A$1:$J$20,1,FALSE),"车牌错误"),"")</f>
        <v/>
      </c>
      <c r="I58" s="97"/>
      <c r="J58" s="97"/>
      <c r="K58" s="98"/>
      <c r="L58" s="99"/>
      <c r="M58" s="98"/>
      <c r="N58" s="98"/>
      <c r="O58" s="100"/>
      <c r="P58" s="100"/>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c r="BD58" s="98"/>
      <c r="BE58" s="98"/>
      <c r="BF58" s="98"/>
      <c r="BG58" s="98"/>
      <c r="BH58" s="101"/>
      <c r="BI58" s="102"/>
      <c r="BJ58" s="102"/>
      <c r="BL58" s="101"/>
      <c r="CD58" s="101"/>
      <c r="CF58" s="101"/>
      <c r="CH58" s="101"/>
      <c r="CI58" s="103"/>
      <c r="CJ58" s="101"/>
      <c r="CO58" s="101"/>
      <c r="CP58" s="102"/>
      <c r="CQ58" s="102"/>
      <c r="CR58" s="102"/>
      <c r="CT58" s="101"/>
      <c r="CW58" s="102"/>
      <c r="DJ58" s="102"/>
      <c r="DK58" s="102"/>
      <c r="DL58" s="102"/>
      <c r="DM58" s="102"/>
      <c r="DN58" s="102"/>
      <c r="DO58" s="102"/>
      <c r="DP58" s="102"/>
      <c r="DQ58" s="102"/>
    </row>
    <row r="59" spans="1:143" s="104" customFormat="1">
      <c r="A59" s="194"/>
      <c r="B59" s="195"/>
      <c r="C59" s="199">
        <f t="shared" si="0"/>
        <v>0</v>
      </c>
      <c r="D59" s="199">
        <f t="shared" si="1"/>
        <v>0</v>
      </c>
      <c r="E59" s="94" t="str">
        <f t="shared" ca="1" si="2"/>
        <v>19000100155941</v>
      </c>
      <c r="F59" s="94" t="str">
        <f>IFERROR(""&amp;(MID(BG59,1,MIN(FIND({"("},BG59,1)-1)))&amp;"货样","")</f>
        <v/>
      </c>
      <c r="G59" s="95" t="str">
        <f>IF(K59&lt;&gt;"",IFERROR(VLOOKUP(LEFT(K59,7),航次参数!$A$1:$J$20,1,FALSE),"车牌错误"),"")</f>
        <v/>
      </c>
      <c r="H59" s="96"/>
      <c r="I59" s="97"/>
      <c r="J59" s="97"/>
      <c r="K59" s="98"/>
      <c r="L59" s="99"/>
      <c r="M59" s="98"/>
      <c r="N59" s="98"/>
      <c r="O59" s="100"/>
      <c r="P59" s="100"/>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c r="BD59" s="98"/>
      <c r="BE59" s="98"/>
      <c r="BF59" s="98"/>
      <c r="BG59" s="98"/>
      <c r="BH59" s="101"/>
      <c r="BI59" s="102"/>
      <c r="BJ59" s="102"/>
      <c r="BK59" s="96"/>
      <c r="BL59" s="101"/>
      <c r="BM59" s="96"/>
      <c r="BN59" s="96"/>
      <c r="BO59" s="96"/>
      <c r="BP59" s="96"/>
      <c r="BQ59" s="96"/>
      <c r="BR59" s="96"/>
      <c r="BS59" s="96"/>
      <c r="BT59" s="96"/>
      <c r="BU59" s="96"/>
      <c r="BV59" s="96"/>
      <c r="BW59" s="96"/>
      <c r="BX59" s="96"/>
      <c r="BY59" s="96"/>
      <c r="BZ59" s="96"/>
      <c r="CA59" s="96"/>
      <c r="CB59" s="96"/>
      <c r="CC59" s="96"/>
      <c r="CD59" s="101"/>
      <c r="CE59" s="96"/>
      <c r="CF59" s="101"/>
      <c r="CG59" s="96"/>
      <c r="CH59" s="101"/>
      <c r="CI59" s="103"/>
      <c r="CJ59" s="101"/>
      <c r="CK59" s="96"/>
      <c r="CL59" s="96"/>
      <c r="CM59" s="96"/>
      <c r="CN59" s="96"/>
      <c r="CO59" s="101"/>
      <c r="CP59" s="102"/>
      <c r="CQ59" s="102"/>
      <c r="CR59" s="102"/>
      <c r="CS59" s="96"/>
      <c r="CT59" s="101"/>
      <c r="CU59" s="96"/>
      <c r="CV59" s="96"/>
      <c r="CW59" s="102"/>
      <c r="CX59" s="96"/>
      <c r="CY59" s="96"/>
      <c r="CZ59" s="96"/>
      <c r="DA59" s="96"/>
      <c r="DB59" s="96"/>
      <c r="DC59" s="96"/>
      <c r="DD59" s="96"/>
      <c r="DE59" s="96"/>
      <c r="DF59" s="96"/>
      <c r="DG59" s="96"/>
      <c r="DH59" s="96"/>
      <c r="DI59" s="96"/>
      <c r="DJ59" s="102"/>
      <c r="DK59" s="102"/>
      <c r="DL59" s="102"/>
      <c r="DM59" s="102"/>
      <c r="DN59" s="102"/>
      <c r="DO59" s="102"/>
      <c r="DP59" s="102"/>
      <c r="DQ59" s="102"/>
      <c r="DR59" s="96"/>
      <c r="DS59" s="96"/>
      <c r="DT59" s="96"/>
      <c r="DU59" s="96"/>
      <c r="DV59" s="96"/>
      <c r="DW59" s="96"/>
      <c r="DX59" s="96"/>
      <c r="DY59" s="96"/>
      <c r="DZ59" s="96"/>
      <c r="EA59" s="96"/>
      <c r="EB59" s="96"/>
      <c r="EC59" s="96"/>
      <c r="ED59" s="96"/>
      <c r="EE59" s="96"/>
      <c r="EF59" s="96"/>
      <c r="EG59" s="96"/>
      <c r="EH59" s="96"/>
      <c r="EI59" s="96"/>
      <c r="EJ59" s="96"/>
      <c r="EM59" s="96"/>
    </row>
    <row r="60" spans="1:143" s="96" customFormat="1">
      <c r="A60" s="194"/>
      <c r="B60" s="195"/>
      <c r="C60" s="199">
        <f t="shared" si="0"/>
        <v>0</v>
      </c>
      <c r="D60" s="199">
        <f t="shared" si="1"/>
        <v>0</v>
      </c>
      <c r="E60" s="94" t="str">
        <f t="shared" ca="1" si="2"/>
        <v>19000100155941</v>
      </c>
      <c r="F60" s="94" t="str">
        <f>IFERROR(""&amp;(MID(BG60,1,MIN(FIND({"("},BG60,1)-1)))&amp;"货样","")</f>
        <v/>
      </c>
      <c r="G60" s="95" t="str">
        <f>IF(K60&lt;&gt;"",IFERROR(VLOOKUP(LEFT(K60,7),航次参数!$A$1:$J$20,1,FALSE),"车牌错误"),"")</f>
        <v/>
      </c>
      <c r="I60" s="97"/>
      <c r="J60" s="97"/>
      <c r="K60" s="98"/>
      <c r="L60" s="99"/>
      <c r="M60" s="98"/>
      <c r="N60" s="98"/>
      <c r="O60" s="100"/>
      <c r="P60" s="100"/>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c r="BD60" s="98"/>
      <c r="BE60" s="98"/>
      <c r="BF60" s="98"/>
      <c r="BG60" s="98"/>
      <c r="BH60" s="101"/>
      <c r="BI60" s="102"/>
      <c r="BJ60" s="102"/>
      <c r="BL60" s="101"/>
      <c r="CD60" s="101"/>
      <c r="CF60" s="101"/>
      <c r="CH60" s="101"/>
      <c r="CI60" s="103"/>
      <c r="CJ60" s="101"/>
      <c r="CO60" s="101"/>
      <c r="CP60" s="102"/>
      <c r="CQ60" s="102"/>
      <c r="CR60" s="102"/>
      <c r="CT60" s="101"/>
      <c r="CW60" s="102"/>
      <c r="DJ60" s="102"/>
      <c r="DK60" s="102"/>
      <c r="DL60" s="102"/>
      <c r="DM60" s="102"/>
      <c r="DN60" s="102"/>
      <c r="DO60" s="102"/>
      <c r="DP60" s="102"/>
      <c r="DQ60" s="102"/>
    </row>
    <row r="61" spans="1:143" s="104" customFormat="1">
      <c r="A61" s="194"/>
      <c r="B61" s="195"/>
      <c r="C61" s="199">
        <f t="shared" si="0"/>
        <v>0</v>
      </c>
      <c r="D61" s="199">
        <f t="shared" si="1"/>
        <v>0</v>
      </c>
      <c r="E61" s="94" t="str">
        <f t="shared" ca="1" si="2"/>
        <v>19000100155941</v>
      </c>
      <c r="F61" s="94" t="str">
        <f>IFERROR(""&amp;(MID(BG61,1,MIN(FIND({"("},BG61,1)-1)))&amp;"货样","")</f>
        <v/>
      </c>
      <c r="G61" s="95" t="str">
        <f>IF(K61&lt;&gt;"",IFERROR(VLOOKUP(LEFT(K61,7),航次参数!$A$1:$J$20,1,FALSE),"车牌错误"),"")</f>
        <v/>
      </c>
      <c r="H61" s="96"/>
      <c r="I61" s="97"/>
      <c r="J61" s="97"/>
      <c r="K61" s="98"/>
      <c r="L61" s="99"/>
      <c r="M61" s="98"/>
      <c r="N61" s="98"/>
      <c r="O61" s="100"/>
      <c r="P61" s="100"/>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c r="BD61" s="98"/>
      <c r="BE61" s="98"/>
      <c r="BF61" s="98"/>
      <c r="BG61" s="98"/>
      <c r="BH61" s="101"/>
      <c r="BI61" s="102"/>
      <c r="BJ61" s="102"/>
      <c r="BK61" s="96"/>
      <c r="BL61" s="101"/>
      <c r="BM61" s="96"/>
      <c r="BN61" s="96"/>
      <c r="BO61" s="96"/>
      <c r="BP61" s="96"/>
      <c r="BQ61" s="96"/>
      <c r="BR61" s="96"/>
      <c r="BS61" s="96"/>
      <c r="BT61" s="96"/>
      <c r="BU61" s="96"/>
      <c r="BV61" s="96"/>
      <c r="BW61" s="96"/>
      <c r="BX61" s="96"/>
      <c r="BY61" s="96"/>
      <c r="BZ61" s="96"/>
      <c r="CA61" s="96"/>
      <c r="CB61" s="96"/>
      <c r="CC61" s="96"/>
      <c r="CD61" s="101"/>
      <c r="CE61" s="96"/>
      <c r="CF61" s="101"/>
      <c r="CG61" s="96"/>
      <c r="CH61" s="101"/>
      <c r="CI61" s="103"/>
      <c r="CJ61" s="101"/>
      <c r="CK61" s="96"/>
      <c r="CL61" s="96"/>
      <c r="CM61" s="96"/>
      <c r="CN61" s="96"/>
      <c r="CO61" s="101"/>
      <c r="CP61" s="102"/>
      <c r="CQ61" s="102"/>
      <c r="CR61" s="102"/>
      <c r="CS61" s="96"/>
      <c r="CT61" s="101"/>
      <c r="CU61" s="96"/>
      <c r="CV61" s="96"/>
      <c r="CW61" s="102"/>
      <c r="CX61" s="96"/>
      <c r="CY61" s="96"/>
      <c r="CZ61" s="96"/>
      <c r="DA61" s="96"/>
      <c r="DB61" s="96"/>
      <c r="DC61" s="96"/>
      <c r="DD61" s="96"/>
      <c r="DE61" s="96"/>
      <c r="DF61" s="96"/>
      <c r="DG61" s="96"/>
      <c r="DH61" s="96"/>
      <c r="DI61" s="96"/>
      <c r="DJ61" s="102"/>
      <c r="DK61" s="102"/>
      <c r="DL61" s="102"/>
      <c r="DM61" s="102"/>
      <c r="DN61" s="102"/>
      <c r="DO61" s="102"/>
      <c r="DP61" s="102"/>
      <c r="DQ61" s="102"/>
      <c r="DR61" s="96"/>
      <c r="DS61" s="96"/>
      <c r="DT61" s="96"/>
      <c r="DU61" s="96"/>
      <c r="DV61" s="96"/>
      <c r="DW61" s="96"/>
      <c r="DX61" s="96"/>
      <c r="DY61" s="96"/>
      <c r="DZ61" s="96"/>
      <c r="EA61" s="96"/>
      <c r="EB61" s="96"/>
      <c r="EC61" s="96"/>
      <c r="ED61" s="96"/>
      <c r="EE61" s="96"/>
      <c r="EF61" s="96"/>
      <c r="EG61" s="96"/>
      <c r="EH61" s="96"/>
      <c r="EI61" s="96"/>
      <c r="EJ61" s="96"/>
      <c r="EM61" s="96"/>
    </row>
    <row r="62" spans="1:143" s="96" customFormat="1">
      <c r="A62" s="194"/>
      <c r="B62" s="195"/>
      <c r="C62" s="199">
        <f t="shared" si="0"/>
        <v>0</v>
      </c>
      <c r="D62" s="199">
        <f t="shared" si="1"/>
        <v>0</v>
      </c>
      <c r="E62" s="94" t="str">
        <f t="shared" ca="1" si="2"/>
        <v>19000100155941</v>
      </c>
      <c r="F62" s="94" t="str">
        <f>IFERROR(""&amp;(MID(BG62,1,MIN(FIND({"("},BG62,1)-1)))&amp;"货样","")</f>
        <v/>
      </c>
      <c r="G62" s="95" t="str">
        <f>IF(K62&lt;&gt;"",IFERROR(VLOOKUP(LEFT(K62,7),航次参数!$A$1:$J$20,1,FALSE),"车牌错误"),"")</f>
        <v/>
      </c>
      <c r="I62" s="97"/>
      <c r="J62" s="97"/>
      <c r="K62" s="98"/>
      <c r="L62" s="99"/>
      <c r="M62" s="98"/>
      <c r="N62" s="98"/>
      <c r="O62" s="100"/>
      <c r="P62" s="100"/>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c r="BD62" s="98"/>
      <c r="BE62" s="98"/>
      <c r="BF62" s="98"/>
      <c r="BG62" s="98"/>
      <c r="BH62" s="101"/>
      <c r="BI62" s="102"/>
      <c r="BJ62" s="102"/>
      <c r="BL62" s="101"/>
      <c r="CD62" s="101"/>
      <c r="CF62" s="101"/>
      <c r="CH62" s="101"/>
      <c r="CI62" s="103"/>
      <c r="CJ62" s="101"/>
      <c r="CO62" s="101"/>
      <c r="CP62" s="102"/>
      <c r="CQ62" s="102"/>
      <c r="CR62" s="102"/>
      <c r="CT62" s="101"/>
      <c r="CW62" s="102"/>
      <c r="DJ62" s="102"/>
      <c r="DK62" s="102"/>
      <c r="DL62" s="102"/>
      <c r="DM62" s="102"/>
      <c r="DN62" s="102"/>
      <c r="DO62" s="102"/>
      <c r="DP62" s="102"/>
      <c r="DQ62" s="102"/>
    </row>
    <row r="63" spans="1:143" s="104" customFormat="1">
      <c r="A63" s="194"/>
      <c r="B63" s="195"/>
      <c r="C63" s="199">
        <f t="shared" si="0"/>
        <v>0</v>
      </c>
      <c r="D63" s="199">
        <f t="shared" si="1"/>
        <v>0</v>
      </c>
      <c r="E63" s="94" t="str">
        <f t="shared" ca="1" si="2"/>
        <v>19000100155941</v>
      </c>
      <c r="F63" s="94" t="str">
        <f>IFERROR(""&amp;(MID(BG63,1,MIN(FIND({"("},BG63,1)-1)))&amp;"货样","")</f>
        <v/>
      </c>
      <c r="G63" s="95" t="str">
        <f>IF(K63&lt;&gt;"",IFERROR(VLOOKUP(LEFT(K63,7),航次参数!$A$1:$J$20,1,FALSE),"车牌错误"),"")</f>
        <v/>
      </c>
      <c r="H63" s="96"/>
      <c r="I63" s="97"/>
      <c r="J63" s="97"/>
      <c r="K63" s="98"/>
      <c r="L63" s="99"/>
      <c r="M63" s="98"/>
      <c r="N63" s="98"/>
      <c r="O63" s="100"/>
      <c r="P63" s="100"/>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c r="BD63" s="98"/>
      <c r="BE63" s="98"/>
      <c r="BF63" s="98"/>
      <c r="BG63" s="98"/>
      <c r="BH63" s="101"/>
      <c r="BI63" s="102"/>
      <c r="BJ63" s="102"/>
      <c r="BK63" s="96"/>
      <c r="BL63" s="101"/>
      <c r="BM63" s="96"/>
      <c r="BN63" s="96"/>
      <c r="BO63" s="96"/>
      <c r="BP63" s="96"/>
      <c r="BQ63" s="96"/>
      <c r="BR63" s="96"/>
      <c r="BS63" s="96"/>
      <c r="BT63" s="96"/>
      <c r="BU63" s="96"/>
      <c r="BV63" s="96"/>
      <c r="BW63" s="96"/>
      <c r="BX63" s="96"/>
      <c r="BY63" s="96"/>
      <c r="BZ63" s="96"/>
      <c r="CA63" s="96"/>
      <c r="CB63" s="96"/>
      <c r="CC63" s="96"/>
      <c r="CD63" s="101"/>
      <c r="CE63" s="96"/>
      <c r="CF63" s="101"/>
      <c r="CG63" s="96"/>
      <c r="CH63" s="101"/>
      <c r="CI63" s="103"/>
      <c r="CJ63" s="101"/>
      <c r="CK63" s="96"/>
      <c r="CL63" s="96"/>
      <c r="CM63" s="96"/>
      <c r="CN63" s="96"/>
      <c r="CO63" s="101"/>
      <c r="CP63" s="102"/>
      <c r="CQ63" s="102"/>
      <c r="CR63" s="102"/>
      <c r="CS63" s="96"/>
      <c r="CT63" s="101"/>
      <c r="CU63" s="96"/>
      <c r="CV63" s="96"/>
      <c r="CW63" s="102"/>
      <c r="CX63" s="96"/>
      <c r="CY63" s="96"/>
      <c r="CZ63" s="96"/>
      <c r="DA63" s="96"/>
      <c r="DB63" s="96"/>
      <c r="DC63" s="96"/>
      <c r="DD63" s="96"/>
      <c r="DE63" s="96"/>
      <c r="DF63" s="96"/>
      <c r="DG63" s="96"/>
      <c r="DH63" s="96"/>
      <c r="DI63" s="96"/>
      <c r="DJ63" s="102"/>
      <c r="DK63" s="102"/>
      <c r="DL63" s="102"/>
      <c r="DM63" s="102"/>
      <c r="DN63" s="102"/>
      <c r="DO63" s="102"/>
      <c r="DP63" s="102"/>
      <c r="DQ63" s="102"/>
      <c r="DR63" s="96"/>
      <c r="DS63" s="96"/>
      <c r="DT63" s="96"/>
      <c r="DU63" s="96"/>
      <c r="DV63" s="96"/>
      <c r="DW63" s="96"/>
      <c r="DX63" s="96"/>
      <c r="DY63" s="96"/>
      <c r="DZ63" s="96"/>
      <c r="EA63" s="96"/>
      <c r="EB63" s="96"/>
      <c r="EC63" s="96"/>
      <c r="ED63" s="96"/>
      <c r="EE63" s="96"/>
      <c r="EF63" s="96"/>
      <c r="EG63" s="96"/>
      <c r="EH63" s="96"/>
      <c r="EI63" s="96"/>
      <c r="EJ63" s="96"/>
      <c r="EM63" s="96"/>
    </row>
    <row r="64" spans="1:143" s="96" customFormat="1">
      <c r="A64" s="194"/>
      <c r="B64" s="195"/>
      <c r="C64" s="199">
        <f t="shared" si="0"/>
        <v>0</v>
      </c>
      <c r="D64" s="199">
        <f t="shared" si="1"/>
        <v>0</v>
      </c>
      <c r="E64" s="94" t="str">
        <f t="shared" ca="1" si="2"/>
        <v>19000100155941</v>
      </c>
      <c r="F64" s="94" t="str">
        <f>IFERROR(""&amp;(MID(BG64,1,MIN(FIND({"("},BG64,1)-1)))&amp;"货样","")</f>
        <v/>
      </c>
      <c r="G64" s="95" t="str">
        <f>IF(K64&lt;&gt;"",IFERROR(VLOOKUP(LEFT(K64,7),航次参数!$A$1:$J$20,1,FALSE),"车牌错误"),"")</f>
        <v/>
      </c>
      <c r="I64" s="97"/>
      <c r="J64" s="97"/>
      <c r="K64" s="98"/>
      <c r="L64" s="99"/>
      <c r="M64" s="98"/>
      <c r="N64" s="98"/>
      <c r="O64" s="100"/>
      <c r="P64" s="100"/>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c r="BD64" s="98"/>
      <c r="BE64" s="98"/>
      <c r="BF64" s="98"/>
      <c r="BG64" s="98"/>
      <c r="BH64" s="101"/>
      <c r="BI64" s="102"/>
      <c r="BJ64" s="102"/>
      <c r="BL64" s="101"/>
      <c r="CD64" s="101"/>
      <c r="CF64" s="101"/>
      <c r="CH64" s="101"/>
      <c r="CI64" s="103"/>
      <c r="CJ64" s="101"/>
      <c r="CO64" s="101"/>
      <c r="CP64" s="102"/>
      <c r="CQ64" s="102"/>
      <c r="CR64" s="102"/>
      <c r="CT64" s="101"/>
      <c r="CW64" s="102"/>
      <c r="DJ64" s="102"/>
      <c r="DK64" s="102"/>
      <c r="DL64" s="102"/>
      <c r="DM64" s="102"/>
      <c r="DN64" s="102"/>
      <c r="DO64" s="102"/>
      <c r="DP64" s="102"/>
      <c r="DQ64" s="102"/>
    </row>
    <row r="65" spans="1:143" s="104" customFormat="1">
      <c r="A65" s="194"/>
      <c r="B65" s="195"/>
      <c r="C65" s="199">
        <f t="shared" si="0"/>
        <v>0</v>
      </c>
      <c r="D65" s="199">
        <f t="shared" si="1"/>
        <v>0</v>
      </c>
      <c r="E65" s="94" t="str">
        <f t="shared" ca="1" si="2"/>
        <v>19000100155941</v>
      </c>
      <c r="F65" s="94" t="str">
        <f>IFERROR(""&amp;(MID(BG65,1,MIN(FIND({"("},BG65,1)-1)))&amp;"货样","")</f>
        <v/>
      </c>
      <c r="G65" s="95" t="str">
        <f>IF(K65&lt;&gt;"",IFERROR(VLOOKUP(LEFT(K65,7),航次参数!$A$1:$J$20,1,FALSE),"车牌错误"),"")</f>
        <v/>
      </c>
      <c r="H65" s="96"/>
      <c r="I65" s="97"/>
      <c r="J65" s="97"/>
      <c r="K65" s="98"/>
      <c r="L65" s="99"/>
      <c r="M65" s="98"/>
      <c r="N65" s="98"/>
      <c r="O65" s="100"/>
      <c r="P65" s="100"/>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101"/>
      <c r="BI65" s="102"/>
      <c r="BJ65" s="102"/>
      <c r="BK65" s="96"/>
      <c r="BL65" s="101"/>
      <c r="BM65" s="96"/>
      <c r="BN65" s="96"/>
      <c r="BO65" s="96"/>
      <c r="BP65" s="96"/>
      <c r="BQ65" s="96"/>
      <c r="BR65" s="96"/>
      <c r="BS65" s="96"/>
      <c r="BT65" s="96"/>
      <c r="BU65" s="96"/>
      <c r="BV65" s="96"/>
      <c r="BW65" s="96"/>
      <c r="BX65" s="96"/>
      <c r="BY65" s="96"/>
      <c r="BZ65" s="96"/>
      <c r="CA65" s="96"/>
      <c r="CB65" s="96"/>
      <c r="CC65" s="96"/>
      <c r="CD65" s="101"/>
      <c r="CE65" s="96"/>
      <c r="CF65" s="101"/>
      <c r="CG65" s="96"/>
      <c r="CH65" s="101"/>
      <c r="CI65" s="103"/>
      <c r="CJ65" s="101"/>
      <c r="CK65" s="96"/>
      <c r="CL65" s="96"/>
      <c r="CM65" s="96"/>
      <c r="CN65" s="96"/>
      <c r="CO65" s="101"/>
      <c r="CP65" s="102"/>
      <c r="CQ65" s="102"/>
      <c r="CR65" s="102"/>
      <c r="CS65" s="96"/>
      <c r="CT65" s="101"/>
      <c r="CU65" s="96"/>
      <c r="CV65" s="96"/>
      <c r="CW65" s="102"/>
      <c r="CX65" s="96"/>
      <c r="CY65" s="96"/>
      <c r="CZ65" s="96"/>
      <c r="DA65" s="96"/>
      <c r="DB65" s="96"/>
      <c r="DC65" s="96"/>
      <c r="DD65" s="96"/>
      <c r="DE65" s="96"/>
      <c r="DF65" s="96"/>
      <c r="DG65" s="96"/>
      <c r="DH65" s="96"/>
      <c r="DI65" s="96"/>
      <c r="DJ65" s="102"/>
      <c r="DK65" s="102"/>
      <c r="DL65" s="102"/>
      <c r="DM65" s="102"/>
      <c r="DN65" s="102"/>
      <c r="DO65" s="102"/>
      <c r="DP65" s="102"/>
      <c r="DQ65" s="102"/>
      <c r="DR65" s="96"/>
      <c r="DS65" s="96"/>
      <c r="DT65" s="96"/>
      <c r="DU65" s="96"/>
      <c r="DV65" s="96"/>
      <c r="DW65" s="96"/>
      <c r="DX65" s="96"/>
      <c r="DY65" s="96"/>
      <c r="DZ65" s="96"/>
      <c r="EA65" s="96"/>
      <c r="EB65" s="96"/>
      <c r="EC65" s="96"/>
      <c r="ED65" s="96"/>
      <c r="EE65" s="96"/>
      <c r="EF65" s="96"/>
      <c r="EG65" s="96"/>
      <c r="EH65" s="96"/>
      <c r="EI65" s="96"/>
      <c r="EJ65" s="96"/>
      <c r="EM65" s="96"/>
    </row>
    <row r="66" spans="1:143" s="96" customFormat="1">
      <c r="A66" s="194"/>
      <c r="B66" s="195"/>
      <c r="C66" s="199">
        <f t="shared" ref="C66:C83" si="3">IF(LEN(I66)&gt;9,"件数",O66)</f>
        <v>0</v>
      </c>
      <c r="D66" s="199">
        <f t="shared" ref="D66:D83" si="4">IF(LEN(I66)&gt;9,B66,IF(B66&lt;&gt;"",B66,P66))</f>
        <v>0</v>
      </c>
      <c r="E66" s="94" t="str">
        <f t="shared" ref="E66:E83" ca="1" si="5">TEXT(L66+TIME(HOUR(NOW()),MINUTE(NOW()),SECOND(NOW())),"emmddHHMMSS")</f>
        <v>19000100155941</v>
      </c>
      <c r="F66" s="94" t="str">
        <f>IFERROR(""&amp;(MID(BG66,1,MIN(FIND({"("},BG66,1)-1)))&amp;"货样","")</f>
        <v/>
      </c>
      <c r="G66" s="95" t="str">
        <f>IF(K66&lt;&gt;"",IFERROR(VLOOKUP(LEFT(K66,7),航次参数!$A$1:$J$20,1,FALSE),"车牌错误"),"")</f>
        <v/>
      </c>
      <c r="I66" s="97"/>
      <c r="J66" s="97"/>
      <c r="K66" s="98"/>
      <c r="L66" s="99"/>
      <c r="M66" s="98"/>
      <c r="N66" s="98"/>
      <c r="O66" s="100"/>
      <c r="P66" s="100"/>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101"/>
      <c r="BI66" s="102"/>
      <c r="BJ66" s="102"/>
      <c r="BL66" s="101"/>
      <c r="CD66" s="101"/>
      <c r="CF66" s="101"/>
      <c r="CH66" s="101"/>
      <c r="CI66" s="103"/>
      <c r="CJ66" s="101"/>
      <c r="CO66" s="101"/>
      <c r="CP66" s="102"/>
      <c r="CQ66" s="102"/>
      <c r="CR66" s="102"/>
      <c r="CT66" s="101"/>
      <c r="CW66" s="102"/>
      <c r="DJ66" s="102"/>
      <c r="DK66" s="102"/>
      <c r="DL66" s="102"/>
      <c r="DM66" s="102"/>
      <c r="DN66" s="102"/>
      <c r="DO66" s="102"/>
      <c r="DP66" s="102"/>
      <c r="DQ66" s="102"/>
    </row>
    <row r="67" spans="1:143" s="104" customFormat="1">
      <c r="A67" s="194"/>
      <c r="B67" s="195"/>
      <c r="C67" s="199">
        <f t="shared" si="3"/>
        <v>0</v>
      </c>
      <c r="D67" s="199">
        <f t="shared" si="4"/>
        <v>0</v>
      </c>
      <c r="E67" s="94" t="str">
        <f t="shared" ca="1" si="5"/>
        <v>19000100155941</v>
      </c>
      <c r="F67" s="94" t="str">
        <f>IFERROR(""&amp;(MID(BG67,1,MIN(FIND({"("},BG67,1)-1)))&amp;"货样","")</f>
        <v/>
      </c>
      <c r="G67" s="95" t="str">
        <f>IF(K67&lt;&gt;"",IFERROR(VLOOKUP(LEFT(K67,7),航次参数!$A$1:$J$20,1,FALSE),"车牌错误"),"")</f>
        <v/>
      </c>
      <c r="H67" s="96"/>
      <c r="I67" s="97"/>
      <c r="J67" s="97"/>
      <c r="K67" s="98"/>
      <c r="L67" s="99"/>
      <c r="M67" s="98"/>
      <c r="N67" s="98"/>
      <c r="O67" s="100"/>
      <c r="P67" s="100"/>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c r="BD67" s="98"/>
      <c r="BE67" s="98"/>
      <c r="BF67" s="98"/>
      <c r="BG67" s="98"/>
      <c r="BH67" s="101"/>
      <c r="BI67" s="102"/>
      <c r="BJ67" s="102"/>
      <c r="BK67" s="96"/>
      <c r="BL67" s="101"/>
      <c r="BM67" s="96"/>
      <c r="BN67" s="96"/>
      <c r="BO67" s="96"/>
      <c r="BP67" s="96"/>
      <c r="BQ67" s="96"/>
      <c r="BR67" s="96"/>
      <c r="BS67" s="96"/>
      <c r="BT67" s="96"/>
      <c r="BU67" s="96"/>
      <c r="BV67" s="96"/>
      <c r="BW67" s="96"/>
      <c r="BX67" s="96"/>
      <c r="BY67" s="96"/>
      <c r="BZ67" s="96"/>
      <c r="CA67" s="96"/>
      <c r="CB67" s="96"/>
      <c r="CC67" s="96"/>
      <c r="CD67" s="101"/>
      <c r="CE67" s="96"/>
      <c r="CF67" s="101"/>
      <c r="CG67" s="96"/>
      <c r="CH67" s="101"/>
      <c r="CI67" s="103"/>
      <c r="CJ67" s="101"/>
      <c r="CK67" s="96"/>
      <c r="CL67" s="96"/>
      <c r="CM67" s="96"/>
      <c r="CN67" s="96"/>
      <c r="CO67" s="101"/>
      <c r="CP67" s="102"/>
      <c r="CQ67" s="102"/>
      <c r="CR67" s="102"/>
      <c r="CS67" s="96"/>
      <c r="CT67" s="101"/>
      <c r="CU67" s="96"/>
      <c r="CV67" s="96"/>
      <c r="CW67" s="102"/>
      <c r="CX67" s="96"/>
      <c r="CY67" s="96"/>
      <c r="CZ67" s="96"/>
      <c r="DA67" s="96"/>
      <c r="DB67" s="96"/>
      <c r="DC67" s="96"/>
      <c r="DD67" s="96"/>
      <c r="DE67" s="96"/>
      <c r="DF67" s="96"/>
      <c r="DG67" s="96"/>
      <c r="DH67" s="96"/>
      <c r="DI67" s="96"/>
      <c r="DJ67" s="102"/>
      <c r="DK67" s="102"/>
      <c r="DL67" s="102"/>
      <c r="DM67" s="102"/>
      <c r="DN67" s="102"/>
      <c r="DO67" s="102"/>
      <c r="DP67" s="102"/>
      <c r="DQ67" s="102"/>
      <c r="DR67" s="96"/>
      <c r="DS67" s="96"/>
      <c r="DT67" s="96"/>
      <c r="DU67" s="96"/>
      <c r="DV67" s="96"/>
      <c r="DW67" s="96"/>
      <c r="DX67" s="96"/>
      <c r="DY67" s="96"/>
      <c r="DZ67" s="96"/>
      <c r="EA67" s="96"/>
      <c r="EB67" s="96"/>
      <c r="EC67" s="96"/>
      <c r="ED67" s="96"/>
      <c r="EE67" s="96"/>
      <c r="EF67" s="96"/>
      <c r="EG67" s="96"/>
      <c r="EH67" s="96"/>
      <c r="EI67" s="96"/>
      <c r="EJ67" s="96"/>
      <c r="EM67" s="96"/>
    </row>
    <row r="68" spans="1:143" s="96" customFormat="1">
      <c r="A68" s="194"/>
      <c r="B68" s="195"/>
      <c r="C68" s="199">
        <f t="shared" si="3"/>
        <v>0</v>
      </c>
      <c r="D68" s="199">
        <f t="shared" si="4"/>
        <v>0</v>
      </c>
      <c r="E68" s="94" t="str">
        <f t="shared" ca="1" si="5"/>
        <v>19000100155941</v>
      </c>
      <c r="F68" s="94" t="str">
        <f>IFERROR(""&amp;(MID(BG68,1,MIN(FIND({"("},BG68,1)-1)))&amp;"货样","")</f>
        <v/>
      </c>
      <c r="G68" s="95" t="str">
        <f>IF(K68&lt;&gt;"",IFERROR(VLOOKUP(LEFT(K68,7),航次参数!$A$1:$J$20,1,FALSE),"车牌错误"),"")</f>
        <v/>
      </c>
      <c r="I68" s="97"/>
      <c r="J68" s="97"/>
      <c r="K68" s="98"/>
      <c r="L68" s="99"/>
      <c r="M68" s="98"/>
      <c r="N68" s="98"/>
      <c r="O68" s="100"/>
      <c r="P68" s="100"/>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c r="BD68" s="98"/>
      <c r="BE68" s="98"/>
      <c r="BF68" s="98"/>
      <c r="BG68" s="98"/>
      <c r="BH68" s="101"/>
      <c r="BI68" s="102"/>
      <c r="BJ68" s="102"/>
      <c r="BL68" s="101"/>
      <c r="CD68" s="101"/>
      <c r="CF68" s="101"/>
      <c r="CH68" s="101"/>
      <c r="CI68" s="103"/>
      <c r="CJ68" s="101"/>
      <c r="CO68" s="101"/>
      <c r="CP68" s="102"/>
      <c r="CQ68" s="102"/>
      <c r="CR68" s="102"/>
      <c r="CT68" s="101"/>
      <c r="CW68" s="102"/>
      <c r="DJ68" s="102"/>
      <c r="DK68" s="102"/>
      <c r="DL68" s="102"/>
      <c r="DM68" s="102"/>
      <c r="DN68" s="102"/>
      <c r="DO68" s="102"/>
      <c r="DP68" s="102"/>
      <c r="DQ68" s="102"/>
    </row>
    <row r="69" spans="1:143" s="104" customFormat="1">
      <c r="A69" s="194"/>
      <c r="B69" s="195"/>
      <c r="C69" s="199">
        <f t="shared" si="3"/>
        <v>0</v>
      </c>
      <c r="D69" s="199">
        <f t="shared" si="4"/>
        <v>0</v>
      </c>
      <c r="E69" s="94" t="str">
        <f t="shared" ca="1" si="5"/>
        <v>19000100155941</v>
      </c>
      <c r="F69" s="94" t="str">
        <f>IFERROR(""&amp;(MID(BG69,1,MIN(FIND({"("},BG69,1)-1)))&amp;"货样","")</f>
        <v/>
      </c>
      <c r="G69" s="95" t="str">
        <f>IF(K69&lt;&gt;"",IFERROR(VLOOKUP(LEFT(K69,7),航次参数!$A$1:$J$20,1,FALSE),"车牌错误"),"")</f>
        <v/>
      </c>
      <c r="H69" s="96"/>
      <c r="I69" s="97"/>
      <c r="J69" s="97"/>
      <c r="K69" s="98"/>
      <c r="L69" s="99"/>
      <c r="M69" s="98"/>
      <c r="N69" s="98"/>
      <c r="O69" s="100"/>
      <c r="P69" s="100"/>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c r="BD69" s="98"/>
      <c r="BE69" s="98"/>
      <c r="BF69" s="98"/>
      <c r="BG69" s="98"/>
      <c r="BH69" s="101"/>
      <c r="BI69" s="102"/>
      <c r="BJ69" s="102"/>
      <c r="BK69" s="96"/>
      <c r="BL69" s="101"/>
      <c r="BM69" s="96"/>
      <c r="BN69" s="96"/>
      <c r="BO69" s="96"/>
      <c r="BP69" s="96"/>
      <c r="BQ69" s="96"/>
      <c r="BR69" s="96"/>
      <c r="BS69" s="96"/>
      <c r="BT69" s="96"/>
      <c r="BU69" s="96"/>
      <c r="BV69" s="96"/>
      <c r="BW69" s="96"/>
      <c r="BX69" s="96"/>
      <c r="BY69" s="96"/>
      <c r="BZ69" s="96"/>
      <c r="CA69" s="96"/>
      <c r="CB69" s="96"/>
      <c r="CC69" s="96"/>
      <c r="CD69" s="101"/>
      <c r="CE69" s="96"/>
      <c r="CF69" s="101"/>
      <c r="CG69" s="96"/>
      <c r="CH69" s="101"/>
      <c r="CI69" s="103"/>
      <c r="CJ69" s="101"/>
      <c r="CK69" s="96"/>
      <c r="CL69" s="96"/>
      <c r="CM69" s="96"/>
      <c r="CN69" s="96"/>
      <c r="CO69" s="101"/>
      <c r="CP69" s="102"/>
      <c r="CQ69" s="102"/>
      <c r="CR69" s="102"/>
      <c r="CS69" s="96"/>
      <c r="CT69" s="101"/>
      <c r="CU69" s="96"/>
      <c r="CV69" s="96"/>
      <c r="CW69" s="102"/>
      <c r="CX69" s="96"/>
      <c r="CY69" s="96"/>
      <c r="CZ69" s="96"/>
      <c r="DA69" s="96"/>
      <c r="DB69" s="96"/>
      <c r="DC69" s="96"/>
      <c r="DD69" s="96"/>
      <c r="DE69" s="96"/>
      <c r="DF69" s="96"/>
      <c r="DG69" s="96"/>
      <c r="DH69" s="96"/>
      <c r="DI69" s="96"/>
      <c r="DJ69" s="102"/>
      <c r="DK69" s="102"/>
      <c r="DL69" s="102"/>
      <c r="DM69" s="102"/>
      <c r="DN69" s="102"/>
      <c r="DO69" s="102"/>
      <c r="DP69" s="102"/>
      <c r="DQ69" s="102"/>
      <c r="DR69" s="96"/>
      <c r="DS69" s="96"/>
      <c r="DT69" s="96"/>
      <c r="DU69" s="96"/>
      <c r="DV69" s="96"/>
      <c r="DW69" s="96"/>
      <c r="DX69" s="96"/>
      <c r="DY69" s="96"/>
      <c r="DZ69" s="96"/>
      <c r="EA69" s="96"/>
      <c r="EB69" s="96"/>
      <c r="EC69" s="96"/>
      <c r="ED69" s="96"/>
      <c r="EE69" s="96"/>
      <c r="EF69" s="96"/>
      <c r="EG69" s="96"/>
      <c r="EH69" s="96"/>
      <c r="EI69" s="96"/>
      <c r="EJ69" s="96"/>
      <c r="EM69" s="96"/>
    </row>
    <row r="70" spans="1:143" s="96" customFormat="1">
      <c r="A70" s="194"/>
      <c r="B70" s="195"/>
      <c r="C70" s="199">
        <f t="shared" si="3"/>
        <v>0</v>
      </c>
      <c r="D70" s="199">
        <f t="shared" si="4"/>
        <v>0</v>
      </c>
      <c r="E70" s="94" t="str">
        <f t="shared" ca="1" si="5"/>
        <v>19000100155941</v>
      </c>
      <c r="F70" s="94" t="str">
        <f>IFERROR(""&amp;(MID(BG70,1,MIN(FIND({"("},BG70,1)-1)))&amp;"货样","")</f>
        <v/>
      </c>
      <c r="G70" s="95" t="str">
        <f>IF(K70&lt;&gt;"",IFERROR(VLOOKUP(LEFT(K70,7),航次参数!$A$1:$J$20,1,FALSE),"车牌错误"),"")</f>
        <v/>
      </c>
      <c r="I70" s="97"/>
      <c r="J70" s="97"/>
      <c r="K70" s="98"/>
      <c r="L70" s="99"/>
      <c r="M70" s="98"/>
      <c r="N70" s="98"/>
      <c r="O70" s="100"/>
      <c r="P70" s="100"/>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c r="BD70" s="98"/>
      <c r="BE70" s="98"/>
      <c r="BF70" s="98"/>
      <c r="BG70" s="98"/>
      <c r="BH70" s="101"/>
      <c r="BI70" s="102"/>
      <c r="BJ70" s="102"/>
      <c r="BL70" s="101"/>
      <c r="CD70" s="101"/>
      <c r="CF70" s="101"/>
      <c r="CH70" s="101"/>
      <c r="CI70" s="103"/>
      <c r="CJ70" s="101"/>
      <c r="CO70" s="101"/>
      <c r="CP70" s="102"/>
      <c r="CQ70" s="102"/>
      <c r="CR70" s="102"/>
      <c r="CT70" s="101"/>
      <c r="CW70" s="102"/>
      <c r="DJ70" s="102"/>
      <c r="DK70" s="102"/>
      <c r="DL70" s="102"/>
      <c r="DM70" s="102"/>
      <c r="DN70" s="102"/>
      <c r="DO70" s="102"/>
      <c r="DP70" s="102"/>
      <c r="DQ70" s="102"/>
    </row>
    <row r="71" spans="1:143" s="104" customFormat="1">
      <c r="A71" s="194"/>
      <c r="B71" s="195"/>
      <c r="C71" s="199">
        <f t="shared" si="3"/>
        <v>0</v>
      </c>
      <c r="D71" s="199">
        <f t="shared" si="4"/>
        <v>0</v>
      </c>
      <c r="E71" s="94" t="str">
        <f t="shared" ca="1" si="5"/>
        <v>19000100155941</v>
      </c>
      <c r="F71" s="94" t="str">
        <f>IFERROR(""&amp;(MID(BG71,1,MIN(FIND({"("},BG71,1)-1)))&amp;"货样","")</f>
        <v/>
      </c>
      <c r="G71" s="95" t="str">
        <f>IF(K71&lt;&gt;"",IFERROR(VLOOKUP(LEFT(K71,7),航次参数!$A$1:$J$20,1,FALSE),"车牌错误"),"")</f>
        <v/>
      </c>
      <c r="H71" s="96"/>
      <c r="I71" s="97"/>
      <c r="J71" s="97"/>
      <c r="K71" s="98"/>
      <c r="L71" s="99"/>
      <c r="M71" s="98"/>
      <c r="N71" s="98"/>
      <c r="O71" s="100"/>
      <c r="P71" s="100"/>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c r="BD71" s="98"/>
      <c r="BE71" s="98"/>
      <c r="BF71" s="98"/>
      <c r="BG71" s="98"/>
      <c r="BH71" s="101"/>
      <c r="BI71" s="102"/>
      <c r="BJ71" s="102"/>
      <c r="BK71" s="96"/>
      <c r="BL71" s="101"/>
      <c r="BM71" s="96"/>
      <c r="BN71" s="96"/>
      <c r="BO71" s="96"/>
      <c r="BP71" s="96"/>
      <c r="BQ71" s="96"/>
      <c r="BR71" s="96"/>
      <c r="BS71" s="96"/>
      <c r="BT71" s="96"/>
      <c r="BU71" s="96"/>
      <c r="BV71" s="96"/>
      <c r="BW71" s="96"/>
      <c r="BX71" s="96"/>
      <c r="BY71" s="96"/>
      <c r="BZ71" s="96"/>
      <c r="CA71" s="96"/>
      <c r="CB71" s="96"/>
      <c r="CC71" s="96"/>
      <c r="CD71" s="101"/>
      <c r="CE71" s="96"/>
      <c r="CF71" s="101"/>
      <c r="CG71" s="96"/>
      <c r="CH71" s="101"/>
      <c r="CI71" s="103"/>
      <c r="CJ71" s="101"/>
      <c r="CK71" s="96"/>
      <c r="CL71" s="96"/>
      <c r="CM71" s="96"/>
      <c r="CN71" s="96"/>
      <c r="CO71" s="101"/>
      <c r="CP71" s="102"/>
      <c r="CQ71" s="102"/>
      <c r="CR71" s="102"/>
      <c r="CS71" s="96"/>
      <c r="CT71" s="101"/>
      <c r="CU71" s="96"/>
      <c r="CV71" s="96"/>
      <c r="CW71" s="102"/>
      <c r="CX71" s="96"/>
      <c r="CY71" s="96"/>
      <c r="CZ71" s="96"/>
      <c r="DA71" s="96"/>
      <c r="DB71" s="96"/>
      <c r="DC71" s="96"/>
      <c r="DD71" s="96"/>
      <c r="DE71" s="96"/>
      <c r="DF71" s="96"/>
      <c r="DG71" s="96"/>
      <c r="DH71" s="96"/>
      <c r="DI71" s="96"/>
      <c r="DJ71" s="102"/>
      <c r="DK71" s="102"/>
      <c r="DL71" s="102"/>
      <c r="DM71" s="102"/>
      <c r="DN71" s="102"/>
      <c r="DO71" s="102"/>
      <c r="DP71" s="102"/>
      <c r="DQ71" s="102"/>
      <c r="DR71" s="96"/>
      <c r="DS71" s="96"/>
      <c r="DT71" s="96"/>
      <c r="DU71" s="96"/>
      <c r="DV71" s="96"/>
      <c r="DW71" s="96"/>
      <c r="DX71" s="96"/>
      <c r="DY71" s="96"/>
      <c r="DZ71" s="96"/>
      <c r="EA71" s="96"/>
      <c r="EB71" s="96"/>
      <c r="EC71" s="96"/>
      <c r="ED71" s="96"/>
      <c r="EE71" s="96"/>
      <c r="EF71" s="96"/>
      <c r="EG71" s="96"/>
      <c r="EH71" s="96"/>
      <c r="EI71" s="96"/>
      <c r="EJ71" s="96"/>
      <c r="EM71" s="96"/>
    </row>
    <row r="72" spans="1:143" s="96" customFormat="1">
      <c r="A72" s="194"/>
      <c r="B72" s="195"/>
      <c r="C72" s="199">
        <f t="shared" si="3"/>
        <v>0</v>
      </c>
      <c r="D72" s="199">
        <f t="shared" si="4"/>
        <v>0</v>
      </c>
      <c r="E72" s="94" t="str">
        <f t="shared" ca="1" si="5"/>
        <v>19000100155941</v>
      </c>
      <c r="F72" s="94" t="str">
        <f>IFERROR(""&amp;(MID(BG72,1,MIN(FIND({"("},BG72,1)-1)))&amp;"货样","")</f>
        <v/>
      </c>
      <c r="G72" s="95" t="str">
        <f>IF(K72&lt;&gt;"",IFERROR(VLOOKUP(LEFT(K72,7),航次参数!$A$1:$J$20,1,FALSE),"车牌错误"),"")</f>
        <v/>
      </c>
      <c r="I72" s="97"/>
      <c r="J72" s="97"/>
      <c r="K72" s="98"/>
      <c r="L72" s="99"/>
      <c r="M72" s="98"/>
      <c r="N72" s="98"/>
      <c r="O72" s="100"/>
      <c r="P72" s="100"/>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c r="BD72" s="98"/>
      <c r="BE72" s="98"/>
      <c r="BF72" s="98"/>
      <c r="BG72" s="98"/>
      <c r="BH72" s="101"/>
      <c r="BI72" s="102"/>
      <c r="BJ72" s="102"/>
      <c r="BL72" s="101"/>
      <c r="CD72" s="101"/>
      <c r="CF72" s="101"/>
      <c r="CH72" s="101"/>
      <c r="CI72" s="103"/>
      <c r="CJ72" s="101"/>
      <c r="CO72" s="101"/>
      <c r="CP72" s="102"/>
      <c r="CQ72" s="102"/>
      <c r="CR72" s="102"/>
      <c r="CT72" s="101"/>
      <c r="CW72" s="102"/>
      <c r="DJ72" s="102"/>
      <c r="DK72" s="102"/>
      <c r="DL72" s="102"/>
      <c r="DM72" s="102"/>
      <c r="DN72" s="102"/>
      <c r="DO72" s="102"/>
      <c r="DP72" s="102"/>
      <c r="DQ72" s="102"/>
    </row>
    <row r="73" spans="1:143" s="104" customFormat="1">
      <c r="A73" s="194"/>
      <c r="B73" s="195"/>
      <c r="C73" s="199">
        <f t="shared" si="3"/>
        <v>0</v>
      </c>
      <c r="D73" s="199">
        <f t="shared" si="4"/>
        <v>0</v>
      </c>
      <c r="E73" s="94" t="str">
        <f t="shared" ca="1" si="5"/>
        <v>19000100155941</v>
      </c>
      <c r="F73" s="94" t="str">
        <f>IFERROR(""&amp;(MID(BG73,1,MIN(FIND({"("},BG73,1)-1)))&amp;"货样","")</f>
        <v/>
      </c>
      <c r="G73" s="95" t="str">
        <f>IF(K73&lt;&gt;"",IFERROR(VLOOKUP(LEFT(K73,7),航次参数!$A$1:$J$20,1,FALSE),"车牌错误"),"")</f>
        <v/>
      </c>
      <c r="H73" s="96"/>
      <c r="I73" s="97"/>
      <c r="J73" s="97"/>
      <c r="K73" s="98"/>
      <c r="L73" s="99"/>
      <c r="M73" s="98"/>
      <c r="N73" s="98"/>
      <c r="O73" s="100"/>
      <c r="P73" s="100"/>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c r="BD73" s="98"/>
      <c r="BE73" s="98"/>
      <c r="BF73" s="98"/>
      <c r="BG73" s="98"/>
      <c r="BH73" s="101"/>
      <c r="BI73" s="102"/>
      <c r="BJ73" s="102"/>
      <c r="BK73" s="96"/>
      <c r="BL73" s="101"/>
      <c r="BM73" s="96"/>
      <c r="BN73" s="96"/>
      <c r="BO73" s="96"/>
      <c r="BP73" s="96"/>
      <c r="BQ73" s="96"/>
      <c r="BR73" s="96"/>
      <c r="BS73" s="96"/>
      <c r="BT73" s="96"/>
      <c r="BU73" s="96"/>
      <c r="BV73" s="96"/>
      <c r="BW73" s="96"/>
      <c r="BX73" s="96"/>
      <c r="BY73" s="96"/>
      <c r="BZ73" s="96"/>
      <c r="CA73" s="96"/>
      <c r="CB73" s="96"/>
      <c r="CC73" s="96"/>
      <c r="CD73" s="101"/>
      <c r="CE73" s="96"/>
      <c r="CF73" s="101"/>
      <c r="CG73" s="96"/>
      <c r="CH73" s="101"/>
      <c r="CI73" s="103"/>
      <c r="CJ73" s="101"/>
      <c r="CK73" s="96"/>
      <c r="CL73" s="96"/>
      <c r="CM73" s="96"/>
      <c r="CN73" s="96"/>
      <c r="CO73" s="101"/>
      <c r="CP73" s="102"/>
      <c r="CQ73" s="102"/>
      <c r="CR73" s="102"/>
      <c r="CS73" s="96"/>
      <c r="CT73" s="101"/>
      <c r="CU73" s="96"/>
      <c r="CV73" s="96"/>
      <c r="CW73" s="102"/>
      <c r="CX73" s="96"/>
      <c r="CY73" s="96"/>
      <c r="CZ73" s="96"/>
      <c r="DA73" s="96"/>
      <c r="DB73" s="96"/>
      <c r="DC73" s="96"/>
      <c r="DD73" s="96"/>
      <c r="DE73" s="96"/>
      <c r="DF73" s="96"/>
      <c r="DG73" s="96"/>
      <c r="DH73" s="96"/>
      <c r="DI73" s="96"/>
      <c r="DJ73" s="102"/>
      <c r="DK73" s="102"/>
      <c r="DL73" s="102"/>
      <c r="DM73" s="102"/>
      <c r="DN73" s="102"/>
      <c r="DO73" s="102"/>
      <c r="DP73" s="102"/>
      <c r="DQ73" s="102"/>
      <c r="DR73" s="96"/>
      <c r="DS73" s="96"/>
      <c r="DT73" s="96"/>
      <c r="DU73" s="96"/>
      <c r="DV73" s="96"/>
      <c r="DW73" s="96"/>
      <c r="DX73" s="96"/>
      <c r="DY73" s="96"/>
      <c r="DZ73" s="96"/>
      <c r="EA73" s="96"/>
      <c r="EB73" s="96"/>
      <c r="EC73" s="96"/>
      <c r="ED73" s="96"/>
      <c r="EE73" s="96"/>
      <c r="EF73" s="96"/>
      <c r="EG73" s="96"/>
      <c r="EH73" s="96"/>
      <c r="EI73" s="96"/>
      <c r="EJ73" s="96"/>
      <c r="EM73" s="96"/>
    </row>
    <row r="74" spans="1:143" s="96" customFormat="1">
      <c r="A74" s="194"/>
      <c r="B74" s="195"/>
      <c r="C74" s="199">
        <f t="shared" si="3"/>
        <v>0</v>
      </c>
      <c r="D74" s="199">
        <f t="shared" si="4"/>
        <v>0</v>
      </c>
      <c r="E74" s="94" t="str">
        <f t="shared" ca="1" si="5"/>
        <v>19000100155941</v>
      </c>
      <c r="F74" s="94" t="str">
        <f>IFERROR(""&amp;(MID(BG74,1,MIN(FIND({"("},BG74,1)-1)))&amp;"货样","")</f>
        <v/>
      </c>
      <c r="G74" s="95" t="str">
        <f>IF(K74&lt;&gt;"",IFERROR(VLOOKUP(LEFT(K74,7),航次参数!$A$1:$J$20,1,FALSE),"车牌错误"),"")</f>
        <v/>
      </c>
      <c r="I74" s="97"/>
      <c r="J74" s="97"/>
      <c r="K74" s="98"/>
      <c r="L74" s="99"/>
      <c r="M74" s="98"/>
      <c r="N74" s="98"/>
      <c r="O74" s="100"/>
      <c r="P74" s="100"/>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c r="BD74" s="98"/>
      <c r="BE74" s="98"/>
      <c r="BF74" s="98"/>
      <c r="BG74" s="98"/>
      <c r="BH74" s="101"/>
      <c r="BI74" s="102"/>
      <c r="BJ74" s="102"/>
      <c r="BL74" s="101"/>
      <c r="CD74" s="101"/>
      <c r="CF74" s="101"/>
      <c r="CH74" s="101"/>
      <c r="CI74" s="103"/>
      <c r="CJ74" s="101"/>
      <c r="CO74" s="101"/>
      <c r="CP74" s="102"/>
      <c r="CQ74" s="102"/>
      <c r="CR74" s="102"/>
      <c r="CT74" s="101"/>
      <c r="CW74" s="102"/>
      <c r="DJ74" s="102"/>
      <c r="DK74" s="102"/>
      <c r="DL74" s="102"/>
      <c r="DM74" s="102"/>
      <c r="DN74" s="102"/>
      <c r="DO74" s="102"/>
      <c r="DP74" s="102"/>
      <c r="DQ74" s="102"/>
    </row>
    <row r="75" spans="1:143" s="104" customFormat="1">
      <c r="A75" s="194"/>
      <c r="B75" s="195"/>
      <c r="C75" s="199">
        <f t="shared" si="3"/>
        <v>0</v>
      </c>
      <c r="D75" s="199">
        <f t="shared" si="4"/>
        <v>0</v>
      </c>
      <c r="E75" s="94" t="str">
        <f t="shared" ca="1" si="5"/>
        <v>19000100155941</v>
      </c>
      <c r="F75" s="94" t="str">
        <f>IFERROR(""&amp;(MID(BG75,1,MIN(FIND({"("},BG75,1)-1)))&amp;"货样","")</f>
        <v/>
      </c>
      <c r="G75" s="95" t="str">
        <f>IF(K75&lt;&gt;"",IFERROR(VLOOKUP(LEFT(K75,7),航次参数!$A$1:$J$20,1,FALSE),"车牌错误"),"")</f>
        <v/>
      </c>
      <c r="H75" s="96"/>
      <c r="I75" s="97"/>
      <c r="J75" s="97"/>
      <c r="K75" s="98"/>
      <c r="L75" s="99"/>
      <c r="M75" s="98"/>
      <c r="N75" s="98"/>
      <c r="O75" s="100"/>
      <c r="P75" s="100"/>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101"/>
      <c r="BI75" s="102"/>
      <c r="BJ75" s="102"/>
      <c r="BK75" s="96"/>
      <c r="BL75" s="101"/>
      <c r="BM75" s="96"/>
      <c r="BN75" s="96"/>
      <c r="BO75" s="96"/>
      <c r="BP75" s="96"/>
      <c r="BQ75" s="96"/>
      <c r="BR75" s="96"/>
      <c r="BS75" s="96"/>
      <c r="BT75" s="96"/>
      <c r="BU75" s="96"/>
      <c r="BV75" s="96"/>
      <c r="BW75" s="96"/>
      <c r="BX75" s="96"/>
      <c r="BY75" s="96"/>
      <c r="BZ75" s="96"/>
      <c r="CA75" s="96"/>
      <c r="CB75" s="96"/>
      <c r="CC75" s="96"/>
      <c r="CD75" s="101"/>
      <c r="CE75" s="96"/>
      <c r="CF75" s="101"/>
      <c r="CG75" s="96"/>
      <c r="CH75" s="101"/>
      <c r="CI75" s="103"/>
      <c r="CJ75" s="101"/>
      <c r="CK75" s="96"/>
      <c r="CL75" s="96"/>
      <c r="CM75" s="96"/>
      <c r="CN75" s="96"/>
      <c r="CO75" s="101"/>
      <c r="CP75" s="102"/>
      <c r="CQ75" s="102"/>
      <c r="CR75" s="102"/>
      <c r="CS75" s="96"/>
      <c r="CT75" s="101"/>
      <c r="CU75" s="96"/>
      <c r="CV75" s="96"/>
      <c r="CW75" s="102"/>
      <c r="CX75" s="96"/>
      <c r="CY75" s="96"/>
      <c r="CZ75" s="96"/>
      <c r="DA75" s="96"/>
      <c r="DB75" s="96"/>
      <c r="DC75" s="96"/>
      <c r="DD75" s="96"/>
      <c r="DE75" s="96"/>
      <c r="DF75" s="96"/>
      <c r="DG75" s="96"/>
      <c r="DH75" s="96"/>
      <c r="DI75" s="96"/>
      <c r="DJ75" s="102"/>
      <c r="DK75" s="102"/>
      <c r="DL75" s="102"/>
      <c r="DM75" s="102"/>
      <c r="DN75" s="102"/>
      <c r="DO75" s="102"/>
      <c r="DP75" s="102"/>
      <c r="DQ75" s="102"/>
      <c r="DR75" s="96"/>
      <c r="DS75" s="96"/>
      <c r="DT75" s="96"/>
      <c r="DU75" s="96"/>
      <c r="DV75" s="96"/>
      <c r="DW75" s="96"/>
      <c r="DX75" s="96"/>
      <c r="DY75" s="96"/>
      <c r="DZ75" s="96"/>
      <c r="EA75" s="96"/>
      <c r="EB75" s="96"/>
      <c r="EC75" s="96"/>
      <c r="ED75" s="96"/>
      <c r="EE75" s="96"/>
      <c r="EF75" s="96"/>
      <c r="EG75" s="96"/>
      <c r="EH75" s="96"/>
      <c r="EI75" s="96"/>
      <c r="EJ75" s="96"/>
      <c r="EM75" s="96"/>
    </row>
    <row r="76" spans="1:143" s="96" customFormat="1">
      <c r="A76" s="194"/>
      <c r="B76" s="195"/>
      <c r="C76" s="199">
        <f t="shared" si="3"/>
        <v>0</v>
      </c>
      <c r="D76" s="199">
        <f t="shared" si="4"/>
        <v>0</v>
      </c>
      <c r="E76" s="94" t="str">
        <f t="shared" ca="1" si="5"/>
        <v>19000100155941</v>
      </c>
      <c r="F76" s="94" t="str">
        <f>IFERROR(""&amp;(MID(BG76,1,MIN(FIND({"("},BG76,1)-1)))&amp;"货样","")</f>
        <v/>
      </c>
      <c r="G76" s="95" t="str">
        <f>IF(K76&lt;&gt;"",IFERROR(VLOOKUP(LEFT(K76,7),航次参数!$A$1:$J$20,1,FALSE),"车牌错误"),"")</f>
        <v/>
      </c>
      <c r="I76" s="97"/>
      <c r="J76" s="97"/>
      <c r="K76" s="98"/>
      <c r="L76" s="99"/>
      <c r="M76" s="98"/>
      <c r="N76" s="98"/>
      <c r="O76" s="100"/>
      <c r="P76" s="100"/>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c r="BD76" s="98"/>
      <c r="BE76" s="98"/>
      <c r="BF76" s="98"/>
      <c r="BG76" s="98"/>
      <c r="BH76" s="101"/>
      <c r="BI76" s="102"/>
      <c r="BJ76" s="102"/>
      <c r="BL76" s="101"/>
      <c r="CD76" s="101"/>
      <c r="CF76" s="101"/>
      <c r="CH76" s="101"/>
      <c r="CI76" s="103"/>
      <c r="CJ76" s="101"/>
      <c r="CO76" s="101"/>
      <c r="CP76" s="102"/>
      <c r="CQ76" s="102"/>
      <c r="CR76" s="102"/>
      <c r="CT76" s="101"/>
      <c r="CW76" s="102"/>
      <c r="DJ76" s="102"/>
      <c r="DK76" s="102"/>
      <c r="DL76" s="102"/>
      <c r="DM76" s="102"/>
      <c r="DN76" s="102"/>
      <c r="DO76" s="102"/>
      <c r="DP76" s="102"/>
      <c r="DQ76" s="102"/>
    </row>
    <row r="77" spans="1:143" s="104" customFormat="1">
      <c r="A77" s="194"/>
      <c r="B77" s="195"/>
      <c r="C77" s="199">
        <f t="shared" si="3"/>
        <v>0</v>
      </c>
      <c r="D77" s="199">
        <f t="shared" si="4"/>
        <v>0</v>
      </c>
      <c r="E77" s="94" t="str">
        <f t="shared" ca="1" si="5"/>
        <v>19000100155941</v>
      </c>
      <c r="F77" s="94" t="str">
        <f>IFERROR(""&amp;(MID(BG77,1,MIN(FIND({"("},BG77,1)-1)))&amp;"货样","")</f>
        <v/>
      </c>
      <c r="G77" s="95" t="str">
        <f>IF(K77&lt;&gt;"",IFERROR(VLOOKUP(LEFT(K77,7),航次参数!$A$1:$J$20,1,FALSE),"车牌错误"),"")</f>
        <v/>
      </c>
      <c r="H77" s="96"/>
      <c r="I77" s="97"/>
      <c r="J77" s="97"/>
      <c r="K77" s="98"/>
      <c r="L77" s="99"/>
      <c r="M77" s="98"/>
      <c r="N77" s="98"/>
      <c r="O77" s="100"/>
      <c r="P77" s="100"/>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101"/>
      <c r="BI77" s="102"/>
      <c r="BJ77" s="102"/>
      <c r="BK77" s="96"/>
      <c r="BL77" s="101"/>
      <c r="BM77" s="96"/>
      <c r="BN77" s="96"/>
      <c r="BO77" s="96"/>
      <c r="BP77" s="96"/>
      <c r="BQ77" s="96"/>
      <c r="BR77" s="96"/>
      <c r="BS77" s="96"/>
      <c r="BT77" s="96"/>
      <c r="BU77" s="96"/>
      <c r="BV77" s="96"/>
      <c r="BW77" s="96"/>
      <c r="BX77" s="96"/>
      <c r="BY77" s="96"/>
      <c r="BZ77" s="96"/>
      <c r="CA77" s="96"/>
      <c r="CB77" s="96"/>
      <c r="CC77" s="96"/>
      <c r="CD77" s="101"/>
      <c r="CE77" s="96"/>
      <c r="CF77" s="101"/>
      <c r="CG77" s="96"/>
      <c r="CH77" s="101"/>
      <c r="CI77" s="103"/>
      <c r="CJ77" s="101"/>
      <c r="CK77" s="96"/>
      <c r="CL77" s="96"/>
      <c r="CM77" s="96"/>
      <c r="CN77" s="96"/>
      <c r="CO77" s="101"/>
      <c r="CP77" s="102"/>
      <c r="CQ77" s="102"/>
      <c r="CR77" s="102"/>
      <c r="CS77" s="96"/>
      <c r="CT77" s="101"/>
      <c r="CU77" s="96"/>
      <c r="CV77" s="96"/>
      <c r="CW77" s="102"/>
      <c r="CX77" s="96"/>
      <c r="CY77" s="96"/>
      <c r="CZ77" s="96"/>
      <c r="DA77" s="96"/>
      <c r="DB77" s="96"/>
      <c r="DC77" s="96"/>
      <c r="DD77" s="96"/>
      <c r="DE77" s="96"/>
      <c r="DF77" s="96"/>
      <c r="DG77" s="96"/>
      <c r="DH77" s="96"/>
      <c r="DI77" s="96"/>
      <c r="DJ77" s="102"/>
      <c r="DK77" s="102"/>
      <c r="DL77" s="102"/>
      <c r="DM77" s="102"/>
      <c r="DN77" s="102"/>
      <c r="DO77" s="102"/>
      <c r="DP77" s="102"/>
      <c r="DQ77" s="102"/>
      <c r="DR77" s="96"/>
      <c r="DS77" s="96"/>
      <c r="DT77" s="96"/>
      <c r="DU77" s="96"/>
      <c r="DV77" s="96"/>
      <c r="DW77" s="96"/>
      <c r="DX77" s="96"/>
      <c r="DY77" s="96"/>
      <c r="DZ77" s="96"/>
      <c r="EA77" s="96"/>
      <c r="EB77" s="96"/>
      <c r="EC77" s="96"/>
      <c r="ED77" s="96"/>
      <c r="EE77" s="96"/>
      <c r="EF77" s="96"/>
      <c r="EG77" s="96"/>
      <c r="EH77" s="96"/>
      <c r="EI77" s="96"/>
      <c r="EJ77" s="96"/>
      <c r="EM77" s="96"/>
    </row>
    <row r="78" spans="1:143" s="96" customFormat="1">
      <c r="A78" s="194"/>
      <c r="B78" s="195"/>
      <c r="C78" s="199">
        <f t="shared" si="3"/>
        <v>0</v>
      </c>
      <c r="D78" s="199">
        <f t="shared" si="4"/>
        <v>0</v>
      </c>
      <c r="E78" s="94" t="str">
        <f t="shared" ca="1" si="5"/>
        <v>19000100155941</v>
      </c>
      <c r="F78" s="94" t="str">
        <f>IFERROR(""&amp;(MID(BG78,1,MIN(FIND({"("},BG78,1)-1)))&amp;"货样","")</f>
        <v/>
      </c>
      <c r="G78" s="95" t="str">
        <f>IF(K78&lt;&gt;"",IFERROR(VLOOKUP(LEFT(K78,7),航次参数!$A$1:$J$20,1,FALSE),"车牌错误"),"")</f>
        <v/>
      </c>
      <c r="I78" s="97"/>
      <c r="J78" s="97"/>
      <c r="K78" s="98"/>
      <c r="L78" s="99"/>
      <c r="M78" s="98"/>
      <c r="N78" s="98"/>
      <c r="O78" s="100"/>
      <c r="P78" s="100"/>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c r="BD78" s="98"/>
      <c r="BE78" s="98"/>
      <c r="BF78" s="98"/>
      <c r="BG78" s="98"/>
      <c r="BH78" s="101"/>
      <c r="BI78" s="102"/>
      <c r="BJ78" s="102"/>
      <c r="BL78" s="101"/>
      <c r="CD78" s="101"/>
      <c r="CF78" s="101"/>
      <c r="CH78" s="101"/>
      <c r="CI78" s="103"/>
      <c r="CJ78" s="101"/>
      <c r="CO78" s="101"/>
      <c r="CP78" s="102"/>
      <c r="CQ78" s="102"/>
      <c r="CR78" s="102"/>
      <c r="CT78" s="101"/>
      <c r="CW78" s="102"/>
      <c r="DJ78" s="102"/>
      <c r="DK78" s="102"/>
      <c r="DL78" s="102"/>
      <c r="DM78" s="102"/>
      <c r="DN78" s="102"/>
      <c r="DO78" s="102"/>
      <c r="DP78" s="102"/>
      <c r="DQ78" s="102"/>
    </row>
    <row r="79" spans="1:143" s="96" customFormat="1">
      <c r="A79" s="194"/>
      <c r="B79" s="195"/>
      <c r="C79" s="199">
        <f t="shared" si="3"/>
        <v>0</v>
      </c>
      <c r="D79" s="199">
        <f t="shared" si="4"/>
        <v>0</v>
      </c>
      <c r="E79" s="94" t="str">
        <f t="shared" ca="1" si="5"/>
        <v>19000100155941</v>
      </c>
      <c r="F79" s="94" t="str">
        <f>IFERROR(""&amp;(MID(BG79,1,MIN(FIND({"("},BG79,1)-1)))&amp;"货样","")</f>
        <v/>
      </c>
      <c r="G79" s="95" t="str">
        <f>IF(K79&lt;&gt;"",IFERROR(VLOOKUP(LEFT(K79,7),航次参数!$A$1:$J$20,1,FALSE),"车牌错误"),"")</f>
        <v/>
      </c>
      <c r="I79" s="97"/>
      <c r="J79" s="97"/>
      <c r="K79" s="98"/>
      <c r="L79" s="99"/>
      <c r="M79" s="98"/>
      <c r="N79" s="98"/>
      <c r="O79" s="100"/>
      <c r="P79" s="100"/>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c r="BD79" s="98"/>
      <c r="BE79" s="98"/>
      <c r="BF79" s="98"/>
      <c r="BG79" s="98"/>
      <c r="BH79" s="101"/>
      <c r="BI79" s="102"/>
      <c r="BJ79" s="102"/>
      <c r="BL79" s="101"/>
      <c r="CD79" s="101"/>
      <c r="CF79" s="101"/>
      <c r="CH79" s="101"/>
      <c r="CI79" s="103"/>
      <c r="CJ79" s="101"/>
      <c r="CO79" s="101"/>
      <c r="CP79" s="102"/>
      <c r="CQ79" s="102"/>
      <c r="CR79" s="102"/>
      <c r="CT79" s="101"/>
      <c r="CW79" s="102"/>
      <c r="DJ79" s="102"/>
      <c r="DK79" s="102"/>
      <c r="DL79" s="102"/>
      <c r="DM79" s="102"/>
      <c r="DN79" s="102"/>
      <c r="DO79" s="102"/>
      <c r="DP79" s="102"/>
      <c r="DQ79" s="102"/>
    </row>
    <row r="80" spans="1:143" s="96" customFormat="1">
      <c r="A80" s="194"/>
      <c r="B80" s="195"/>
      <c r="C80" s="199">
        <f t="shared" si="3"/>
        <v>0</v>
      </c>
      <c r="D80" s="199">
        <f t="shared" si="4"/>
        <v>0</v>
      </c>
      <c r="E80" s="94" t="str">
        <f t="shared" ca="1" si="5"/>
        <v>19000100155941</v>
      </c>
      <c r="F80" s="94" t="str">
        <f>IFERROR(""&amp;(MID(BG80,1,MIN(FIND({"("},BG80,1)-1)))&amp;"货样","")</f>
        <v/>
      </c>
      <c r="G80" s="95" t="str">
        <f>IF(K80&lt;&gt;"",IFERROR(VLOOKUP(LEFT(K80,7),航次参数!$A$1:$J$20,1,FALSE),"车牌错误"),"")</f>
        <v/>
      </c>
      <c r="I80" s="97"/>
      <c r="J80" s="97"/>
      <c r="K80" s="98"/>
      <c r="L80" s="99"/>
      <c r="M80" s="98"/>
      <c r="N80" s="98"/>
      <c r="O80" s="100"/>
      <c r="P80" s="100"/>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c r="BD80" s="98"/>
      <c r="BE80" s="98"/>
      <c r="BF80" s="98"/>
      <c r="BG80" s="98"/>
      <c r="BH80" s="101"/>
      <c r="BI80" s="102"/>
      <c r="BJ80" s="102"/>
      <c r="BL80" s="101"/>
      <c r="CD80" s="101"/>
      <c r="CF80" s="101"/>
      <c r="CH80" s="101"/>
      <c r="CI80" s="103"/>
      <c r="CJ80" s="101"/>
      <c r="CO80" s="101"/>
      <c r="CP80" s="102"/>
      <c r="CQ80" s="102"/>
      <c r="CR80" s="102"/>
      <c r="CT80" s="101"/>
      <c r="CW80" s="102"/>
      <c r="DJ80" s="102"/>
      <c r="DK80" s="102"/>
      <c r="DL80" s="102"/>
      <c r="DM80" s="102"/>
      <c r="DN80" s="102"/>
      <c r="DO80" s="102"/>
      <c r="DP80" s="102"/>
      <c r="DQ80" s="102"/>
    </row>
    <row r="81" spans="1:121" s="96" customFormat="1">
      <c r="A81" s="194"/>
      <c r="B81" s="195"/>
      <c r="C81" s="199">
        <f t="shared" si="3"/>
        <v>0</v>
      </c>
      <c r="D81" s="199">
        <f t="shared" si="4"/>
        <v>0</v>
      </c>
      <c r="E81" s="94" t="str">
        <f t="shared" ca="1" si="5"/>
        <v>19000100155941</v>
      </c>
      <c r="F81" s="94" t="str">
        <f>IFERROR(""&amp;(MID(BG81,1,MIN(FIND({"("},BG81,1)-1)))&amp;"货样","")</f>
        <v/>
      </c>
      <c r="G81" s="95" t="str">
        <f>IF(K81&lt;&gt;"",IFERROR(VLOOKUP(LEFT(K81,7),航次参数!$A$1:$J$20,1,FALSE),"车牌错误"),"")</f>
        <v/>
      </c>
      <c r="I81" s="97"/>
      <c r="J81" s="97"/>
      <c r="K81" s="98"/>
      <c r="L81" s="99"/>
      <c r="M81" s="98"/>
      <c r="N81" s="98"/>
      <c r="O81" s="100"/>
      <c r="P81" s="100"/>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c r="BD81" s="98"/>
      <c r="BE81" s="98"/>
      <c r="BF81" s="98"/>
      <c r="BG81" s="98"/>
      <c r="BH81" s="101"/>
      <c r="BI81" s="102"/>
      <c r="BJ81" s="102"/>
      <c r="BL81" s="101"/>
      <c r="CD81" s="101"/>
      <c r="CF81" s="101"/>
      <c r="CH81" s="101"/>
      <c r="CI81" s="103"/>
      <c r="CJ81" s="101"/>
      <c r="CO81" s="101"/>
      <c r="CP81" s="102"/>
      <c r="CQ81" s="102"/>
      <c r="CR81" s="102"/>
      <c r="CT81" s="101"/>
      <c r="CW81" s="102"/>
      <c r="DJ81" s="102"/>
      <c r="DK81" s="102"/>
      <c r="DL81" s="102"/>
      <c r="DM81" s="102"/>
      <c r="DN81" s="102"/>
      <c r="DO81" s="102"/>
      <c r="DP81" s="102"/>
      <c r="DQ81" s="102"/>
    </row>
    <row r="82" spans="1:121" s="96" customFormat="1">
      <c r="A82" s="194"/>
      <c r="B82" s="195"/>
      <c r="C82" s="199">
        <f t="shared" ref="C82:C83" si="6">IF(LEN(I82)&gt;9,"件数",O82)</f>
        <v>0</v>
      </c>
      <c r="D82" s="199">
        <f t="shared" ref="D82:D83" si="7">IF(LEN(I82)&gt;9,B82,IF(B82&lt;&gt;"",B82,P82))</f>
        <v>0</v>
      </c>
      <c r="E82" s="94" t="str">
        <f t="shared" ref="E82:E83" ca="1" si="8">TEXT(L82+TIME(HOUR(NOW()),MINUTE(NOW()),SECOND(NOW())),"emmddHHMMSS")</f>
        <v>19000100155941</v>
      </c>
      <c r="F82" s="94" t="str">
        <f>IFERROR(""&amp;(MID(BG82,1,MIN(FIND({"("},BG82,1)-1)))&amp;"货样","")</f>
        <v/>
      </c>
      <c r="G82" s="95" t="str">
        <f>IF(K82&lt;&gt;"",IFERROR(VLOOKUP(LEFT(K82,7),航次参数!$A$1:$J$20,1,FALSE),"车牌错误"),"")</f>
        <v/>
      </c>
      <c r="I82" s="97"/>
      <c r="J82" s="97"/>
      <c r="K82" s="98"/>
      <c r="L82" s="99"/>
      <c r="M82" s="98"/>
      <c r="N82" s="98"/>
      <c r="O82" s="100"/>
      <c r="P82" s="100"/>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c r="BD82" s="98"/>
      <c r="BE82" s="98"/>
      <c r="BF82" s="98"/>
      <c r="BG82" s="98"/>
      <c r="BH82" s="101"/>
      <c r="BI82" s="102"/>
      <c r="BJ82" s="102"/>
      <c r="BL82" s="101"/>
      <c r="CD82" s="101"/>
      <c r="CF82" s="101"/>
      <c r="CH82" s="101"/>
      <c r="CI82" s="103"/>
      <c r="CJ82" s="101"/>
      <c r="CO82" s="101"/>
      <c r="CP82" s="102"/>
      <c r="CQ82" s="102"/>
      <c r="CR82" s="102"/>
      <c r="CT82" s="101"/>
      <c r="CW82" s="102"/>
      <c r="DJ82" s="102"/>
      <c r="DK82" s="102"/>
      <c r="DL82" s="102"/>
      <c r="DM82" s="102"/>
      <c r="DN82" s="102"/>
      <c r="DO82" s="102"/>
      <c r="DP82" s="102"/>
      <c r="DQ82" s="102"/>
    </row>
    <row r="83" spans="1:121" s="96" customFormat="1">
      <c r="A83" s="194"/>
      <c r="B83" s="195"/>
      <c r="C83" s="199">
        <f t="shared" si="6"/>
        <v>0</v>
      </c>
      <c r="D83" s="199">
        <f t="shared" si="7"/>
        <v>0</v>
      </c>
      <c r="E83" s="94" t="str">
        <f t="shared" ca="1" si="8"/>
        <v>19000100155941</v>
      </c>
      <c r="F83" s="94" t="str">
        <f>IFERROR(""&amp;(MID(BG83,1,MIN(FIND({"("},BG83,1)-1)))&amp;"货样","")</f>
        <v/>
      </c>
      <c r="G83" s="95" t="str">
        <f>IF(K83&lt;&gt;"",IFERROR(VLOOKUP(LEFT(K83,7),航次参数!$A$1:$J$20,1,FALSE),"车牌错误"),"")</f>
        <v/>
      </c>
      <c r="I83" s="97"/>
      <c r="J83" s="97"/>
      <c r="K83" s="98"/>
      <c r="L83" s="99"/>
      <c r="M83" s="98"/>
      <c r="N83" s="98"/>
      <c r="O83" s="100"/>
      <c r="P83" s="100"/>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c r="BD83" s="98"/>
      <c r="BE83" s="98"/>
      <c r="BF83" s="98"/>
      <c r="BG83" s="98"/>
      <c r="BH83" s="101"/>
      <c r="BI83" s="102"/>
      <c r="BJ83" s="102"/>
      <c r="BL83" s="101"/>
      <c r="CD83" s="101"/>
      <c r="CF83" s="101"/>
      <c r="CH83" s="101"/>
      <c r="CI83" s="103"/>
      <c r="CJ83" s="101"/>
      <c r="CO83" s="101"/>
      <c r="CP83" s="102"/>
      <c r="CQ83" s="102"/>
      <c r="CR83" s="102"/>
      <c r="CT83" s="101"/>
      <c r="CW83" s="102"/>
      <c r="DJ83" s="102"/>
      <c r="DK83" s="102"/>
      <c r="DL83" s="102"/>
      <c r="DM83" s="102"/>
      <c r="DN83" s="102"/>
      <c r="DO83" s="102"/>
      <c r="DP83" s="102"/>
      <c r="DQ83" s="102"/>
    </row>
    <row r="84" spans="1:121" s="96" customFormat="1">
      <c r="A84" s="194"/>
      <c r="B84" s="195"/>
      <c r="C84" s="199"/>
      <c r="D84" s="199"/>
      <c r="E84" s="94"/>
      <c r="F84" s="94"/>
      <c r="G84" s="95"/>
      <c r="I84" s="97"/>
      <c r="J84" s="97"/>
      <c r="K84" s="98"/>
      <c r="L84" s="99"/>
      <c r="M84" s="98"/>
      <c r="N84" s="98"/>
      <c r="O84" s="100"/>
      <c r="P84" s="100"/>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c r="BD84" s="98"/>
      <c r="BE84" s="98"/>
      <c r="BF84" s="98"/>
      <c r="BG84" s="98"/>
      <c r="BH84" s="101"/>
      <c r="BI84" s="102"/>
      <c r="BJ84" s="102"/>
      <c r="BL84" s="101"/>
      <c r="CD84" s="101"/>
      <c r="CF84" s="101"/>
      <c r="CH84" s="101"/>
      <c r="CI84" s="103"/>
      <c r="CJ84" s="101"/>
      <c r="CO84" s="101"/>
      <c r="CP84" s="102"/>
      <c r="CQ84" s="102"/>
      <c r="CR84" s="102"/>
      <c r="CT84" s="101"/>
      <c r="CW84" s="102"/>
      <c r="DJ84" s="102"/>
      <c r="DK84" s="102"/>
      <c r="DL84" s="102"/>
      <c r="DM84" s="102"/>
      <c r="DN84" s="102"/>
      <c r="DO84" s="102"/>
      <c r="DP84" s="102"/>
      <c r="DQ84" s="102"/>
    </row>
    <row r="85" spans="1:121" s="96" customFormat="1">
      <c r="A85" s="194"/>
      <c r="B85" s="195"/>
      <c r="C85" s="199"/>
      <c r="D85" s="199"/>
      <c r="E85" s="94"/>
      <c r="F85" s="94"/>
      <c r="G85" s="95"/>
      <c r="I85" s="97"/>
      <c r="J85" s="97"/>
      <c r="K85" s="98"/>
      <c r="L85" s="99"/>
      <c r="M85" s="98"/>
      <c r="N85" s="98"/>
      <c r="O85" s="100"/>
      <c r="P85" s="100"/>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c r="BD85" s="98"/>
      <c r="BE85" s="98"/>
      <c r="BF85" s="98"/>
      <c r="BG85" s="98"/>
      <c r="BH85" s="101"/>
      <c r="BI85" s="102"/>
      <c r="BJ85" s="102"/>
      <c r="BL85" s="101"/>
      <c r="CD85" s="101"/>
      <c r="CF85" s="101"/>
      <c r="CH85" s="101"/>
      <c r="CI85" s="103"/>
      <c r="CJ85" s="101"/>
      <c r="CO85" s="101"/>
      <c r="CP85" s="102"/>
      <c r="CQ85" s="102"/>
      <c r="CR85" s="102"/>
      <c r="CT85" s="101"/>
      <c r="CW85" s="102"/>
      <c r="DJ85" s="102"/>
      <c r="DK85" s="102"/>
      <c r="DL85" s="102"/>
      <c r="DM85" s="102"/>
      <c r="DN85" s="102"/>
      <c r="DO85" s="102"/>
      <c r="DP85" s="102"/>
      <c r="DQ85" s="102"/>
    </row>
    <row r="86" spans="1:121" s="96" customFormat="1">
      <c r="A86" s="194"/>
      <c r="B86" s="195"/>
      <c r="C86" s="199"/>
      <c r="D86" s="199"/>
      <c r="E86" s="94"/>
      <c r="F86" s="94"/>
      <c r="G86" s="95"/>
      <c r="I86" s="97"/>
      <c r="J86" s="97"/>
      <c r="K86" s="98"/>
      <c r="L86" s="99"/>
      <c r="M86" s="98"/>
      <c r="N86" s="98"/>
      <c r="O86" s="100"/>
      <c r="P86" s="100"/>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c r="BD86" s="98"/>
      <c r="BE86" s="98"/>
      <c r="BF86" s="98"/>
      <c r="BG86" s="98"/>
      <c r="BH86" s="101"/>
      <c r="BI86" s="102"/>
      <c r="BJ86" s="102"/>
      <c r="BL86" s="101"/>
      <c r="CD86" s="101"/>
      <c r="CF86" s="101"/>
      <c r="CH86" s="101"/>
      <c r="CI86" s="103"/>
      <c r="CJ86" s="101"/>
      <c r="CO86" s="101"/>
      <c r="CP86" s="102"/>
      <c r="CQ86" s="102"/>
      <c r="CR86" s="102"/>
      <c r="CT86" s="101"/>
      <c r="CW86" s="102"/>
      <c r="DJ86" s="102"/>
      <c r="DK86" s="102"/>
      <c r="DL86" s="102"/>
      <c r="DM86" s="102"/>
      <c r="DN86" s="102"/>
      <c r="DO86" s="102"/>
      <c r="DP86" s="102"/>
      <c r="DQ86" s="102"/>
    </row>
    <row r="87" spans="1:121" s="96" customFormat="1">
      <c r="A87" s="194"/>
      <c r="B87" s="195"/>
      <c r="C87" s="199"/>
      <c r="D87" s="199"/>
      <c r="E87" s="94"/>
      <c r="F87" s="94"/>
      <c r="G87" s="95"/>
      <c r="I87" s="97"/>
      <c r="J87" s="97"/>
      <c r="K87" s="98"/>
      <c r="L87" s="99"/>
      <c r="M87" s="98"/>
      <c r="N87" s="98"/>
      <c r="O87" s="100"/>
      <c r="P87" s="100"/>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c r="BD87" s="98"/>
      <c r="BE87" s="98"/>
      <c r="BF87" s="98"/>
      <c r="BG87" s="98"/>
      <c r="BH87" s="101"/>
      <c r="BI87" s="102"/>
      <c r="BJ87" s="102"/>
      <c r="BL87" s="101"/>
      <c r="CD87" s="101"/>
      <c r="CF87" s="101"/>
      <c r="CH87" s="101"/>
      <c r="CI87" s="103"/>
      <c r="CJ87" s="101"/>
      <c r="CO87" s="101"/>
      <c r="CP87" s="102"/>
      <c r="CQ87" s="102"/>
      <c r="CR87" s="102"/>
      <c r="CT87" s="101"/>
      <c r="CW87" s="102"/>
      <c r="DJ87" s="102"/>
      <c r="DK87" s="102"/>
      <c r="DL87" s="102"/>
      <c r="DM87" s="102"/>
      <c r="DN87" s="102"/>
      <c r="DO87" s="102"/>
      <c r="DP87" s="102"/>
      <c r="DQ87" s="102"/>
    </row>
  </sheetData>
  <phoneticPr fontId="1" type="noConversion"/>
  <conditionalFormatting sqref="I3:J4">
    <cfRule type="duplicateValues" dxfId="7" priority="6"/>
  </conditionalFormatting>
  <conditionalFormatting sqref="I5:J5">
    <cfRule type="duplicateValues" dxfId="6" priority="5"/>
  </conditionalFormatting>
  <conditionalFormatting sqref="I5:J5">
    <cfRule type="duplicateValues" dxfId="5" priority="4"/>
  </conditionalFormatting>
  <conditionalFormatting sqref="I1:J87">
    <cfRule type="duplicateValues" dxfId="4" priority="2069"/>
  </conditionalFormatting>
  <conditionalFormatting sqref="I7:J7">
    <cfRule type="duplicateValues" dxfId="3" priority="2"/>
  </conditionalFormatting>
  <conditionalFormatting sqref="I8">
    <cfRule type="duplicateValues" dxfId="2" priority="1"/>
  </conditionalFormatting>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91" r:id="rId4" name="Button 7">
              <controlPr defaultSize="0" print="0" autoFill="0" autoPict="0" macro="[0]!保存进口舱单和定向报告" altText="另存为">
                <anchor moveWithCells="1">
                  <from>
                    <xdr:col>4</xdr:col>
                    <xdr:colOff>1362075</xdr:colOff>
                    <xdr:row>0</xdr:row>
                    <xdr:rowOff>19050</xdr:rowOff>
                  </from>
                  <to>
                    <xdr:col>5</xdr:col>
                    <xdr:colOff>800100</xdr:colOff>
                    <xdr:row>0</xdr:row>
                    <xdr:rowOff>457200</xdr:rowOff>
                  </to>
                </anchor>
              </controlPr>
            </control>
          </mc:Choice>
        </mc:AlternateContent>
        <mc:AlternateContent xmlns:mc="http://schemas.openxmlformats.org/markup-compatibility/2006">
          <mc:Choice Requires="x14">
            <control shapeId="41992" r:id="rId5" name="Button 8">
              <controlPr defaultSize="0" print="0" autoFill="0" autoPict="0" macro="[0]!清除数据" altText="另存为">
                <anchor moveWithCells="1">
                  <from>
                    <xdr:col>9</xdr:col>
                    <xdr:colOff>1733550</xdr:colOff>
                    <xdr:row>0</xdr:row>
                    <xdr:rowOff>0</xdr:rowOff>
                  </from>
                  <to>
                    <xdr:col>10</xdr:col>
                    <xdr:colOff>571500</xdr:colOff>
                    <xdr:row>0</xdr:row>
                    <xdr:rowOff>428625</xdr:rowOff>
                  </to>
                </anchor>
              </controlPr>
            </control>
          </mc:Choice>
        </mc:AlternateContent>
        <mc:AlternateContent xmlns:mc="http://schemas.openxmlformats.org/markup-compatibility/2006">
          <mc:Choice Requires="x14">
            <control shapeId="41994" r:id="rId6" name="Button 10">
              <controlPr defaultSize="0" print="0" autoFill="0" autoPict="0" macro="[0]!SHUAFFFF" altText="另存为">
                <anchor moveWithCells="1">
                  <from>
                    <xdr:col>6</xdr:col>
                    <xdr:colOff>1114425</xdr:colOff>
                    <xdr:row>0</xdr:row>
                    <xdr:rowOff>0</xdr:rowOff>
                  </from>
                  <to>
                    <xdr:col>8</xdr:col>
                    <xdr:colOff>361950</xdr:colOff>
                    <xdr:row>0</xdr:row>
                    <xdr:rowOff>428625</xdr:rowOff>
                  </to>
                </anchor>
              </controlPr>
            </control>
          </mc:Choice>
        </mc:AlternateContent>
        <mc:AlternateContent xmlns:mc="http://schemas.openxmlformats.org/markup-compatibility/2006">
          <mc:Choice Requires="x14">
            <control shapeId="41995" r:id="rId7" name="Button 11">
              <controlPr defaultSize="0" print="0" autoFill="0" autoPict="0" macro="[0]!追加数据" altText="另存为">
                <anchor moveWithCells="1">
                  <from>
                    <xdr:col>8</xdr:col>
                    <xdr:colOff>1695450</xdr:colOff>
                    <xdr:row>0</xdr:row>
                    <xdr:rowOff>0</xdr:rowOff>
                  </from>
                  <to>
                    <xdr:col>9</xdr:col>
                    <xdr:colOff>504825</xdr:colOff>
                    <xdr:row>0</xdr:row>
                    <xdr:rowOff>466725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EO39"/>
  <sheetViews>
    <sheetView workbookViewId="0">
      <selection activeCell="D34" sqref="D34"/>
    </sheetView>
  </sheetViews>
  <sheetFormatPr defaultRowHeight="13.5"/>
  <cols>
    <col min="1" max="2" width="5.75" style="4" bestFit="1" customWidth="1"/>
    <col min="3" max="4" width="7.75" style="4" bestFit="1" customWidth="1"/>
    <col min="5" max="5" width="18.25" style="4" bestFit="1" customWidth="1"/>
    <col min="6" max="6" width="33.25" style="4" bestFit="1" customWidth="1"/>
    <col min="7" max="7" width="11.5" style="4" bestFit="1" customWidth="1"/>
    <col min="8" max="8" width="4" style="4" bestFit="1" customWidth="1"/>
    <col min="9" max="9" width="12" style="1" bestFit="1" customWidth="1"/>
    <col min="10" max="10" width="17" style="85" bestFit="1" customWidth="1"/>
    <col min="11" max="11" width="12.75" style="2" bestFit="1" customWidth="1"/>
    <col min="12" max="12" width="10.75" bestFit="1" customWidth="1"/>
    <col min="13" max="13" width="16.375" bestFit="1" customWidth="1"/>
    <col min="14" max="14" width="9.75" bestFit="1" customWidth="1"/>
    <col min="15" max="15" width="5.75" bestFit="1" customWidth="1"/>
    <col min="16" max="16" width="7.375" bestFit="1" customWidth="1"/>
    <col min="17" max="18" width="9" bestFit="1" customWidth="1"/>
    <col min="19" max="19" width="23.875" bestFit="1" customWidth="1"/>
    <col min="20" max="20" width="17.25" bestFit="1" customWidth="1"/>
    <col min="21" max="21" width="23.875" bestFit="1" customWidth="1"/>
    <col min="22" max="22" width="13" bestFit="1" customWidth="1"/>
    <col min="23" max="23" width="17.25" bestFit="1" customWidth="1"/>
    <col min="24" max="24" width="13" bestFit="1" customWidth="1"/>
    <col min="25" max="25" width="17.25" bestFit="1" customWidth="1"/>
    <col min="26" max="26" width="13" bestFit="1" customWidth="1"/>
    <col min="27" max="28" width="7.125" bestFit="1" customWidth="1"/>
    <col min="29" max="29" width="9" bestFit="1" customWidth="1"/>
    <col min="30" max="31" width="11" bestFit="1" customWidth="1"/>
    <col min="32" max="33" width="17.25" bestFit="1" customWidth="1"/>
    <col min="34" max="34" width="11" bestFit="1" customWidth="1"/>
    <col min="35" max="35" width="13" bestFit="1" customWidth="1"/>
    <col min="36" max="36" width="18.375" bestFit="1" customWidth="1"/>
    <col min="37" max="38" width="17.25" bestFit="1" customWidth="1"/>
    <col min="39" max="39" width="11" bestFit="1" customWidth="1"/>
    <col min="40" max="40" width="13" bestFit="1" customWidth="1"/>
    <col min="41" max="43" width="11" bestFit="1" customWidth="1"/>
    <col min="44" max="44" width="13.875" bestFit="1" customWidth="1"/>
    <col min="45" max="45" width="15.125" bestFit="1" customWidth="1"/>
    <col min="46" max="47" width="27.25" bestFit="1" customWidth="1"/>
    <col min="48" max="48" width="32.75" bestFit="1" customWidth="1"/>
    <col min="49" max="50" width="17.25" bestFit="1" customWidth="1"/>
    <col min="51" max="51" width="19.375" bestFit="1" customWidth="1"/>
    <col min="52" max="52" width="13" bestFit="1" customWidth="1"/>
    <col min="53" max="54" width="11" bestFit="1" customWidth="1"/>
    <col min="55" max="55" width="13.875" bestFit="1" customWidth="1"/>
    <col min="56" max="56" width="13" bestFit="1" customWidth="1"/>
    <col min="57" max="57" width="17.25" bestFit="1" customWidth="1"/>
    <col min="58" max="58" width="19.375" style="6" bestFit="1" customWidth="1"/>
    <col min="59" max="59" width="62.875" bestFit="1" customWidth="1"/>
    <col min="60" max="60" width="13" bestFit="1" customWidth="1"/>
    <col min="61" max="63" width="25.5" bestFit="1" customWidth="1"/>
    <col min="64" max="64" width="23.5" bestFit="1" customWidth="1"/>
    <col min="65" max="65" width="9" bestFit="1" customWidth="1"/>
    <col min="66" max="66" width="9.5" bestFit="1" customWidth="1"/>
    <col min="67" max="67" width="11.625" bestFit="1" customWidth="1"/>
    <col min="68" max="68" width="9" bestFit="1" customWidth="1"/>
    <col min="69" max="69" width="21.375" bestFit="1" customWidth="1"/>
    <col min="70" max="70" width="23.5" bestFit="1" customWidth="1"/>
    <col min="71" max="72" width="7.5" bestFit="1" customWidth="1"/>
    <col min="73" max="73" width="7.125" bestFit="1" customWidth="1"/>
    <col min="74" max="74" width="21.375" bestFit="1" customWidth="1"/>
    <col min="75" max="75" width="15.125" bestFit="1" customWidth="1"/>
    <col min="76" max="76" width="13" bestFit="1" customWidth="1"/>
    <col min="77" max="77" width="7.5" bestFit="1" customWidth="1"/>
    <col min="78" max="78" width="13" bestFit="1" customWidth="1"/>
    <col min="79" max="79" width="7.125" bestFit="1" customWidth="1"/>
    <col min="80" max="80" width="9" bestFit="1" customWidth="1"/>
    <col min="81" max="81" width="5.25" bestFit="1" customWidth="1"/>
    <col min="82" max="84" width="16.25" bestFit="1" customWidth="1"/>
    <col min="85" max="85" width="8.25" bestFit="1" customWidth="1"/>
    <col min="86" max="86" width="11.625" bestFit="1" customWidth="1"/>
    <col min="87" max="87" width="8.5" bestFit="1" customWidth="1"/>
    <col min="88" max="88" width="12.75" bestFit="1" customWidth="1"/>
    <col min="89" max="89" width="11" bestFit="1" customWidth="1"/>
    <col min="90" max="90" width="13" bestFit="1" customWidth="1"/>
    <col min="91" max="94" width="9" bestFit="1" customWidth="1"/>
    <col min="95" max="95" width="21.375" bestFit="1" customWidth="1"/>
    <col min="96" max="96" width="17.25" bestFit="1" customWidth="1"/>
    <col min="97" max="97" width="9" bestFit="1" customWidth="1"/>
    <col min="98" max="98" width="13" bestFit="1" customWidth="1"/>
    <col min="99" max="99" width="8.25" bestFit="1" customWidth="1"/>
    <col min="100" max="100" width="17.25" bestFit="1" customWidth="1"/>
    <col min="101" max="102" width="11" bestFit="1" customWidth="1"/>
    <col min="103" max="103" width="9" bestFit="1" customWidth="1"/>
    <col min="104" max="104" width="13" bestFit="1" customWidth="1"/>
    <col min="105" max="106" width="9" bestFit="1" customWidth="1"/>
    <col min="107" max="107" width="11" bestFit="1" customWidth="1"/>
    <col min="108" max="108" width="15.125" bestFit="1" customWidth="1"/>
    <col min="109" max="109" width="11" bestFit="1" customWidth="1"/>
    <col min="110" max="111" width="15.125" bestFit="1" customWidth="1"/>
    <col min="112" max="112" width="13" bestFit="1" customWidth="1"/>
    <col min="113" max="114" width="11" bestFit="1" customWidth="1"/>
    <col min="115" max="116" width="15.125" bestFit="1" customWidth="1"/>
    <col min="117" max="117" width="13" bestFit="1" customWidth="1"/>
    <col min="118" max="118" width="7.125" bestFit="1" customWidth="1"/>
    <col min="119" max="119" width="9" bestFit="1" customWidth="1"/>
    <col min="120" max="120" width="17.25" bestFit="1" customWidth="1"/>
    <col min="121" max="123" width="9" bestFit="1" customWidth="1"/>
    <col min="124" max="124" width="11" bestFit="1" customWidth="1"/>
    <col min="125" max="127" width="13" bestFit="1" customWidth="1"/>
    <col min="128" max="129" width="7.125" bestFit="1" customWidth="1"/>
    <col min="130" max="130" width="11" bestFit="1" customWidth="1"/>
    <col min="131" max="132" width="7.25" bestFit="1" customWidth="1"/>
    <col min="133" max="133" width="15.125" bestFit="1" customWidth="1"/>
    <col min="134" max="134" width="13" bestFit="1" customWidth="1"/>
    <col min="135" max="135" width="13.375" bestFit="1" customWidth="1"/>
    <col min="136" max="136" width="5.25" bestFit="1" customWidth="1"/>
    <col min="137" max="137" width="9" bestFit="1" customWidth="1"/>
    <col min="138" max="138" width="13" bestFit="1" customWidth="1"/>
    <col min="139" max="139" width="15.125" bestFit="1" customWidth="1"/>
    <col min="140" max="140" width="13" bestFit="1" customWidth="1"/>
    <col min="141" max="141" width="15.125" bestFit="1" customWidth="1"/>
    <col min="142" max="142" width="7.125" bestFit="1" customWidth="1"/>
    <col min="143" max="143" width="5.5" bestFit="1" customWidth="1"/>
    <col min="144" max="144" width="7.125" bestFit="1" customWidth="1"/>
    <col min="145" max="145" width="5.5" bestFit="1" customWidth="1"/>
  </cols>
  <sheetData>
    <row r="1" spans="1:145">
      <c r="A1" s="4" t="s">
        <v>8392</v>
      </c>
      <c r="B1" s="14" t="s">
        <v>8393</v>
      </c>
      <c r="C1" s="3" t="s">
        <v>8394</v>
      </c>
      <c r="D1" s="3" t="s">
        <v>8395</v>
      </c>
      <c r="E1" s="3" t="s">
        <v>8396</v>
      </c>
      <c r="F1" s="3" t="s">
        <v>8397</v>
      </c>
      <c r="G1" s="3" t="s">
        <v>8398</v>
      </c>
      <c r="H1" s="4" t="s">
        <v>8399</v>
      </c>
      <c r="I1" s="17" t="s">
        <v>8400</v>
      </c>
      <c r="J1" s="83" t="s">
        <v>8401</v>
      </c>
      <c r="K1" s="19" t="s">
        <v>8402</v>
      </c>
      <c r="L1" s="20" t="s">
        <v>8403</v>
      </c>
      <c r="M1" s="20" t="s">
        <v>8404</v>
      </c>
      <c r="N1" s="20" t="s">
        <v>8405</v>
      </c>
      <c r="O1" s="20" t="s">
        <v>8406</v>
      </c>
      <c r="P1" s="20" t="s">
        <v>8407</v>
      </c>
      <c r="Q1" t="s">
        <v>8408</v>
      </c>
      <c r="R1" t="s">
        <v>8409</v>
      </c>
      <c r="S1" t="s">
        <v>8410</v>
      </c>
      <c r="T1" t="s">
        <v>8411</v>
      </c>
      <c r="U1" t="s">
        <v>8412</v>
      </c>
      <c r="V1" t="s">
        <v>8413</v>
      </c>
      <c r="W1" t="s">
        <v>8414</v>
      </c>
      <c r="X1" t="s">
        <v>8415</v>
      </c>
      <c r="Y1" t="s">
        <v>8416</v>
      </c>
      <c r="Z1" t="s">
        <v>8417</v>
      </c>
      <c r="AA1" t="s">
        <v>8418</v>
      </c>
      <c r="AB1" t="s">
        <v>8419</v>
      </c>
      <c r="AC1" t="s">
        <v>8420</v>
      </c>
      <c r="AD1" t="s">
        <v>8421</v>
      </c>
      <c r="AE1" t="s">
        <v>8422</v>
      </c>
      <c r="AF1" t="s">
        <v>8423</v>
      </c>
      <c r="AG1" t="s">
        <v>8424</v>
      </c>
      <c r="AH1" t="s">
        <v>8425</v>
      </c>
      <c r="AI1" t="s">
        <v>8426</v>
      </c>
      <c r="AJ1" t="s">
        <v>8427</v>
      </c>
      <c r="AK1" t="s">
        <v>8428</v>
      </c>
      <c r="AL1" t="s">
        <v>8429</v>
      </c>
      <c r="AM1" t="s">
        <v>8430</v>
      </c>
      <c r="AN1" t="s">
        <v>8431</v>
      </c>
      <c r="AO1" t="s">
        <v>8432</v>
      </c>
      <c r="AP1" t="s">
        <v>8433</v>
      </c>
      <c r="AQ1" t="s">
        <v>8434</v>
      </c>
      <c r="AR1" t="s">
        <v>8435</v>
      </c>
      <c r="AS1" t="s">
        <v>8436</v>
      </c>
      <c r="AT1" t="s">
        <v>8437</v>
      </c>
      <c r="AU1" t="s">
        <v>8438</v>
      </c>
      <c r="AV1" t="s">
        <v>8439</v>
      </c>
      <c r="AW1" t="s">
        <v>8440</v>
      </c>
      <c r="AX1" t="s">
        <v>8441</v>
      </c>
      <c r="AY1" t="s">
        <v>8442</v>
      </c>
      <c r="AZ1" t="s">
        <v>8443</v>
      </c>
      <c r="BA1" t="s">
        <v>8444</v>
      </c>
      <c r="BB1" t="s">
        <v>8445</v>
      </c>
      <c r="BC1" t="s">
        <v>8446</v>
      </c>
      <c r="BD1" t="s">
        <v>8447</v>
      </c>
      <c r="BE1" t="s">
        <v>8448</v>
      </c>
      <c r="BF1" s="6" t="s">
        <v>8449</v>
      </c>
      <c r="BG1" t="s">
        <v>8450</v>
      </c>
      <c r="BH1" t="s">
        <v>8451</v>
      </c>
      <c r="BI1" t="s">
        <v>8452</v>
      </c>
      <c r="BJ1" t="s">
        <v>8453</v>
      </c>
      <c r="BK1" t="s">
        <v>8454</v>
      </c>
      <c r="BL1" t="s">
        <v>8455</v>
      </c>
      <c r="BM1" t="s">
        <v>8456</v>
      </c>
      <c r="BN1" t="s">
        <v>8457</v>
      </c>
      <c r="BO1" t="s">
        <v>8458</v>
      </c>
      <c r="BP1" t="s">
        <v>8459</v>
      </c>
      <c r="BQ1" t="s">
        <v>8460</v>
      </c>
      <c r="BR1" t="s">
        <v>8461</v>
      </c>
      <c r="BS1" t="s">
        <v>8462</v>
      </c>
      <c r="BT1" t="s">
        <v>8463</v>
      </c>
      <c r="BU1" t="s">
        <v>8464</v>
      </c>
      <c r="BV1" t="s">
        <v>8465</v>
      </c>
      <c r="BW1" t="s">
        <v>8466</v>
      </c>
      <c r="BX1" t="s">
        <v>8467</v>
      </c>
      <c r="BY1" t="s">
        <v>8468</v>
      </c>
      <c r="BZ1" t="s">
        <v>8469</v>
      </c>
      <c r="CA1" t="s">
        <v>8470</v>
      </c>
      <c r="CB1" t="s">
        <v>8471</v>
      </c>
      <c r="CC1" t="s">
        <v>8472</v>
      </c>
      <c r="CD1" t="s">
        <v>8473</v>
      </c>
      <c r="CE1" t="s">
        <v>8474</v>
      </c>
      <c r="CF1" t="s">
        <v>8475</v>
      </c>
      <c r="CG1" t="s">
        <v>8476</v>
      </c>
      <c r="CH1" t="s">
        <v>8477</v>
      </c>
      <c r="CI1" t="s">
        <v>8478</v>
      </c>
      <c r="CJ1" t="s">
        <v>8479</v>
      </c>
      <c r="CK1" t="s">
        <v>8480</v>
      </c>
      <c r="CL1" t="s">
        <v>8481</v>
      </c>
      <c r="CM1" s="16" t="s">
        <v>8482</v>
      </c>
      <c r="CN1" s="16" t="s">
        <v>8483</v>
      </c>
      <c r="CO1" t="s">
        <v>8484</v>
      </c>
      <c r="CP1" t="s">
        <v>8485</v>
      </c>
      <c r="CQ1" t="s">
        <v>8486</v>
      </c>
      <c r="CR1" t="s">
        <v>8487</v>
      </c>
      <c r="CS1" t="s">
        <v>8488</v>
      </c>
      <c r="CT1" t="s">
        <v>8489</v>
      </c>
      <c r="CU1" t="s">
        <v>8490</v>
      </c>
      <c r="CV1" t="s">
        <v>8491</v>
      </c>
      <c r="CW1" t="s">
        <v>8492</v>
      </c>
      <c r="CX1" t="s">
        <v>8493</v>
      </c>
      <c r="CY1" t="s">
        <v>8494</v>
      </c>
      <c r="CZ1" t="s">
        <v>8495</v>
      </c>
      <c r="DA1" t="s">
        <v>8496</v>
      </c>
      <c r="DB1" t="s">
        <v>8497</v>
      </c>
      <c r="DC1" t="s">
        <v>8498</v>
      </c>
      <c r="DD1" t="s">
        <v>8499</v>
      </c>
      <c r="DE1" t="s">
        <v>8500</v>
      </c>
      <c r="DF1" t="s">
        <v>8501</v>
      </c>
      <c r="DG1" t="s">
        <v>8502</v>
      </c>
      <c r="DH1" t="s">
        <v>8503</v>
      </c>
      <c r="DI1" t="s">
        <v>8504</v>
      </c>
      <c r="DJ1" t="s">
        <v>8505</v>
      </c>
      <c r="DK1" t="s">
        <v>8506</v>
      </c>
      <c r="DL1" t="s">
        <v>8507</v>
      </c>
      <c r="DM1" t="s">
        <v>8508</v>
      </c>
      <c r="DN1" t="s">
        <v>8509</v>
      </c>
      <c r="DO1" t="s">
        <v>8510</v>
      </c>
      <c r="DP1" t="s">
        <v>8511</v>
      </c>
      <c r="DQ1" t="s">
        <v>8512</v>
      </c>
      <c r="DR1" t="s">
        <v>8513</v>
      </c>
      <c r="DS1" t="s">
        <v>8514</v>
      </c>
      <c r="DT1" t="s">
        <v>8515</v>
      </c>
      <c r="DU1" t="s">
        <v>8516</v>
      </c>
      <c r="DV1" t="s">
        <v>8517</v>
      </c>
      <c r="DW1" t="s">
        <v>8518</v>
      </c>
      <c r="DX1" t="s">
        <v>8519</v>
      </c>
      <c r="DY1" t="s">
        <v>8520</v>
      </c>
      <c r="DZ1" t="s">
        <v>8521</v>
      </c>
      <c r="EA1" t="s">
        <v>8522</v>
      </c>
      <c r="EB1" t="s">
        <v>8523</v>
      </c>
      <c r="EC1" t="s">
        <v>8524</v>
      </c>
      <c r="ED1" t="s">
        <v>8525</v>
      </c>
      <c r="EE1" t="s">
        <v>8526</v>
      </c>
      <c r="EF1" t="s">
        <v>8527</v>
      </c>
      <c r="EG1" t="s">
        <v>8528</v>
      </c>
      <c r="EH1" t="s">
        <v>8529</v>
      </c>
      <c r="EI1" t="s">
        <v>8530</v>
      </c>
      <c r="EJ1" t="s">
        <v>8531</v>
      </c>
      <c r="EK1" t="s">
        <v>8532</v>
      </c>
      <c r="EL1" t="s">
        <v>8533</v>
      </c>
      <c r="EM1" t="s">
        <v>8534</v>
      </c>
      <c r="EN1" t="s">
        <v>202</v>
      </c>
      <c r="EO1" t="s">
        <v>880</v>
      </c>
    </row>
    <row r="2" spans="1:145" ht="15">
      <c r="A2" s="82"/>
      <c r="B2" s="5"/>
      <c r="D2" s="5"/>
      <c r="E2" s="5"/>
      <c r="G2" s="81"/>
      <c r="H2" s="21"/>
      <c r="I2" s="22"/>
      <c r="J2" s="84"/>
      <c r="K2" s="23"/>
      <c r="L2" s="23"/>
      <c r="M2" s="24"/>
      <c r="N2" s="24"/>
      <c r="O2" s="24"/>
      <c r="P2" s="24"/>
      <c r="S2" s="2"/>
      <c r="U2" s="2"/>
      <c r="AW2" s="2"/>
      <c r="BK2" s="2"/>
      <c r="CD2" s="2"/>
      <c r="CF2" s="2"/>
      <c r="DV2" s="2"/>
    </row>
    <row r="3" spans="1:145">
      <c r="E3" s="5"/>
      <c r="H3" s="5"/>
      <c r="I3" s="22"/>
      <c r="J3" s="84"/>
      <c r="K3" s="23"/>
      <c r="L3" s="23"/>
      <c r="M3" s="24"/>
      <c r="N3" s="24"/>
      <c r="O3" s="24"/>
      <c r="P3" s="24"/>
      <c r="S3" s="2"/>
      <c r="U3" s="2"/>
      <c r="BK3" s="2"/>
      <c r="CD3" s="2"/>
      <c r="CF3" s="2"/>
      <c r="DV3" s="2"/>
    </row>
    <row r="4" spans="1:145">
      <c r="B4" s="5"/>
      <c r="C4" s="5"/>
      <c r="E4" s="5"/>
      <c r="I4" s="22"/>
      <c r="J4" s="84"/>
      <c r="K4" s="23"/>
      <c r="L4" s="23"/>
      <c r="M4" s="24"/>
      <c r="N4" s="24"/>
      <c r="O4" s="24"/>
      <c r="P4" s="24"/>
      <c r="S4" s="2"/>
      <c r="U4" s="2"/>
      <c r="BK4" s="2"/>
      <c r="CD4" s="2"/>
      <c r="CF4" s="2"/>
      <c r="DV4" s="2"/>
    </row>
    <row r="5" spans="1:145">
      <c r="B5" s="5"/>
      <c r="E5" s="5"/>
      <c r="I5" s="22"/>
      <c r="J5" s="84"/>
      <c r="K5" s="23"/>
      <c r="L5" s="23"/>
      <c r="M5" s="24"/>
      <c r="N5" s="24"/>
      <c r="O5" s="24"/>
      <c r="P5" s="24"/>
      <c r="S5" s="2"/>
      <c r="U5" s="2"/>
      <c r="BK5" s="2"/>
      <c r="CD5" s="2"/>
      <c r="CF5" s="2"/>
      <c r="DV5" s="2"/>
    </row>
    <row r="6" spans="1:145">
      <c r="B6" s="5"/>
      <c r="E6" s="5"/>
      <c r="F6" s="5"/>
      <c r="I6" s="22"/>
      <c r="J6" s="84"/>
      <c r="K6" s="23"/>
      <c r="L6" s="23"/>
      <c r="M6" s="24"/>
      <c r="N6" s="24"/>
      <c r="O6" s="24"/>
      <c r="P6" s="24"/>
      <c r="BK6" s="2"/>
      <c r="DV6" s="2"/>
    </row>
    <row r="7" spans="1:145">
      <c r="B7" s="5"/>
      <c r="E7" s="5"/>
      <c r="I7" s="22"/>
      <c r="J7" s="84"/>
      <c r="K7" s="23"/>
      <c r="L7" s="23"/>
      <c r="M7" s="24"/>
      <c r="N7" s="24"/>
      <c r="O7" s="24"/>
      <c r="P7" s="24"/>
      <c r="BK7" s="2"/>
      <c r="DV7" s="2"/>
    </row>
    <row r="8" spans="1:145">
      <c r="B8" s="5"/>
      <c r="E8" s="5"/>
      <c r="L8" s="2"/>
      <c r="BK8" s="2"/>
      <c r="DV8" s="2"/>
    </row>
    <row r="9" spans="1:145">
      <c r="B9" s="5"/>
      <c r="E9" s="5"/>
      <c r="L9" s="2"/>
      <c r="BK9" s="2"/>
      <c r="DV9" s="2"/>
    </row>
    <row r="10" spans="1:145">
      <c r="B10" s="5"/>
      <c r="E10" s="5"/>
      <c r="F10" s="5"/>
      <c r="G10" s="5"/>
      <c r="L10" s="2"/>
      <c r="BK10" s="2"/>
      <c r="DV10" s="2"/>
    </row>
    <row r="11" spans="1:145">
      <c r="E11" s="5"/>
      <c r="H11" s="5"/>
      <c r="L11" s="2"/>
      <c r="BK11" s="2"/>
      <c r="DV11" s="2"/>
    </row>
    <row r="12" spans="1:145">
      <c r="K12" s="6"/>
      <c r="L12" s="2"/>
      <c r="BK12" s="2"/>
      <c r="DV12" s="2"/>
    </row>
    <row r="13" spans="1:145">
      <c r="L13" s="2"/>
      <c r="BK13" s="2"/>
      <c r="DV13" s="2"/>
    </row>
    <row r="14" spans="1:145">
      <c r="F14" s="5"/>
      <c r="G14" s="5"/>
      <c r="L14" s="2"/>
      <c r="DV14" s="2"/>
    </row>
    <row r="15" spans="1:145">
      <c r="K15" s="6"/>
      <c r="L15" s="2"/>
      <c r="DV15" s="2"/>
    </row>
    <row r="16" spans="1:145">
      <c r="L16" s="2"/>
      <c r="DV16" s="2"/>
    </row>
    <row r="17" spans="4:126">
      <c r="L17" s="2"/>
      <c r="DV17" s="2"/>
    </row>
    <row r="18" spans="4:126">
      <c r="D18" s="5"/>
      <c r="F18" s="5"/>
      <c r="L18" s="2"/>
      <c r="DV18" s="2"/>
    </row>
    <row r="19" spans="4:126">
      <c r="D19" s="5"/>
      <c r="E19" s="5"/>
      <c r="G19" s="5"/>
      <c r="L19" s="2"/>
      <c r="M19" s="6"/>
      <c r="DV19" s="2"/>
    </row>
    <row r="20" spans="4:126">
      <c r="L20" s="2"/>
      <c r="DV20" s="2"/>
    </row>
    <row r="21" spans="4:126">
      <c r="H21" s="5"/>
      <c r="L21" s="2"/>
      <c r="DV21" s="2"/>
    </row>
    <row r="22" spans="4:126">
      <c r="L22" s="2"/>
    </row>
    <row r="23" spans="4:126">
      <c r="L23" s="2"/>
    </row>
    <row r="24" spans="4:126">
      <c r="G24" s="5"/>
    </row>
    <row r="26" spans="4:126">
      <c r="G26" s="5"/>
    </row>
    <row r="27" spans="4:126">
      <c r="G27" s="5"/>
    </row>
    <row r="28" spans="4:126">
      <c r="I28" s="15"/>
    </row>
    <row r="29" spans="4:126">
      <c r="F29" s="5"/>
    </row>
    <row r="31" spans="4:126">
      <c r="BG31" s="6"/>
    </row>
    <row r="32" spans="4:126">
      <c r="E32" s="7"/>
      <c r="L32" s="6"/>
    </row>
    <row r="36" spans="3:9">
      <c r="E36" s="5"/>
    </row>
    <row r="37" spans="3:9">
      <c r="C37" s="5"/>
      <c r="F37" s="5"/>
    </row>
    <row r="38" spans="3:9">
      <c r="E38" s="5"/>
    </row>
    <row r="39" spans="3:9">
      <c r="I39" s="6"/>
    </row>
  </sheetData>
  <sheetProtection formatCells="0" formatColumns="0" formatRows="0" insertColumns="0" insertRows="0" insertHyperlinks="0" deleteColumns="0" deleteRows="0" sort="0" autoFilter="0" pivotTables="0"/>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P989"/>
  <sheetViews>
    <sheetView showGridLines="0" zoomScale="85" zoomScaleNormal="85" workbookViewId="0">
      <selection activeCell="G18" sqref="G18"/>
    </sheetView>
  </sheetViews>
  <sheetFormatPr defaultColWidth="18.625" defaultRowHeight="13.5"/>
  <cols>
    <col min="1" max="1" width="27.625" style="30" customWidth="1"/>
    <col min="2" max="2" width="30.625" style="30" customWidth="1"/>
    <col min="3" max="3" width="12.25" style="30" customWidth="1"/>
    <col min="4" max="4" width="17.125" style="30" customWidth="1"/>
    <col min="5" max="5" width="14.625" style="30" bestFit="1" customWidth="1"/>
    <col min="6" max="6" width="24.75" style="30" customWidth="1"/>
    <col min="7" max="7" width="27.875" style="30" customWidth="1"/>
    <col min="8" max="8" width="49.875" style="30" customWidth="1"/>
    <col min="9" max="9" width="18.625" style="79" customWidth="1"/>
    <col min="10" max="256" width="18.625" style="30"/>
    <col min="257" max="257" width="28.25" style="30" customWidth="1"/>
    <col min="258" max="258" width="15" style="30" customWidth="1"/>
    <col min="259" max="259" width="12.25" style="30" customWidth="1"/>
    <col min="260" max="260" width="17.875" style="30" customWidth="1"/>
    <col min="261" max="261" width="10.375" style="30" customWidth="1"/>
    <col min="262" max="262" width="14" style="30" customWidth="1"/>
    <col min="263" max="263" width="29.75" style="30" customWidth="1"/>
    <col min="264" max="264" width="30.625" style="30" customWidth="1"/>
    <col min="265" max="265" width="18.625" style="30" customWidth="1"/>
    <col min="266" max="512" width="18.625" style="30"/>
    <col min="513" max="513" width="28.25" style="30" customWidth="1"/>
    <col min="514" max="514" width="15" style="30" customWidth="1"/>
    <col min="515" max="515" width="12.25" style="30" customWidth="1"/>
    <col min="516" max="516" width="17.875" style="30" customWidth="1"/>
    <col min="517" max="517" width="10.375" style="30" customWidth="1"/>
    <col min="518" max="518" width="14" style="30" customWidth="1"/>
    <col min="519" max="519" width="29.75" style="30" customWidth="1"/>
    <col min="520" max="520" width="30.625" style="30" customWidth="1"/>
    <col min="521" max="521" width="18.625" style="30" customWidth="1"/>
    <col min="522" max="768" width="18.625" style="30"/>
    <col min="769" max="769" width="28.25" style="30" customWidth="1"/>
    <col min="770" max="770" width="15" style="30" customWidth="1"/>
    <col min="771" max="771" width="12.25" style="30" customWidth="1"/>
    <col min="772" max="772" width="17.875" style="30" customWidth="1"/>
    <col min="773" max="773" width="10.375" style="30" customWidth="1"/>
    <col min="774" max="774" width="14" style="30" customWidth="1"/>
    <col min="775" max="775" width="29.75" style="30" customWidth="1"/>
    <col min="776" max="776" width="30.625" style="30" customWidth="1"/>
    <col min="777" max="777" width="18.625" style="30" customWidth="1"/>
    <col min="778" max="1024" width="18.625" style="30"/>
    <col min="1025" max="1025" width="28.25" style="30" customWidth="1"/>
    <col min="1026" max="1026" width="15" style="30" customWidth="1"/>
    <col min="1027" max="1027" width="12.25" style="30" customWidth="1"/>
    <col min="1028" max="1028" width="17.875" style="30" customWidth="1"/>
    <col min="1029" max="1029" width="10.375" style="30" customWidth="1"/>
    <col min="1030" max="1030" width="14" style="30" customWidth="1"/>
    <col min="1031" max="1031" width="29.75" style="30" customWidth="1"/>
    <col min="1032" max="1032" width="30.625" style="30" customWidth="1"/>
    <col min="1033" max="1033" width="18.625" style="30" customWidth="1"/>
    <col min="1034" max="1280" width="18.625" style="30"/>
    <col min="1281" max="1281" width="28.25" style="30" customWidth="1"/>
    <col min="1282" max="1282" width="15" style="30" customWidth="1"/>
    <col min="1283" max="1283" width="12.25" style="30" customWidth="1"/>
    <col min="1284" max="1284" width="17.875" style="30" customWidth="1"/>
    <col min="1285" max="1285" width="10.375" style="30" customWidth="1"/>
    <col min="1286" max="1286" width="14" style="30" customWidth="1"/>
    <col min="1287" max="1287" width="29.75" style="30" customWidth="1"/>
    <col min="1288" max="1288" width="30.625" style="30" customWidth="1"/>
    <col min="1289" max="1289" width="18.625" style="30" customWidth="1"/>
    <col min="1290" max="1536" width="18.625" style="30"/>
    <col min="1537" max="1537" width="28.25" style="30" customWidth="1"/>
    <col min="1538" max="1538" width="15" style="30" customWidth="1"/>
    <col min="1539" max="1539" width="12.25" style="30" customWidth="1"/>
    <col min="1540" max="1540" width="17.875" style="30" customWidth="1"/>
    <col min="1541" max="1541" width="10.375" style="30" customWidth="1"/>
    <col min="1542" max="1542" width="14" style="30" customWidth="1"/>
    <col min="1543" max="1543" width="29.75" style="30" customWidth="1"/>
    <col min="1544" max="1544" width="30.625" style="30" customWidth="1"/>
    <col min="1545" max="1545" width="18.625" style="30" customWidth="1"/>
    <col min="1546" max="1792" width="18.625" style="30"/>
    <col min="1793" max="1793" width="28.25" style="30" customWidth="1"/>
    <col min="1794" max="1794" width="15" style="30" customWidth="1"/>
    <col min="1795" max="1795" width="12.25" style="30" customWidth="1"/>
    <col min="1796" max="1796" width="17.875" style="30" customWidth="1"/>
    <col min="1797" max="1797" width="10.375" style="30" customWidth="1"/>
    <col min="1798" max="1798" width="14" style="30" customWidth="1"/>
    <col min="1799" max="1799" width="29.75" style="30" customWidth="1"/>
    <col min="1800" max="1800" width="30.625" style="30" customWidth="1"/>
    <col min="1801" max="1801" width="18.625" style="30" customWidth="1"/>
    <col min="1802" max="2048" width="18.625" style="30"/>
    <col min="2049" max="2049" width="28.25" style="30" customWidth="1"/>
    <col min="2050" max="2050" width="15" style="30" customWidth="1"/>
    <col min="2051" max="2051" width="12.25" style="30" customWidth="1"/>
    <col min="2052" max="2052" width="17.875" style="30" customWidth="1"/>
    <col min="2053" max="2053" width="10.375" style="30" customWidth="1"/>
    <col min="2054" max="2054" width="14" style="30" customWidth="1"/>
    <col min="2055" max="2055" width="29.75" style="30" customWidth="1"/>
    <col min="2056" max="2056" width="30.625" style="30" customWidth="1"/>
    <col min="2057" max="2057" width="18.625" style="30" customWidth="1"/>
    <col min="2058" max="2304" width="18.625" style="30"/>
    <col min="2305" max="2305" width="28.25" style="30" customWidth="1"/>
    <col min="2306" max="2306" width="15" style="30" customWidth="1"/>
    <col min="2307" max="2307" width="12.25" style="30" customWidth="1"/>
    <col min="2308" max="2308" width="17.875" style="30" customWidth="1"/>
    <col min="2309" max="2309" width="10.375" style="30" customWidth="1"/>
    <col min="2310" max="2310" width="14" style="30" customWidth="1"/>
    <col min="2311" max="2311" width="29.75" style="30" customWidth="1"/>
    <col min="2312" max="2312" width="30.625" style="30" customWidth="1"/>
    <col min="2313" max="2313" width="18.625" style="30" customWidth="1"/>
    <col min="2314" max="2560" width="18.625" style="30"/>
    <col min="2561" max="2561" width="28.25" style="30" customWidth="1"/>
    <col min="2562" max="2562" width="15" style="30" customWidth="1"/>
    <col min="2563" max="2563" width="12.25" style="30" customWidth="1"/>
    <col min="2564" max="2564" width="17.875" style="30" customWidth="1"/>
    <col min="2565" max="2565" width="10.375" style="30" customWidth="1"/>
    <col min="2566" max="2566" width="14" style="30" customWidth="1"/>
    <col min="2567" max="2567" width="29.75" style="30" customWidth="1"/>
    <col min="2568" max="2568" width="30.625" style="30" customWidth="1"/>
    <col min="2569" max="2569" width="18.625" style="30" customWidth="1"/>
    <col min="2570" max="2816" width="18.625" style="30"/>
    <col min="2817" max="2817" width="28.25" style="30" customWidth="1"/>
    <col min="2818" max="2818" width="15" style="30" customWidth="1"/>
    <col min="2819" max="2819" width="12.25" style="30" customWidth="1"/>
    <col min="2820" max="2820" width="17.875" style="30" customWidth="1"/>
    <col min="2821" max="2821" width="10.375" style="30" customWidth="1"/>
    <col min="2822" max="2822" width="14" style="30" customWidth="1"/>
    <col min="2823" max="2823" width="29.75" style="30" customWidth="1"/>
    <col min="2824" max="2824" width="30.625" style="30" customWidth="1"/>
    <col min="2825" max="2825" width="18.625" style="30" customWidth="1"/>
    <col min="2826" max="3072" width="18.625" style="30"/>
    <col min="3073" max="3073" width="28.25" style="30" customWidth="1"/>
    <col min="3074" max="3074" width="15" style="30" customWidth="1"/>
    <col min="3075" max="3075" width="12.25" style="30" customWidth="1"/>
    <col min="3076" max="3076" width="17.875" style="30" customWidth="1"/>
    <col min="3077" max="3077" width="10.375" style="30" customWidth="1"/>
    <col min="3078" max="3078" width="14" style="30" customWidth="1"/>
    <col min="3079" max="3079" width="29.75" style="30" customWidth="1"/>
    <col min="3080" max="3080" width="30.625" style="30" customWidth="1"/>
    <col min="3081" max="3081" width="18.625" style="30" customWidth="1"/>
    <col min="3082" max="3328" width="18.625" style="30"/>
    <col min="3329" max="3329" width="28.25" style="30" customWidth="1"/>
    <col min="3330" max="3330" width="15" style="30" customWidth="1"/>
    <col min="3331" max="3331" width="12.25" style="30" customWidth="1"/>
    <col min="3332" max="3332" width="17.875" style="30" customWidth="1"/>
    <col min="3333" max="3333" width="10.375" style="30" customWidth="1"/>
    <col min="3334" max="3334" width="14" style="30" customWidth="1"/>
    <col min="3335" max="3335" width="29.75" style="30" customWidth="1"/>
    <col min="3336" max="3336" width="30.625" style="30" customWidth="1"/>
    <col min="3337" max="3337" width="18.625" style="30" customWidth="1"/>
    <col min="3338" max="3584" width="18.625" style="30"/>
    <col min="3585" max="3585" width="28.25" style="30" customWidth="1"/>
    <col min="3586" max="3586" width="15" style="30" customWidth="1"/>
    <col min="3587" max="3587" width="12.25" style="30" customWidth="1"/>
    <col min="3588" max="3588" width="17.875" style="30" customWidth="1"/>
    <col min="3589" max="3589" width="10.375" style="30" customWidth="1"/>
    <col min="3590" max="3590" width="14" style="30" customWidth="1"/>
    <col min="3591" max="3591" width="29.75" style="30" customWidth="1"/>
    <col min="3592" max="3592" width="30.625" style="30" customWidth="1"/>
    <col min="3593" max="3593" width="18.625" style="30" customWidth="1"/>
    <col min="3594" max="3840" width="18.625" style="30"/>
    <col min="3841" max="3841" width="28.25" style="30" customWidth="1"/>
    <col min="3842" max="3842" width="15" style="30" customWidth="1"/>
    <col min="3843" max="3843" width="12.25" style="30" customWidth="1"/>
    <col min="3844" max="3844" width="17.875" style="30" customWidth="1"/>
    <col min="3845" max="3845" width="10.375" style="30" customWidth="1"/>
    <col min="3846" max="3846" width="14" style="30" customWidth="1"/>
    <col min="3847" max="3847" width="29.75" style="30" customWidth="1"/>
    <col min="3848" max="3848" width="30.625" style="30" customWidth="1"/>
    <col min="3849" max="3849" width="18.625" style="30" customWidth="1"/>
    <col min="3850" max="4096" width="18.625" style="30"/>
    <col min="4097" max="4097" width="28.25" style="30" customWidth="1"/>
    <col min="4098" max="4098" width="15" style="30" customWidth="1"/>
    <col min="4099" max="4099" width="12.25" style="30" customWidth="1"/>
    <col min="4100" max="4100" width="17.875" style="30" customWidth="1"/>
    <col min="4101" max="4101" width="10.375" style="30" customWidth="1"/>
    <col min="4102" max="4102" width="14" style="30" customWidth="1"/>
    <col min="4103" max="4103" width="29.75" style="30" customWidth="1"/>
    <col min="4104" max="4104" width="30.625" style="30" customWidth="1"/>
    <col min="4105" max="4105" width="18.625" style="30" customWidth="1"/>
    <col min="4106" max="4352" width="18.625" style="30"/>
    <col min="4353" max="4353" width="28.25" style="30" customWidth="1"/>
    <col min="4354" max="4354" width="15" style="30" customWidth="1"/>
    <col min="4355" max="4355" width="12.25" style="30" customWidth="1"/>
    <col min="4356" max="4356" width="17.875" style="30" customWidth="1"/>
    <col min="4357" max="4357" width="10.375" style="30" customWidth="1"/>
    <col min="4358" max="4358" width="14" style="30" customWidth="1"/>
    <col min="4359" max="4359" width="29.75" style="30" customWidth="1"/>
    <col min="4360" max="4360" width="30.625" style="30" customWidth="1"/>
    <col min="4361" max="4361" width="18.625" style="30" customWidth="1"/>
    <col min="4362" max="4608" width="18.625" style="30"/>
    <col min="4609" max="4609" width="28.25" style="30" customWidth="1"/>
    <col min="4610" max="4610" width="15" style="30" customWidth="1"/>
    <col min="4611" max="4611" width="12.25" style="30" customWidth="1"/>
    <col min="4612" max="4612" width="17.875" style="30" customWidth="1"/>
    <col min="4613" max="4613" width="10.375" style="30" customWidth="1"/>
    <col min="4614" max="4614" width="14" style="30" customWidth="1"/>
    <col min="4615" max="4615" width="29.75" style="30" customWidth="1"/>
    <col min="4616" max="4616" width="30.625" style="30" customWidth="1"/>
    <col min="4617" max="4617" width="18.625" style="30" customWidth="1"/>
    <col min="4618" max="4864" width="18.625" style="30"/>
    <col min="4865" max="4865" width="28.25" style="30" customWidth="1"/>
    <col min="4866" max="4866" width="15" style="30" customWidth="1"/>
    <col min="4867" max="4867" width="12.25" style="30" customWidth="1"/>
    <col min="4868" max="4868" width="17.875" style="30" customWidth="1"/>
    <col min="4869" max="4869" width="10.375" style="30" customWidth="1"/>
    <col min="4870" max="4870" width="14" style="30" customWidth="1"/>
    <col min="4871" max="4871" width="29.75" style="30" customWidth="1"/>
    <col min="4872" max="4872" width="30.625" style="30" customWidth="1"/>
    <col min="4873" max="4873" width="18.625" style="30" customWidth="1"/>
    <col min="4874" max="5120" width="18.625" style="30"/>
    <col min="5121" max="5121" width="28.25" style="30" customWidth="1"/>
    <col min="5122" max="5122" width="15" style="30" customWidth="1"/>
    <col min="5123" max="5123" width="12.25" style="30" customWidth="1"/>
    <col min="5124" max="5124" width="17.875" style="30" customWidth="1"/>
    <col min="5125" max="5125" width="10.375" style="30" customWidth="1"/>
    <col min="5126" max="5126" width="14" style="30" customWidth="1"/>
    <col min="5127" max="5127" width="29.75" style="30" customWidth="1"/>
    <col min="5128" max="5128" width="30.625" style="30" customWidth="1"/>
    <col min="5129" max="5129" width="18.625" style="30" customWidth="1"/>
    <col min="5130" max="5376" width="18.625" style="30"/>
    <col min="5377" max="5377" width="28.25" style="30" customWidth="1"/>
    <col min="5378" max="5378" width="15" style="30" customWidth="1"/>
    <col min="5379" max="5379" width="12.25" style="30" customWidth="1"/>
    <col min="5380" max="5380" width="17.875" style="30" customWidth="1"/>
    <col min="5381" max="5381" width="10.375" style="30" customWidth="1"/>
    <col min="5382" max="5382" width="14" style="30" customWidth="1"/>
    <col min="5383" max="5383" width="29.75" style="30" customWidth="1"/>
    <col min="5384" max="5384" width="30.625" style="30" customWidth="1"/>
    <col min="5385" max="5385" width="18.625" style="30" customWidth="1"/>
    <col min="5386" max="5632" width="18.625" style="30"/>
    <col min="5633" max="5633" width="28.25" style="30" customWidth="1"/>
    <col min="5634" max="5634" width="15" style="30" customWidth="1"/>
    <col min="5635" max="5635" width="12.25" style="30" customWidth="1"/>
    <col min="5636" max="5636" width="17.875" style="30" customWidth="1"/>
    <col min="5637" max="5637" width="10.375" style="30" customWidth="1"/>
    <col min="5638" max="5638" width="14" style="30" customWidth="1"/>
    <col min="5639" max="5639" width="29.75" style="30" customWidth="1"/>
    <col min="5640" max="5640" width="30.625" style="30" customWidth="1"/>
    <col min="5641" max="5641" width="18.625" style="30" customWidth="1"/>
    <col min="5642" max="5888" width="18.625" style="30"/>
    <col min="5889" max="5889" width="28.25" style="30" customWidth="1"/>
    <col min="5890" max="5890" width="15" style="30" customWidth="1"/>
    <col min="5891" max="5891" width="12.25" style="30" customWidth="1"/>
    <col min="5892" max="5892" width="17.875" style="30" customWidth="1"/>
    <col min="5893" max="5893" width="10.375" style="30" customWidth="1"/>
    <col min="5894" max="5894" width="14" style="30" customWidth="1"/>
    <col min="5895" max="5895" width="29.75" style="30" customWidth="1"/>
    <col min="5896" max="5896" width="30.625" style="30" customWidth="1"/>
    <col min="5897" max="5897" width="18.625" style="30" customWidth="1"/>
    <col min="5898" max="6144" width="18.625" style="30"/>
    <col min="6145" max="6145" width="28.25" style="30" customWidth="1"/>
    <col min="6146" max="6146" width="15" style="30" customWidth="1"/>
    <col min="6147" max="6147" width="12.25" style="30" customWidth="1"/>
    <col min="6148" max="6148" width="17.875" style="30" customWidth="1"/>
    <col min="6149" max="6149" width="10.375" style="30" customWidth="1"/>
    <col min="6150" max="6150" width="14" style="30" customWidth="1"/>
    <col min="6151" max="6151" width="29.75" style="30" customWidth="1"/>
    <col min="6152" max="6152" width="30.625" style="30" customWidth="1"/>
    <col min="6153" max="6153" width="18.625" style="30" customWidth="1"/>
    <col min="6154" max="6400" width="18.625" style="30"/>
    <col min="6401" max="6401" width="28.25" style="30" customWidth="1"/>
    <col min="6402" max="6402" width="15" style="30" customWidth="1"/>
    <col min="6403" max="6403" width="12.25" style="30" customWidth="1"/>
    <col min="6404" max="6404" width="17.875" style="30" customWidth="1"/>
    <col min="6405" max="6405" width="10.375" style="30" customWidth="1"/>
    <col min="6406" max="6406" width="14" style="30" customWidth="1"/>
    <col min="6407" max="6407" width="29.75" style="30" customWidth="1"/>
    <col min="6408" max="6408" width="30.625" style="30" customWidth="1"/>
    <col min="6409" max="6409" width="18.625" style="30" customWidth="1"/>
    <col min="6410" max="6656" width="18.625" style="30"/>
    <col min="6657" max="6657" width="28.25" style="30" customWidth="1"/>
    <col min="6658" max="6658" width="15" style="30" customWidth="1"/>
    <col min="6659" max="6659" width="12.25" style="30" customWidth="1"/>
    <col min="6660" max="6660" width="17.875" style="30" customWidth="1"/>
    <col min="6661" max="6661" width="10.375" style="30" customWidth="1"/>
    <col min="6662" max="6662" width="14" style="30" customWidth="1"/>
    <col min="6663" max="6663" width="29.75" style="30" customWidth="1"/>
    <col min="6664" max="6664" width="30.625" style="30" customWidth="1"/>
    <col min="6665" max="6665" width="18.625" style="30" customWidth="1"/>
    <col min="6666" max="6912" width="18.625" style="30"/>
    <col min="6913" max="6913" width="28.25" style="30" customWidth="1"/>
    <col min="6914" max="6914" width="15" style="30" customWidth="1"/>
    <col min="6915" max="6915" width="12.25" style="30" customWidth="1"/>
    <col min="6916" max="6916" width="17.875" style="30" customWidth="1"/>
    <col min="6917" max="6917" width="10.375" style="30" customWidth="1"/>
    <col min="6918" max="6918" width="14" style="30" customWidth="1"/>
    <col min="6919" max="6919" width="29.75" style="30" customWidth="1"/>
    <col min="6920" max="6920" width="30.625" style="30" customWidth="1"/>
    <col min="6921" max="6921" width="18.625" style="30" customWidth="1"/>
    <col min="6922" max="7168" width="18.625" style="30"/>
    <col min="7169" max="7169" width="28.25" style="30" customWidth="1"/>
    <col min="7170" max="7170" width="15" style="30" customWidth="1"/>
    <col min="7171" max="7171" width="12.25" style="30" customWidth="1"/>
    <col min="7172" max="7172" width="17.875" style="30" customWidth="1"/>
    <col min="7173" max="7173" width="10.375" style="30" customWidth="1"/>
    <col min="7174" max="7174" width="14" style="30" customWidth="1"/>
    <col min="7175" max="7175" width="29.75" style="30" customWidth="1"/>
    <col min="7176" max="7176" width="30.625" style="30" customWidth="1"/>
    <col min="7177" max="7177" width="18.625" style="30" customWidth="1"/>
    <col min="7178" max="7424" width="18.625" style="30"/>
    <col min="7425" max="7425" width="28.25" style="30" customWidth="1"/>
    <col min="7426" max="7426" width="15" style="30" customWidth="1"/>
    <col min="7427" max="7427" width="12.25" style="30" customWidth="1"/>
    <col min="7428" max="7428" width="17.875" style="30" customWidth="1"/>
    <col min="7429" max="7429" width="10.375" style="30" customWidth="1"/>
    <col min="7430" max="7430" width="14" style="30" customWidth="1"/>
    <col min="7431" max="7431" width="29.75" style="30" customWidth="1"/>
    <col min="7432" max="7432" width="30.625" style="30" customWidth="1"/>
    <col min="7433" max="7433" width="18.625" style="30" customWidth="1"/>
    <col min="7434" max="7680" width="18.625" style="30"/>
    <col min="7681" max="7681" width="28.25" style="30" customWidth="1"/>
    <col min="7682" max="7682" width="15" style="30" customWidth="1"/>
    <col min="7683" max="7683" width="12.25" style="30" customWidth="1"/>
    <col min="7684" max="7684" width="17.875" style="30" customWidth="1"/>
    <col min="7685" max="7685" width="10.375" style="30" customWidth="1"/>
    <col min="7686" max="7686" width="14" style="30" customWidth="1"/>
    <col min="7687" max="7687" width="29.75" style="30" customWidth="1"/>
    <col min="7688" max="7688" width="30.625" style="30" customWidth="1"/>
    <col min="7689" max="7689" width="18.625" style="30" customWidth="1"/>
    <col min="7690" max="7936" width="18.625" style="30"/>
    <col min="7937" max="7937" width="28.25" style="30" customWidth="1"/>
    <col min="7938" max="7938" width="15" style="30" customWidth="1"/>
    <col min="7939" max="7939" width="12.25" style="30" customWidth="1"/>
    <col min="7940" max="7940" width="17.875" style="30" customWidth="1"/>
    <col min="7941" max="7941" width="10.375" style="30" customWidth="1"/>
    <col min="7942" max="7942" width="14" style="30" customWidth="1"/>
    <col min="7943" max="7943" width="29.75" style="30" customWidth="1"/>
    <col min="7944" max="7944" width="30.625" style="30" customWidth="1"/>
    <col min="7945" max="7945" width="18.625" style="30" customWidth="1"/>
    <col min="7946" max="8192" width="18.625" style="30"/>
    <col min="8193" max="8193" width="28.25" style="30" customWidth="1"/>
    <col min="8194" max="8194" width="15" style="30" customWidth="1"/>
    <col min="8195" max="8195" width="12.25" style="30" customWidth="1"/>
    <col min="8196" max="8196" width="17.875" style="30" customWidth="1"/>
    <col min="8197" max="8197" width="10.375" style="30" customWidth="1"/>
    <col min="8198" max="8198" width="14" style="30" customWidth="1"/>
    <col min="8199" max="8199" width="29.75" style="30" customWidth="1"/>
    <col min="8200" max="8200" width="30.625" style="30" customWidth="1"/>
    <col min="8201" max="8201" width="18.625" style="30" customWidth="1"/>
    <col min="8202" max="8448" width="18.625" style="30"/>
    <col min="8449" max="8449" width="28.25" style="30" customWidth="1"/>
    <col min="8450" max="8450" width="15" style="30" customWidth="1"/>
    <col min="8451" max="8451" width="12.25" style="30" customWidth="1"/>
    <col min="8452" max="8452" width="17.875" style="30" customWidth="1"/>
    <col min="8453" max="8453" width="10.375" style="30" customWidth="1"/>
    <col min="8454" max="8454" width="14" style="30" customWidth="1"/>
    <col min="8455" max="8455" width="29.75" style="30" customWidth="1"/>
    <col min="8456" max="8456" width="30.625" style="30" customWidth="1"/>
    <col min="8457" max="8457" width="18.625" style="30" customWidth="1"/>
    <col min="8458" max="8704" width="18.625" style="30"/>
    <col min="8705" max="8705" width="28.25" style="30" customWidth="1"/>
    <col min="8706" max="8706" width="15" style="30" customWidth="1"/>
    <col min="8707" max="8707" width="12.25" style="30" customWidth="1"/>
    <col min="8708" max="8708" width="17.875" style="30" customWidth="1"/>
    <col min="8709" max="8709" width="10.375" style="30" customWidth="1"/>
    <col min="8710" max="8710" width="14" style="30" customWidth="1"/>
    <col min="8711" max="8711" width="29.75" style="30" customWidth="1"/>
    <col min="8712" max="8712" width="30.625" style="30" customWidth="1"/>
    <col min="8713" max="8713" width="18.625" style="30" customWidth="1"/>
    <col min="8714" max="8960" width="18.625" style="30"/>
    <col min="8961" max="8961" width="28.25" style="30" customWidth="1"/>
    <col min="8962" max="8962" width="15" style="30" customWidth="1"/>
    <col min="8963" max="8963" width="12.25" style="30" customWidth="1"/>
    <col min="8964" max="8964" width="17.875" style="30" customWidth="1"/>
    <col min="8965" max="8965" width="10.375" style="30" customWidth="1"/>
    <col min="8966" max="8966" width="14" style="30" customWidth="1"/>
    <col min="8967" max="8967" width="29.75" style="30" customWidth="1"/>
    <col min="8968" max="8968" width="30.625" style="30" customWidth="1"/>
    <col min="8969" max="8969" width="18.625" style="30" customWidth="1"/>
    <col min="8970" max="9216" width="18.625" style="30"/>
    <col min="9217" max="9217" width="28.25" style="30" customWidth="1"/>
    <col min="9218" max="9218" width="15" style="30" customWidth="1"/>
    <col min="9219" max="9219" width="12.25" style="30" customWidth="1"/>
    <col min="9220" max="9220" width="17.875" style="30" customWidth="1"/>
    <col min="9221" max="9221" width="10.375" style="30" customWidth="1"/>
    <col min="9222" max="9222" width="14" style="30" customWidth="1"/>
    <col min="9223" max="9223" width="29.75" style="30" customWidth="1"/>
    <col min="9224" max="9224" width="30.625" style="30" customWidth="1"/>
    <col min="9225" max="9225" width="18.625" style="30" customWidth="1"/>
    <col min="9226" max="9472" width="18.625" style="30"/>
    <col min="9473" max="9473" width="28.25" style="30" customWidth="1"/>
    <col min="9474" max="9474" width="15" style="30" customWidth="1"/>
    <col min="9475" max="9475" width="12.25" style="30" customWidth="1"/>
    <col min="9476" max="9476" width="17.875" style="30" customWidth="1"/>
    <col min="9477" max="9477" width="10.375" style="30" customWidth="1"/>
    <col min="9478" max="9478" width="14" style="30" customWidth="1"/>
    <col min="9479" max="9479" width="29.75" style="30" customWidth="1"/>
    <col min="9480" max="9480" width="30.625" style="30" customWidth="1"/>
    <col min="9481" max="9481" width="18.625" style="30" customWidth="1"/>
    <col min="9482" max="9728" width="18.625" style="30"/>
    <col min="9729" max="9729" width="28.25" style="30" customWidth="1"/>
    <col min="9730" max="9730" width="15" style="30" customWidth="1"/>
    <col min="9731" max="9731" width="12.25" style="30" customWidth="1"/>
    <col min="9732" max="9732" width="17.875" style="30" customWidth="1"/>
    <col min="9733" max="9733" width="10.375" style="30" customWidth="1"/>
    <col min="9734" max="9734" width="14" style="30" customWidth="1"/>
    <col min="9735" max="9735" width="29.75" style="30" customWidth="1"/>
    <col min="9736" max="9736" width="30.625" style="30" customWidth="1"/>
    <col min="9737" max="9737" width="18.625" style="30" customWidth="1"/>
    <col min="9738" max="9984" width="18.625" style="30"/>
    <col min="9985" max="9985" width="28.25" style="30" customWidth="1"/>
    <col min="9986" max="9986" width="15" style="30" customWidth="1"/>
    <col min="9987" max="9987" width="12.25" style="30" customWidth="1"/>
    <col min="9988" max="9988" width="17.875" style="30" customWidth="1"/>
    <col min="9989" max="9989" width="10.375" style="30" customWidth="1"/>
    <col min="9990" max="9990" width="14" style="30" customWidth="1"/>
    <col min="9991" max="9991" width="29.75" style="30" customWidth="1"/>
    <col min="9992" max="9992" width="30.625" style="30" customWidth="1"/>
    <col min="9993" max="9993" width="18.625" style="30" customWidth="1"/>
    <col min="9994" max="10240" width="18.625" style="30"/>
    <col min="10241" max="10241" width="28.25" style="30" customWidth="1"/>
    <col min="10242" max="10242" width="15" style="30" customWidth="1"/>
    <col min="10243" max="10243" width="12.25" style="30" customWidth="1"/>
    <col min="10244" max="10244" width="17.875" style="30" customWidth="1"/>
    <col min="10245" max="10245" width="10.375" style="30" customWidth="1"/>
    <col min="10246" max="10246" width="14" style="30" customWidth="1"/>
    <col min="10247" max="10247" width="29.75" style="30" customWidth="1"/>
    <col min="10248" max="10248" width="30.625" style="30" customWidth="1"/>
    <col min="10249" max="10249" width="18.625" style="30" customWidth="1"/>
    <col min="10250" max="10496" width="18.625" style="30"/>
    <col min="10497" max="10497" width="28.25" style="30" customWidth="1"/>
    <col min="10498" max="10498" width="15" style="30" customWidth="1"/>
    <col min="10499" max="10499" width="12.25" style="30" customWidth="1"/>
    <col min="10500" max="10500" width="17.875" style="30" customWidth="1"/>
    <col min="10501" max="10501" width="10.375" style="30" customWidth="1"/>
    <col min="10502" max="10502" width="14" style="30" customWidth="1"/>
    <col min="10503" max="10503" width="29.75" style="30" customWidth="1"/>
    <col min="10504" max="10504" width="30.625" style="30" customWidth="1"/>
    <col min="10505" max="10505" width="18.625" style="30" customWidth="1"/>
    <col min="10506" max="10752" width="18.625" style="30"/>
    <col min="10753" max="10753" width="28.25" style="30" customWidth="1"/>
    <col min="10754" max="10754" width="15" style="30" customWidth="1"/>
    <col min="10755" max="10755" width="12.25" style="30" customWidth="1"/>
    <col min="10756" max="10756" width="17.875" style="30" customWidth="1"/>
    <col min="10757" max="10757" width="10.375" style="30" customWidth="1"/>
    <col min="10758" max="10758" width="14" style="30" customWidth="1"/>
    <col min="10759" max="10759" width="29.75" style="30" customWidth="1"/>
    <col min="10760" max="10760" width="30.625" style="30" customWidth="1"/>
    <col min="10761" max="10761" width="18.625" style="30" customWidth="1"/>
    <col min="10762" max="11008" width="18.625" style="30"/>
    <col min="11009" max="11009" width="28.25" style="30" customWidth="1"/>
    <col min="11010" max="11010" width="15" style="30" customWidth="1"/>
    <col min="11011" max="11011" width="12.25" style="30" customWidth="1"/>
    <col min="11012" max="11012" width="17.875" style="30" customWidth="1"/>
    <col min="11013" max="11013" width="10.375" style="30" customWidth="1"/>
    <col min="11014" max="11014" width="14" style="30" customWidth="1"/>
    <col min="11015" max="11015" width="29.75" style="30" customWidth="1"/>
    <col min="11016" max="11016" width="30.625" style="30" customWidth="1"/>
    <col min="11017" max="11017" width="18.625" style="30" customWidth="1"/>
    <col min="11018" max="11264" width="18.625" style="30"/>
    <col min="11265" max="11265" width="28.25" style="30" customWidth="1"/>
    <col min="11266" max="11266" width="15" style="30" customWidth="1"/>
    <col min="11267" max="11267" width="12.25" style="30" customWidth="1"/>
    <col min="11268" max="11268" width="17.875" style="30" customWidth="1"/>
    <col min="11269" max="11269" width="10.375" style="30" customWidth="1"/>
    <col min="11270" max="11270" width="14" style="30" customWidth="1"/>
    <col min="11271" max="11271" width="29.75" style="30" customWidth="1"/>
    <col min="11272" max="11272" width="30.625" style="30" customWidth="1"/>
    <col min="11273" max="11273" width="18.625" style="30" customWidth="1"/>
    <col min="11274" max="11520" width="18.625" style="30"/>
    <col min="11521" max="11521" width="28.25" style="30" customWidth="1"/>
    <col min="11522" max="11522" width="15" style="30" customWidth="1"/>
    <col min="11523" max="11523" width="12.25" style="30" customWidth="1"/>
    <col min="11524" max="11524" width="17.875" style="30" customWidth="1"/>
    <col min="11525" max="11525" width="10.375" style="30" customWidth="1"/>
    <col min="11526" max="11526" width="14" style="30" customWidth="1"/>
    <col min="11527" max="11527" width="29.75" style="30" customWidth="1"/>
    <col min="11528" max="11528" width="30.625" style="30" customWidth="1"/>
    <col min="11529" max="11529" width="18.625" style="30" customWidth="1"/>
    <col min="11530" max="11776" width="18.625" style="30"/>
    <col min="11777" max="11777" width="28.25" style="30" customWidth="1"/>
    <col min="11778" max="11778" width="15" style="30" customWidth="1"/>
    <col min="11779" max="11779" width="12.25" style="30" customWidth="1"/>
    <col min="11780" max="11780" width="17.875" style="30" customWidth="1"/>
    <col min="11781" max="11781" width="10.375" style="30" customWidth="1"/>
    <col min="11782" max="11782" width="14" style="30" customWidth="1"/>
    <col min="11783" max="11783" width="29.75" style="30" customWidth="1"/>
    <col min="11784" max="11784" width="30.625" style="30" customWidth="1"/>
    <col min="11785" max="11785" width="18.625" style="30" customWidth="1"/>
    <col min="11786" max="12032" width="18.625" style="30"/>
    <col min="12033" max="12033" width="28.25" style="30" customWidth="1"/>
    <col min="12034" max="12034" width="15" style="30" customWidth="1"/>
    <col min="12035" max="12035" width="12.25" style="30" customWidth="1"/>
    <col min="12036" max="12036" width="17.875" style="30" customWidth="1"/>
    <col min="12037" max="12037" width="10.375" style="30" customWidth="1"/>
    <col min="12038" max="12038" width="14" style="30" customWidth="1"/>
    <col min="12039" max="12039" width="29.75" style="30" customWidth="1"/>
    <col min="12040" max="12040" width="30.625" style="30" customWidth="1"/>
    <col min="12041" max="12041" width="18.625" style="30" customWidth="1"/>
    <col min="12042" max="12288" width="18.625" style="30"/>
    <col min="12289" max="12289" width="28.25" style="30" customWidth="1"/>
    <col min="12290" max="12290" width="15" style="30" customWidth="1"/>
    <col min="12291" max="12291" width="12.25" style="30" customWidth="1"/>
    <col min="12292" max="12292" width="17.875" style="30" customWidth="1"/>
    <col min="12293" max="12293" width="10.375" style="30" customWidth="1"/>
    <col min="12294" max="12294" width="14" style="30" customWidth="1"/>
    <col min="12295" max="12295" width="29.75" style="30" customWidth="1"/>
    <col min="12296" max="12296" width="30.625" style="30" customWidth="1"/>
    <col min="12297" max="12297" width="18.625" style="30" customWidth="1"/>
    <col min="12298" max="12544" width="18.625" style="30"/>
    <col min="12545" max="12545" width="28.25" style="30" customWidth="1"/>
    <col min="12546" max="12546" width="15" style="30" customWidth="1"/>
    <col min="12547" max="12547" width="12.25" style="30" customWidth="1"/>
    <col min="12548" max="12548" width="17.875" style="30" customWidth="1"/>
    <col min="12549" max="12549" width="10.375" style="30" customWidth="1"/>
    <col min="12550" max="12550" width="14" style="30" customWidth="1"/>
    <col min="12551" max="12551" width="29.75" style="30" customWidth="1"/>
    <col min="12552" max="12552" width="30.625" style="30" customWidth="1"/>
    <col min="12553" max="12553" width="18.625" style="30" customWidth="1"/>
    <col min="12554" max="12800" width="18.625" style="30"/>
    <col min="12801" max="12801" width="28.25" style="30" customWidth="1"/>
    <col min="12802" max="12802" width="15" style="30" customWidth="1"/>
    <col min="12803" max="12803" width="12.25" style="30" customWidth="1"/>
    <col min="12804" max="12804" width="17.875" style="30" customWidth="1"/>
    <col min="12805" max="12805" width="10.375" style="30" customWidth="1"/>
    <col min="12806" max="12806" width="14" style="30" customWidth="1"/>
    <col min="12807" max="12807" width="29.75" style="30" customWidth="1"/>
    <col min="12808" max="12808" width="30.625" style="30" customWidth="1"/>
    <col min="12809" max="12809" width="18.625" style="30" customWidth="1"/>
    <col min="12810" max="13056" width="18.625" style="30"/>
    <col min="13057" max="13057" width="28.25" style="30" customWidth="1"/>
    <col min="13058" max="13058" width="15" style="30" customWidth="1"/>
    <col min="13059" max="13059" width="12.25" style="30" customWidth="1"/>
    <col min="13060" max="13060" width="17.875" style="30" customWidth="1"/>
    <col min="13061" max="13061" width="10.375" style="30" customWidth="1"/>
    <col min="13062" max="13062" width="14" style="30" customWidth="1"/>
    <col min="13063" max="13063" width="29.75" style="30" customWidth="1"/>
    <col min="13064" max="13064" width="30.625" style="30" customWidth="1"/>
    <col min="13065" max="13065" width="18.625" style="30" customWidth="1"/>
    <col min="13066" max="13312" width="18.625" style="30"/>
    <col min="13313" max="13313" width="28.25" style="30" customWidth="1"/>
    <col min="13314" max="13314" width="15" style="30" customWidth="1"/>
    <col min="13315" max="13315" width="12.25" style="30" customWidth="1"/>
    <col min="13316" max="13316" width="17.875" style="30" customWidth="1"/>
    <col min="13317" max="13317" width="10.375" style="30" customWidth="1"/>
    <col min="13318" max="13318" width="14" style="30" customWidth="1"/>
    <col min="13319" max="13319" width="29.75" style="30" customWidth="1"/>
    <col min="13320" max="13320" width="30.625" style="30" customWidth="1"/>
    <col min="13321" max="13321" width="18.625" style="30" customWidth="1"/>
    <col min="13322" max="13568" width="18.625" style="30"/>
    <col min="13569" max="13569" width="28.25" style="30" customWidth="1"/>
    <col min="13570" max="13570" width="15" style="30" customWidth="1"/>
    <col min="13571" max="13571" width="12.25" style="30" customWidth="1"/>
    <col min="13572" max="13572" width="17.875" style="30" customWidth="1"/>
    <col min="13573" max="13573" width="10.375" style="30" customWidth="1"/>
    <col min="13574" max="13574" width="14" style="30" customWidth="1"/>
    <col min="13575" max="13575" width="29.75" style="30" customWidth="1"/>
    <col min="13576" max="13576" width="30.625" style="30" customWidth="1"/>
    <col min="13577" max="13577" width="18.625" style="30" customWidth="1"/>
    <col min="13578" max="13824" width="18.625" style="30"/>
    <col min="13825" max="13825" width="28.25" style="30" customWidth="1"/>
    <col min="13826" max="13826" width="15" style="30" customWidth="1"/>
    <col min="13827" max="13827" width="12.25" style="30" customWidth="1"/>
    <col min="13828" max="13828" width="17.875" style="30" customWidth="1"/>
    <col min="13829" max="13829" width="10.375" style="30" customWidth="1"/>
    <col min="13830" max="13830" width="14" style="30" customWidth="1"/>
    <col min="13831" max="13831" width="29.75" style="30" customWidth="1"/>
    <col min="13832" max="13832" width="30.625" style="30" customWidth="1"/>
    <col min="13833" max="13833" width="18.625" style="30" customWidth="1"/>
    <col min="13834" max="14080" width="18.625" style="30"/>
    <col min="14081" max="14081" width="28.25" style="30" customWidth="1"/>
    <col min="14082" max="14082" width="15" style="30" customWidth="1"/>
    <col min="14083" max="14083" width="12.25" style="30" customWidth="1"/>
    <col min="14084" max="14084" width="17.875" style="30" customWidth="1"/>
    <col min="14085" max="14085" width="10.375" style="30" customWidth="1"/>
    <col min="14086" max="14086" width="14" style="30" customWidth="1"/>
    <col min="14087" max="14087" width="29.75" style="30" customWidth="1"/>
    <col min="14088" max="14088" width="30.625" style="30" customWidth="1"/>
    <col min="14089" max="14089" width="18.625" style="30" customWidth="1"/>
    <col min="14090" max="14336" width="18.625" style="30"/>
    <col min="14337" max="14337" width="28.25" style="30" customWidth="1"/>
    <col min="14338" max="14338" width="15" style="30" customWidth="1"/>
    <col min="14339" max="14339" width="12.25" style="30" customWidth="1"/>
    <col min="14340" max="14340" width="17.875" style="30" customWidth="1"/>
    <col min="14341" max="14341" width="10.375" style="30" customWidth="1"/>
    <col min="14342" max="14342" width="14" style="30" customWidth="1"/>
    <col min="14343" max="14343" width="29.75" style="30" customWidth="1"/>
    <col min="14344" max="14344" width="30.625" style="30" customWidth="1"/>
    <col min="14345" max="14345" width="18.625" style="30" customWidth="1"/>
    <col min="14346" max="14592" width="18.625" style="30"/>
    <col min="14593" max="14593" width="28.25" style="30" customWidth="1"/>
    <col min="14594" max="14594" width="15" style="30" customWidth="1"/>
    <col min="14595" max="14595" width="12.25" style="30" customWidth="1"/>
    <col min="14596" max="14596" width="17.875" style="30" customWidth="1"/>
    <col min="14597" max="14597" width="10.375" style="30" customWidth="1"/>
    <col min="14598" max="14598" width="14" style="30" customWidth="1"/>
    <col min="14599" max="14599" width="29.75" style="30" customWidth="1"/>
    <col min="14600" max="14600" width="30.625" style="30" customWidth="1"/>
    <col min="14601" max="14601" width="18.625" style="30" customWidth="1"/>
    <col min="14602" max="14848" width="18.625" style="30"/>
    <col min="14849" max="14849" width="28.25" style="30" customWidth="1"/>
    <col min="14850" max="14850" width="15" style="30" customWidth="1"/>
    <col min="14851" max="14851" width="12.25" style="30" customWidth="1"/>
    <col min="14852" max="14852" width="17.875" style="30" customWidth="1"/>
    <col min="14853" max="14853" width="10.375" style="30" customWidth="1"/>
    <col min="14854" max="14854" width="14" style="30" customWidth="1"/>
    <col min="14855" max="14855" width="29.75" style="30" customWidth="1"/>
    <col min="14856" max="14856" width="30.625" style="30" customWidth="1"/>
    <col min="14857" max="14857" width="18.625" style="30" customWidth="1"/>
    <col min="14858" max="15104" width="18.625" style="30"/>
    <col min="15105" max="15105" width="28.25" style="30" customWidth="1"/>
    <col min="15106" max="15106" width="15" style="30" customWidth="1"/>
    <col min="15107" max="15107" width="12.25" style="30" customWidth="1"/>
    <col min="15108" max="15108" width="17.875" style="30" customWidth="1"/>
    <col min="15109" max="15109" width="10.375" style="30" customWidth="1"/>
    <col min="15110" max="15110" width="14" style="30" customWidth="1"/>
    <col min="15111" max="15111" width="29.75" style="30" customWidth="1"/>
    <col min="15112" max="15112" width="30.625" style="30" customWidth="1"/>
    <col min="15113" max="15113" width="18.625" style="30" customWidth="1"/>
    <col min="15114" max="15360" width="18.625" style="30"/>
    <col min="15361" max="15361" width="28.25" style="30" customWidth="1"/>
    <col min="15362" max="15362" width="15" style="30" customWidth="1"/>
    <col min="15363" max="15363" width="12.25" style="30" customWidth="1"/>
    <col min="15364" max="15364" width="17.875" style="30" customWidth="1"/>
    <col min="15365" max="15365" width="10.375" style="30" customWidth="1"/>
    <col min="15366" max="15366" width="14" style="30" customWidth="1"/>
    <col min="15367" max="15367" width="29.75" style="30" customWidth="1"/>
    <col min="15368" max="15368" width="30.625" style="30" customWidth="1"/>
    <col min="15369" max="15369" width="18.625" style="30" customWidth="1"/>
    <col min="15370" max="15616" width="18.625" style="30"/>
    <col min="15617" max="15617" width="28.25" style="30" customWidth="1"/>
    <col min="15618" max="15618" width="15" style="30" customWidth="1"/>
    <col min="15619" max="15619" width="12.25" style="30" customWidth="1"/>
    <col min="15620" max="15620" width="17.875" style="30" customWidth="1"/>
    <col min="15621" max="15621" width="10.375" style="30" customWidth="1"/>
    <col min="15622" max="15622" width="14" style="30" customWidth="1"/>
    <col min="15623" max="15623" width="29.75" style="30" customWidth="1"/>
    <col min="15624" max="15624" width="30.625" style="30" customWidth="1"/>
    <col min="15625" max="15625" width="18.625" style="30" customWidth="1"/>
    <col min="15626" max="15872" width="18.625" style="30"/>
    <col min="15873" max="15873" width="28.25" style="30" customWidth="1"/>
    <col min="15874" max="15874" width="15" style="30" customWidth="1"/>
    <col min="15875" max="15875" width="12.25" style="30" customWidth="1"/>
    <col min="15876" max="15876" width="17.875" style="30" customWidth="1"/>
    <col min="15877" max="15877" width="10.375" style="30" customWidth="1"/>
    <col min="15878" max="15878" width="14" style="30" customWidth="1"/>
    <col min="15879" max="15879" width="29.75" style="30" customWidth="1"/>
    <col min="15880" max="15880" width="30.625" style="30" customWidth="1"/>
    <col min="15881" max="15881" width="18.625" style="30" customWidth="1"/>
    <col min="15882" max="16128" width="18.625" style="30"/>
    <col min="16129" max="16129" width="28.25" style="30" customWidth="1"/>
    <col min="16130" max="16130" width="15" style="30" customWidth="1"/>
    <col min="16131" max="16131" width="12.25" style="30" customWidth="1"/>
    <col min="16132" max="16132" width="17.875" style="30" customWidth="1"/>
    <col min="16133" max="16133" width="10.375" style="30" customWidth="1"/>
    <col min="16134" max="16134" width="14" style="30" customWidth="1"/>
    <col min="16135" max="16135" width="29.75" style="30" customWidth="1"/>
    <col min="16136" max="16136" width="30.625" style="30" customWidth="1"/>
    <col min="16137" max="16137" width="18.625" style="30" customWidth="1"/>
    <col min="16138" max="16384" width="18.625" style="30"/>
  </cols>
  <sheetData>
    <row r="1" spans="1:16" ht="31.5">
      <c r="A1" s="202" t="s">
        <v>3777</v>
      </c>
      <c r="B1" s="203"/>
      <c r="C1" s="203"/>
      <c r="D1" s="203"/>
      <c r="E1" s="203"/>
      <c r="F1" s="203"/>
      <c r="G1" s="203"/>
      <c r="H1" s="204"/>
      <c r="I1" s="28"/>
      <c r="J1" s="29"/>
      <c r="K1" s="29"/>
      <c r="L1" s="29"/>
    </row>
    <row r="2" spans="1:16" ht="24.75">
      <c r="A2" s="31" t="s">
        <v>3776</v>
      </c>
      <c r="B2" s="25">
        <f>报舱数据!J2</f>
        <v>0</v>
      </c>
      <c r="C2" s="205" t="s">
        <v>3775</v>
      </c>
      <c r="D2" s="206"/>
      <c r="E2" s="206"/>
      <c r="F2" s="206"/>
      <c r="G2" s="206"/>
      <c r="H2" s="207"/>
      <c r="I2" s="28"/>
      <c r="J2" s="29"/>
      <c r="K2" s="29"/>
      <c r="L2" s="29"/>
    </row>
    <row r="3" spans="1:16" ht="22.5">
      <c r="A3" s="31" t="s">
        <v>3774</v>
      </c>
      <c r="B3" s="32" t="s">
        <v>3</v>
      </c>
      <c r="C3" s="31" t="s">
        <v>3773</v>
      </c>
      <c r="D3" s="32" t="s">
        <v>4</v>
      </c>
      <c r="E3" s="31" t="s">
        <v>3772</v>
      </c>
      <c r="F3" s="26">
        <v>5301</v>
      </c>
      <c r="G3" s="31" t="s">
        <v>3771</v>
      </c>
      <c r="H3" s="27">
        <f>报舱数据!E2</f>
        <v>0</v>
      </c>
      <c r="I3" s="28"/>
      <c r="J3" s="29"/>
      <c r="K3" s="29"/>
      <c r="L3" s="29"/>
    </row>
    <row r="4" spans="1:16" ht="21">
      <c r="A4" s="31" t="s">
        <v>5</v>
      </c>
      <c r="B4" s="33"/>
      <c r="C4" s="31" t="s">
        <v>3770</v>
      </c>
      <c r="D4" s="32" t="s">
        <v>6</v>
      </c>
      <c r="E4" s="31"/>
      <c r="F4" s="34"/>
      <c r="G4" s="31" t="s">
        <v>3769</v>
      </c>
      <c r="H4" s="35">
        <v>5314</v>
      </c>
      <c r="I4" s="28"/>
      <c r="J4" s="29"/>
      <c r="K4" s="29"/>
      <c r="L4" s="29"/>
    </row>
    <row r="5" spans="1:16" ht="16.5">
      <c r="A5" s="36" t="s">
        <v>3768</v>
      </c>
      <c r="B5" s="37"/>
      <c r="C5" s="37"/>
      <c r="D5" s="37"/>
      <c r="E5" s="37"/>
      <c r="F5" s="37"/>
      <c r="G5" s="37"/>
      <c r="H5" s="38"/>
      <c r="I5" s="28"/>
      <c r="J5" s="29"/>
      <c r="K5" s="29"/>
      <c r="L5" s="29"/>
    </row>
    <row r="6" spans="1:16" ht="16.5">
      <c r="A6" s="39" t="s">
        <v>3758</v>
      </c>
      <c r="B6" s="39" t="s">
        <v>3767</v>
      </c>
      <c r="C6" s="39" t="s">
        <v>3766</v>
      </c>
      <c r="D6" s="39" t="s">
        <v>3765</v>
      </c>
      <c r="E6" s="39" t="s">
        <v>3753</v>
      </c>
      <c r="F6" s="39" t="s">
        <v>3764</v>
      </c>
      <c r="G6" s="40" t="s">
        <v>3763</v>
      </c>
      <c r="H6" s="40" t="s">
        <v>3762</v>
      </c>
      <c r="I6" s="28"/>
      <c r="J6" s="29"/>
      <c r="K6" s="29"/>
      <c r="L6" s="29"/>
      <c r="O6" s="31"/>
      <c r="P6" s="41"/>
    </row>
    <row r="7" spans="1:16" s="51" customFormat="1" ht="24.75">
      <c r="A7" s="42">
        <f>报舱数据!I2</f>
        <v>0</v>
      </c>
      <c r="B7" s="43">
        <f>报舱数据!CN2</f>
        <v>0</v>
      </c>
      <c r="C7" s="44" t="s">
        <v>7</v>
      </c>
      <c r="D7" s="45">
        <f>报舱数据!C2</f>
        <v>0</v>
      </c>
      <c r="E7" s="46" t="s">
        <v>8</v>
      </c>
      <c r="F7" s="47">
        <f>报舱数据!D2</f>
        <v>0</v>
      </c>
      <c r="G7" s="48">
        <f>报舱数据!AT2</f>
        <v>0</v>
      </c>
      <c r="H7" s="48">
        <f>报舱数据!AF2</f>
        <v>0</v>
      </c>
      <c r="I7" s="49"/>
      <c r="J7" s="50"/>
      <c r="K7" s="50"/>
      <c r="L7" s="50"/>
      <c r="O7" s="52"/>
      <c r="P7" s="53"/>
    </row>
    <row r="8" spans="1:16" s="56" customFormat="1" ht="24.75">
      <c r="A8" s="42">
        <f>报舱数据!I3</f>
        <v>0</v>
      </c>
      <c r="B8" s="43">
        <f>报舱数据!CN3</f>
        <v>0</v>
      </c>
      <c r="C8" s="44" t="s">
        <v>7</v>
      </c>
      <c r="D8" s="45">
        <f>报舱数据!C3</f>
        <v>0</v>
      </c>
      <c r="E8" s="46" t="s">
        <v>8</v>
      </c>
      <c r="F8" s="47">
        <f>报舱数据!D3</f>
        <v>0</v>
      </c>
      <c r="G8" s="48">
        <f>报舱数据!AT3</f>
        <v>0</v>
      </c>
      <c r="H8" s="48">
        <f>报舱数据!AF3</f>
        <v>0</v>
      </c>
      <c r="I8" s="54"/>
      <c r="J8" s="55"/>
      <c r="K8" s="55"/>
      <c r="L8" s="55"/>
      <c r="O8" s="57"/>
      <c r="P8" s="58"/>
    </row>
    <row r="9" spans="1:16" s="56" customFormat="1" ht="24.75">
      <c r="A9" s="42">
        <f>报舱数据!I4</f>
        <v>0</v>
      </c>
      <c r="B9" s="43">
        <f>报舱数据!CN4</f>
        <v>0</v>
      </c>
      <c r="C9" s="44" t="s">
        <v>7</v>
      </c>
      <c r="D9" s="45">
        <f>报舱数据!C4</f>
        <v>0</v>
      </c>
      <c r="E9" s="46" t="s">
        <v>8</v>
      </c>
      <c r="F9" s="47">
        <f>报舱数据!D4</f>
        <v>0</v>
      </c>
      <c r="G9" s="48">
        <f>报舱数据!AT4</f>
        <v>0</v>
      </c>
      <c r="H9" s="48">
        <f>报舱数据!AF4</f>
        <v>0</v>
      </c>
      <c r="I9" s="54"/>
      <c r="J9" s="55"/>
      <c r="K9" s="55"/>
      <c r="L9" s="55"/>
      <c r="O9" s="57"/>
      <c r="P9" s="58"/>
    </row>
    <row r="10" spans="1:16" s="56" customFormat="1" ht="24.75">
      <c r="A10" s="42">
        <f>报舱数据!I5</f>
        <v>0</v>
      </c>
      <c r="B10" s="43">
        <f>报舱数据!CN5</f>
        <v>0</v>
      </c>
      <c r="C10" s="44" t="s">
        <v>7</v>
      </c>
      <c r="D10" s="45">
        <f>报舱数据!C5</f>
        <v>0</v>
      </c>
      <c r="E10" s="46" t="s">
        <v>8</v>
      </c>
      <c r="F10" s="47">
        <f>报舱数据!D5</f>
        <v>0</v>
      </c>
      <c r="G10" s="48">
        <f>报舱数据!AT5</f>
        <v>0</v>
      </c>
      <c r="H10" s="48">
        <f>报舱数据!AF5</f>
        <v>0</v>
      </c>
      <c r="I10" s="54"/>
      <c r="J10" s="55"/>
      <c r="K10" s="55"/>
      <c r="L10" s="55"/>
      <c r="O10" s="57"/>
      <c r="P10" s="58"/>
    </row>
    <row r="11" spans="1:16" s="56" customFormat="1" ht="24.75">
      <c r="A11" s="42">
        <f>报舱数据!I6</f>
        <v>0</v>
      </c>
      <c r="B11" s="43">
        <f>报舱数据!CN6</f>
        <v>0</v>
      </c>
      <c r="C11" s="44" t="s">
        <v>7</v>
      </c>
      <c r="D11" s="45">
        <f>报舱数据!C6</f>
        <v>0</v>
      </c>
      <c r="E11" s="46" t="s">
        <v>8</v>
      </c>
      <c r="F11" s="47">
        <f>报舱数据!D6</f>
        <v>0</v>
      </c>
      <c r="G11" s="48">
        <f>报舱数据!AT6</f>
        <v>0</v>
      </c>
      <c r="H11" s="48">
        <f>报舱数据!AF6</f>
        <v>0</v>
      </c>
      <c r="I11" s="54"/>
      <c r="J11" s="55"/>
      <c r="K11" s="55"/>
      <c r="L11" s="55"/>
      <c r="O11" s="57"/>
      <c r="P11" s="58"/>
    </row>
    <row r="12" spans="1:16" s="56" customFormat="1" ht="24.75">
      <c r="A12" s="42">
        <f>报舱数据!I7</f>
        <v>0</v>
      </c>
      <c r="B12" s="43">
        <f>报舱数据!CN7</f>
        <v>0</v>
      </c>
      <c r="C12" s="44" t="s">
        <v>7</v>
      </c>
      <c r="D12" s="45">
        <f>报舱数据!C7</f>
        <v>0</v>
      </c>
      <c r="E12" s="46" t="s">
        <v>8</v>
      </c>
      <c r="F12" s="47">
        <f>报舱数据!D7</f>
        <v>0</v>
      </c>
      <c r="G12" s="48">
        <f>报舱数据!AT7</f>
        <v>0</v>
      </c>
      <c r="H12" s="48">
        <f>报舱数据!AF7</f>
        <v>0</v>
      </c>
      <c r="I12" s="54"/>
      <c r="J12" s="55"/>
      <c r="K12" s="55"/>
      <c r="L12" s="55"/>
      <c r="O12" s="57"/>
      <c r="P12" s="58"/>
    </row>
    <row r="13" spans="1:16" s="56" customFormat="1" ht="24.75">
      <c r="A13" s="42">
        <f>报舱数据!I8</f>
        <v>0</v>
      </c>
      <c r="B13" s="43">
        <f>报舱数据!CN8</f>
        <v>0</v>
      </c>
      <c r="C13" s="44" t="s">
        <v>7</v>
      </c>
      <c r="D13" s="45">
        <f>报舱数据!C8</f>
        <v>0</v>
      </c>
      <c r="E13" s="46" t="s">
        <v>8</v>
      </c>
      <c r="F13" s="47">
        <f>报舱数据!D8</f>
        <v>0</v>
      </c>
      <c r="G13" s="48">
        <f>报舱数据!AT8</f>
        <v>0</v>
      </c>
      <c r="H13" s="48">
        <f>报舱数据!AF8</f>
        <v>0</v>
      </c>
      <c r="I13" s="54"/>
      <c r="J13" s="55"/>
      <c r="K13" s="55"/>
      <c r="L13" s="55"/>
      <c r="O13" s="57"/>
      <c r="P13" s="58"/>
    </row>
    <row r="14" spans="1:16" s="56" customFormat="1" ht="24.75">
      <c r="A14" s="42">
        <f>报舱数据!I9</f>
        <v>0</v>
      </c>
      <c r="B14" s="43">
        <f>报舱数据!CN9</f>
        <v>0</v>
      </c>
      <c r="C14" s="44" t="s">
        <v>7</v>
      </c>
      <c r="D14" s="45">
        <f>报舱数据!C9</f>
        <v>0</v>
      </c>
      <c r="E14" s="46" t="s">
        <v>8</v>
      </c>
      <c r="F14" s="47">
        <f>报舱数据!D9</f>
        <v>0</v>
      </c>
      <c r="G14" s="48">
        <f>报舱数据!AT9</f>
        <v>0</v>
      </c>
      <c r="H14" s="48">
        <f>报舱数据!AF9</f>
        <v>0</v>
      </c>
      <c r="I14" s="54"/>
      <c r="J14" s="55"/>
      <c r="K14" s="55"/>
      <c r="L14" s="55"/>
      <c r="O14" s="57"/>
      <c r="P14" s="58"/>
    </row>
    <row r="15" spans="1:16" s="56" customFormat="1" ht="24.75">
      <c r="A15" s="42">
        <f>报舱数据!I10</f>
        <v>0</v>
      </c>
      <c r="B15" s="43">
        <f>报舱数据!CN10</f>
        <v>0</v>
      </c>
      <c r="C15" s="44" t="s">
        <v>7</v>
      </c>
      <c r="D15" s="45">
        <f>报舱数据!C10</f>
        <v>0</v>
      </c>
      <c r="E15" s="46" t="s">
        <v>8</v>
      </c>
      <c r="F15" s="47">
        <f>报舱数据!D10</f>
        <v>0</v>
      </c>
      <c r="G15" s="48">
        <f>报舱数据!AT10</f>
        <v>0</v>
      </c>
      <c r="H15" s="48">
        <f>报舱数据!AF10</f>
        <v>0</v>
      </c>
      <c r="I15" s="54"/>
      <c r="J15" s="55"/>
      <c r="K15" s="55"/>
      <c r="L15" s="55"/>
      <c r="O15" s="57"/>
      <c r="P15" s="58"/>
    </row>
    <row r="16" spans="1:16" s="56" customFormat="1" ht="24.75">
      <c r="A16" s="42">
        <f>报舱数据!I11</f>
        <v>0</v>
      </c>
      <c r="B16" s="43">
        <f>报舱数据!CN11</f>
        <v>0</v>
      </c>
      <c r="C16" s="44" t="s">
        <v>7</v>
      </c>
      <c r="D16" s="45">
        <f>报舱数据!C11</f>
        <v>0</v>
      </c>
      <c r="E16" s="46" t="s">
        <v>8</v>
      </c>
      <c r="F16" s="47">
        <f>报舱数据!D11</f>
        <v>0</v>
      </c>
      <c r="G16" s="48">
        <f>报舱数据!AT11</f>
        <v>0</v>
      </c>
      <c r="H16" s="48">
        <f>报舱数据!AF11</f>
        <v>0</v>
      </c>
      <c r="I16" s="54"/>
      <c r="J16" s="55"/>
      <c r="K16" s="55"/>
      <c r="L16" s="55"/>
      <c r="O16" s="57"/>
      <c r="P16" s="58"/>
    </row>
    <row r="17" spans="1:16" s="56" customFormat="1" ht="24.75">
      <c r="A17" s="42">
        <f>报舱数据!I12</f>
        <v>0</v>
      </c>
      <c r="B17" s="43">
        <f>报舱数据!CN12</f>
        <v>0</v>
      </c>
      <c r="C17" s="44" t="s">
        <v>7</v>
      </c>
      <c r="D17" s="45">
        <f>报舱数据!C12</f>
        <v>0</v>
      </c>
      <c r="E17" s="46" t="s">
        <v>8</v>
      </c>
      <c r="F17" s="47">
        <f>报舱数据!D12</f>
        <v>0</v>
      </c>
      <c r="G17" s="48">
        <f>报舱数据!AT12</f>
        <v>0</v>
      </c>
      <c r="H17" s="48">
        <f>报舱数据!AF12</f>
        <v>0</v>
      </c>
      <c r="I17" s="54"/>
      <c r="J17" s="55"/>
      <c r="K17" s="55"/>
      <c r="L17" s="55"/>
      <c r="O17" s="57"/>
      <c r="P17" s="58"/>
    </row>
    <row r="18" spans="1:16" s="56" customFormat="1" ht="24.75">
      <c r="A18" s="42">
        <f>报舱数据!I13</f>
        <v>0</v>
      </c>
      <c r="B18" s="43">
        <f>报舱数据!CN13</f>
        <v>0</v>
      </c>
      <c r="C18" s="44" t="s">
        <v>7</v>
      </c>
      <c r="D18" s="45">
        <f>报舱数据!C13</f>
        <v>0</v>
      </c>
      <c r="E18" s="46" t="s">
        <v>8</v>
      </c>
      <c r="F18" s="47">
        <f>报舱数据!D13</f>
        <v>0</v>
      </c>
      <c r="G18" s="48">
        <f>报舱数据!AT13</f>
        <v>0</v>
      </c>
      <c r="H18" s="48">
        <f>报舱数据!AF13</f>
        <v>0</v>
      </c>
      <c r="I18" s="54"/>
      <c r="J18" s="55"/>
      <c r="K18" s="55"/>
      <c r="L18" s="55"/>
      <c r="O18" s="57"/>
      <c r="P18" s="58"/>
    </row>
    <row r="19" spans="1:16" s="56" customFormat="1" ht="24.75">
      <c r="A19" s="42">
        <f>报舱数据!I14</f>
        <v>0</v>
      </c>
      <c r="B19" s="43">
        <f>报舱数据!CN14</f>
        <v>0</v>
      </c>
      <c r="C19" s="44" t="s">
        <v>7</v>
      </c>
      <c r="D19" s="45">
        <f>报舱数据!C14</f>
        <v>0</v>
      </c>
      <c r="E19" s="46" t="s">
        <v>8</v>
      </c>
      <c r="F19" s="47">
        <f>报舱数据!D14</f>
        <v>0</v>
      </c>
      <c r="G19" s="48">
        <f>报舱数据!AT14</f>
        <v>0</v>
      </c>
      <c r="H19" s="48">
        <f>报舱数据!AF14</f>
        <v>0</v>
      </c>
      <c r="I19" s="54"/>
      <c r="J19" s="55"/>
      <c r="K19" s="55"/>
      <c r="L19" s="55"/>
      <c r="O19" s="57"/>
      <c r="P19" s="58"/>
    </row>
    <row r="20" spans="1:16" s="56" customFormat="1" ht="24.75">
      <c r="A20" s="42">
        <f>报舱数据!I15</f>
        <v>0</v>
      </c>
      <c r="B20" s="43">
        <f>报舱数据!CN15</f>
        <v>0</v>
      </c>
      <c r="C20" s="44" t="s">
        <v>7</v>
      </c>
      <c r="D20" s="45">
        <f>报舱数据!C15</f>
        <v>0</v>
      </c>
      <c r="E20" s="46" t="s">
        <v>8</v>
      </c>
      <c r="F20" s="47">
        <f>报舱数据!D15</f>
        <v>0</v>
      </c>
      <c r="G20" s="48">
        <f>报舱数据!AT15</f>
        <v>0</v>
      </c>
      <c r="H20" s="48">
        <f>报舱数据!AF15</f>
        <v>0</v>
      </c>
      <c r="I20" s="54"/>
      <c r="J20" s="55"/>
      <c r="K20" s="55"/>
      <c r="L20" s="55"/>
      <c r="O20" s="57"/>
      <c r="P20" s="58"/>
    </row>
    <row r="21" spans="1:16" s="56" customFormat="1" ht="24.75">
      <c r="A21" s="42">
        <f>报舱数据!I16</f>
        <v>0</v>
      </c>
      <c r="B21" s="43">
        <f>报舱数据!CN16</f>
        <v>0</v>
      </c>
      <c r="C21" s="44" t="s">
        <v>7</v>
      </c>
      <c r="D21" s="45">
        <f>报舱数据!C16</f>
        <v>0</v>
      </c>
      <c r="E21" s="46" t="s">
        <v>8</v>
      </c>
      <c r="F21" s="47">
        <f>报舱数据!D16</f>
        <v>0</v>
      </c>
      <c r="G21" s="48">
        <f>报舱数据!AT16</f>
        <v>0</v>
      </c>
      <c r="H21" s="48">
        <f>报舱数据!AF16</f>
        <v>0</v>
      </c>
      <c r="I21" s="54"/>
      <c r="J21" s="55"/>
      <c r="K21" s="55"/>
      <c r="L21" s="55"/>
      <c r="O21" s="57"/>
      <c r="P21" s="58"/>
    </row>
    <row r="22" spans="1:16" s="56" customFormat="1" ht="24.75">
      <c r="A22" s="42">
        <f>报舱数据!I17</f>
        <v>0</v>
      </c>
      <c r="B22" s="43">
        <f>报舱数据!CN17</f>
        <v>0</v>
      </c>
      <c r="C22" s="44" t="s">
        <v>7</v>
      </c>
      <c r="D22" s="45">
        <f>报舱数据!C17</f>
        <v>0</v>
      </c>
      <c r="E22" s="46" t="s">
        <v>8</v>
      </c>
      <c r="F22" s="47">
        <f>报舱数据!D17</f>
        <v>0</v>
      </c>
      <c r="G22" s="48">
        <f>报舱数据!AT17</f>
        <v>0</v>
      </c>
      <c r="H22" s="48">
        <f>报舱数据!AF17</f>
        <v>0</v>
      </c>
      <c r="I22" s="54"/>
      <c r="J22" s="55"/>
      <c r="K22" s="55"/>
      <c r="L22" s="55"/>
      <c r="O22" s="57"/>
      <c r="P22" s="58"/>
    </row>
    <row r="23" spans="1:16" s="56" customFormat="1" ht="24.75">
      <c r="A23" s="42">
        <f>报舱数据!I18</f>
        <v>0</v>
      </c>
      <c r="B23" s="43">
        <f>报舱数据!CN18</f>
        <v>0</v>
      </c>
      <c r="C23" s="44" t="s">
        <v>7</v>
      </c>
      <c r="D23" s="45">
        <f>报舱数据!C18</f>
        <v>0</v>
      </c>
      <c r="E23" s="46" t="s">
        <v>8</v>
      </c>
      <c r="F23" s="47">
        <f>报舱数据!D18</f>
        <v>0</v>
      </c>
      <c r="G23" s="48">
        <f>报舱数据!AT18</f>
        <v>0</v>
      </c>
      <c r="H23" s="48">
        <f>报舱数据!AF18</f>
        <v>0</v>
      </c>
      <c r="I23" s="54"/>
      <c r="J23" s="55"/>
      <c r="K23" s="55"/>
      <c r="L23" s="55"/>
      <c r="O23" s="57"/>
      <c r="P23" s="58"/>
    </row>
    <row r="24" spans="1:16" s="56" customFormat="1" ht="24.75">
      <c r="A24" s="42">
        <f>报舱数据!I19</f>
        <v>0</v>
      </c>
      <c r="B24" s="43">
        <f>报舱数据!CN19</f>
        <v>0</v>
      </c>
      <c r="C24" s="44" t="s">
        <v>7</v>
      </c>
      <c r="D24" s="45">
        <f>报舱数据!C19</f>
        <v>0</v>
      </c>
      <c r="E24" s="46" t="s">
        <v>8</v>
      </c>
      <c r="F24" s="47">
        <f>报舱数据!D19</f>
        <v>0</v>
      </c>
      <c r="G24" s="48">
        <f>报舱数据!AT19</f>
        <v>0</v>
      </c>
      <c r="H24" s="48">
        <f>报舱数据!AF19</f>
        <v>0</v>
      </c>
      <c r="I24" s="54"/>
      <c r="J24" s="55"/>
      <c r="K24" s="55"/>
      <c r="L24" s="55"/>
      <c r="O24" s="57"/>
      <c r="P24" s="58"/>
    </row>
    <row r="25" spans="1:16" s="56" customFormat="1" ht="24.75">
      <c r="A25" s="42">
        <f>报舱数据!I20</f>
        <v>0</v>
      </c>
      <c r="B25" s="43">
        <f>报舱数据!CN20</f>
        <v>0</v>
      </c>
      <c r="C25" s="44" t="s">
        <v>7</v>
      </c>
      <c r="D25" s="45">
        <f>报舱数据!C20</f>
        <v>0</v>
      </c>
      <c r="E25" s="46" t="s">
        <v>8</v>
      </c>
      <c r="F25" s="47">
        <f>报舱数据!D20</f>
        <v>0</v>
      </c>
      <c r="G25" s="48">
        <f>报舱数据!AT20</f>
        <v>0</v>
      </c>
      <c r="H25" s="48">
        <f>报舱数据!AF20</f>
        <v>0</v>
      </c>
      <c r="I25" s="54"/>
      <c r="J25" s="55"/>
      <c r="K25" s="55"/>
      <c r="L25" s="55"/>
      <c r="O25" s="57"/>
      <c r="P25" s="58"/>
    </row>
    <row r="26" spans="1:16" s="56" customFormat="1" ht="24.75">
      <c r="A26" s="42">
        <f>报舱数据!I21</f>
        <v>0</v>
      </c>
      <c r="B26" s="43">
        <f>报舱数据!CN21</f>
        <v>0</v>
      </c>
      <c r="C26" s="44" t="s">
        <v>7</v>
      </c>
      <c r="D26" s="45">
        <f>报舱数据!C21</f>
        <v>0</v>
      </c>
      <c r="E26" s="46" t="s">
        <v>8</v>
      </c>
      <c r="F26" s="47">
        <f>报舱数据!D21</f>
        <v>0</v>
      </c>
      <c r="G26" s="48">
        <f>报舱数据!AT21</f>
        <v>0</v>
      </c>
      <c r="H26" s="48">
        <f>报舱数据!AF21</f>
        <v>0</v>
      </c>
      <c r="I26" s="54"/>
      <c r="J26" s="55"/>
      <c r="K26" s="55"/>
      <c r="L26" s="55"/>
      <c r="O26" s="57"/>
      <c r="P26" s="58"/>
    </row>
    <row r="27" spans="1:16" s="56" customFormat="1" ht="24.75">
      <c r="A27" s="42">
        <f>报舱数据!I22</f>
        <v>0</v>
      </c>
      <c r="B27" s="43">
        <f>报舱数据!CN22</f>
        <v>0</v>
      </c>
      <c r="C27" s="44" t="s">
        <v>7</v>
      </c>
      <c r="D27" s="45">
        <f>报舱数据!C22</f>
        <v>0</v>
      </c>
      <c r="E27" s="46" t="s">
        <v>8</v>
      </c>
      <c r="F27" s="47">
        <f>报舱数据!D22</f>
        <v>0</v>
      </c>
      <c r="G27" s="48">
        <f>报舱数据!AT22</f>
        <v>0</v>
      </c>
      <c r="H27" s="48">
        <f>报舱数据!AF22</f>
        <v>0</v>
      </c>
      <c r="I27" s="54"/>
      <c r="J27" s="55"/>
      <c r="K27" s="55"/>
      <c r="L27" s="55"/>
      <c r="O27" s="57"/>
      <c r="P27" s="58"/>
    </row>
    <row r="28" spans="1:16" s="56" customFormat="1" ht="24.75">
      <c r="A28" s="42">
        <f>报舱数据!I23</f>
        <v>0</v>
      </c>
      <c r="B28" s="43">
        <f>报舱数据!CN23</f>
        <v>0</v>
      </c>
      <c r="C28" s="44" t="s">
        <v>7</v>
      </c>
      <c r="D28" s="45">
        <f>报舱数据!C23</f>
        <v>0</v>
      </c>
      <c r="E28" s="46" t="s">
        <v>8</v>
      </c>
      <c r="F28" s="47">
        <f>报舱数据!D23</f>
        <v>0</v>
      </c>
      <c r="G28" s="48">
        <f>报舱数据!AT23</f>
        <v>0</v>
      </c>
      <c r="H28" s="48">
        <f>报舱数据!AF23</f>
        <v>0</v>
      </c>
      <c r="I28" s="54"/>
      <c r="J28" s="55"/>
      <c r="K28" s="55"/>
      <c r="L28" s="55"/>
      <c r="O28" s="57"/>
      <c r="P28" s="58"/>
    </row>
    <row r="29" spans="1:16" s="56" customFormat="1" ht="24.75">
      <c r="A29" s="42">
        <f>报舱数据!I24</f>
        <v>0</v>
      </c>
      <c r="B29" s="43">
        <f>报舱数据!CN24</f>
        <v>0</v>
      </c>
      <c r="C29" s="44" t="s">
        <v>7</v>
      </c>
      <c r="D29" s="45">
        <f>报舱数据!C24</f>
        <v>0</v>
      </c>
      <c r="E29" s="46" t="s">
        <v>8</v>
      </c>
      <c r="F29" s="47">
        <f>报舱数据!D24</f>
        <v>0</v>
      </c>
      <c r="G29" s="48">
        <f>报舱数据!AT24</f>
        <v>0</v>
      </c>
      <c r="H29" s="48">
        <f>报舱数据!AF24</f>
        <v>0</v>
      </c>
      <c r="I29" s="54"/>
      <c r="J29" s="55"/>
      <c r="K29" s="55"/>
      <c r="L29" s="55"/>
      <c r="O29" s="57"/>
      <c r="P29" s="58"/>
    </row>
    <row r="30" spans="1:16" s="56" customFormat="1" ht="24.75">
      <c r="A30" s="42">
        <f>报舱数据!I25</f>
        <v>0</v>
      </c>
      <c r="B30" s="43">
        <f>报舱数据!CN25</f>
        <v>0</v>
      </c>
      <c r="C30" s="44" t="s">
        <v>7</v>
      </c>
      <c r="D30" s="45">
        <f>报舱数据!C25</f>
        <v>0</v>
      </c>
      <c r="E30" s="46" t="s">
        <v>8</v>
      </c>
      <c r="F30" s="47">
        <f>报舱数据!D25</f>
        <v>0</v>
      </c>
      <c r="G30" s="48">
        <f>报舱数据!AT25</f>
        <v>0</v>
      </c>
      <c r="H30" s="48">
        <f>报舱数据!AF25</f>
        <v>0</v>
      </c>
      <c r="I30" s="54"/>
      <c r="J30" s="55"/>
      <c r="K30" s="55"/>
      <c r="L30" s="55"/>
      <c r="O30" s="57"/>
      <c r="P30" s="58"/>
    </row>
    <row r="31" spans="1:16" s="56" customFormat="1" ht="24.75">
      <c r="A31" s="42">
        <f>报舱数据!I26</f>
        <v>0</v>
      </c>
      <c r="B31" s="43">
        <f>报舱数据!CN26</f>
        <v>0</v>
      </c>
      <c r="C31" s="44" t="s">
        <v>7</v>
      </c>
      <c r="D31" s="45">
        <f>报舱数据!C26</f>
        <v>0</v>
      </c>
      <c r="E31" s="46" t="s">
        <v>8</v>
      </c>
      <c r="F31" s="47">
        <f>报舱数据!D26</f>
        <v>0</v>
      </c>
      <c r="G31" s="48">
        <f>报舱数据!AT26</f>
        <v>0</v>
      </c>
      <c r="H31" s="48">
        <f>报舱数据!AF26</f>
        <v>0</v>
      </c>
      <c r="I31" s="54"/>
      <c r="J31" s="55"/>
      <c r="K31" s="55"/>
      <c r="L31" s="55"/>
      <c r="O31" s="57"/>
      <c r="P31" s="58"/>
    </row>
    <row r="32" spans="1:16" s="56" customFormat="1" ht="24.75">
      <c r="A32" s="42">
        <f>报舱数据!I27</f>
        <v>0</v>
      </c>
      <c r="B32" s="43">
        <f>报舱数据!CN27</f>
        <v>0</v>
      </c>
      <c r="C32" s="44" t="s">
        <v>7</v>
      </c>
      <c r="D32" s="45">
        <f>报舱数据!C27</f>
        <v>0</v>
      </c>
      <c r="E32" s="46" t="s">
        <v>8</v>
      </c>
      <c r="F32" s="47">
        <f>报舱数据!D27</f>
        <v>0</v>
      </c>
      <c r="G32" s="48">
        <f>报舱数据!AT27</f>
        <v>0</v>
      </c>
      <c r="H32" s="48">
        <f>报舱数据!AF27</f>
        <v>0</v>
      </c>
      <c r="I32" s="54"/>
      <c r="J32" s="55"/>
      <c r="K32" s="55"/>
      <c r="L32" s="55"/>
      <c r="O32" s="57"/>
      <c r="P32" s="58"/>
    </row>
    <row r="33" spans="1:16" s="56" customFormat="1" ht="24.75">
      <c r="A33" s="42">
        <f>报舱数据!I28</f>
        <v>0</v>
      </c>
      <c r="B33" s="43">
        <f>报舱数据!CN28</f>
        <v>0</v>
      </c>
      <c r="C33" s="44" t="s">
        <v>7</v>
      </c>
      <c r="D33" s="45">
        <f>报舱数据!C28</f>
        <v>0</v>
      </c>
      <c r="E33" s="46" t="s">
        <v>8</v>
      </c>
      <c r="F33" s="47">
        <f>报舱数据!D28</f>
        <v>0</v>
      </c>
      <c r="G33" s="48">
        <f>报舱数据!AT28</f>
        <v>0</v>
      </c>
      <c r="H33" s="48">
        <f>报舱数据!AF28</f>
        <v>0</v>
      </c>
      <c r="I33" s="54"/>
      <c r="J33" s="55"/>
      <c r="K33" s="55"/>
      <c r="L33" s="55"/>
      <c r="O33" s="57"/>
      <c r="P33" s="58"/>
    </row>
    <row r="34" spans="1:16" s="56" customFormat="1" ht="24.75">
      <c r="A34" s="42">
        <f>报舱数据!I29</f>
        <v>0</v>
      </c>
      <c r="B34" s="43">
        <f>报舱数据!CN29</f>
        <v>0</v>
      </c>
      <c r="C34" s="44" t="s">
        <v>7</v>
      </c>
      <c r="D34" s="45">
        <f>报舱数据!C29</f>
        <v>0</v>
      </c>
      <c r="E34" s="46" t="s">
        <v>8</v>
      </c>
      <c r="F34" s="47">
        <f>报舱数据!D29</f>
        <v>0</v>
      </c>
      <c r="G34" s="48">
        <f>报舱数据!AT29</f>
        <v>0</v>
      </c>
      <c r="H34" s="48">
        <f>报舱数据!AF29</f>
        <v>0</v>
      </c>
      <c r="I34" s="54"/>
      <c r="J34" s="55"/>
      <c r="K34" s="55"/>
      <c r="L34" s="55"/>
      <c r="O34" s="57"/>
      <c r="P34" s="58"/>
    </row>
    <row r="35" spans="1:16" s="56" customFormat="1" ht="24.75">
      <c r="A35" s="42">
        <f>报舱数据!I30</f>
        <v>0</v>
      </c>
      <c r="B35" s="43">
        <f>报舱数据!CN30</f>
        <v>0</v>
      </c>
      <c r="C35" s="44" t="s">
        <v>7</v>
      </c>
      <c r="D35" s="45">
        <f>报舱数据!C30</f>
        <v>0</v>
      </c>
      <c r="E35" s="46" t="s">
        <v>8</v>
      </c>
      <c r="F35" s="47">
        <f>报舱数据!D30</f>
        <v>0</v>
      </c>
      <c r="G35" s="48">
        <f>报舱数据!AT30</f>
        <v>0</v>
      </c>
      <c r="H35" s="48">
        <f>报舱数据!AF30</f>
        <v>0</v>
      </c>
      <c r="I35" s="54"/>
      <c r="J35" s="55"/>
      <c r="K35" s="55"/>
      <c r="L35" s="55"/>
      <c r="O35" s="57"/>
      <c r="P35" s="58"/>
    </row>
    <row r="36" spans="1:16" s="56" customFormat="1" ht="24.75">
      <c r="A36" s="42">
        <f>报舱数据!I31</f>
        <v>0</v>
      </c>
      <c r="B36" s="43">
        <f>报舱数据!CN31</f>
        <v>0</v>
      </c>
      <c r="C36" s="44" t="s">
        <v>7</v>
      </c>
      <c r="D36" s="45">
        <f>报舱数据!C31</f>
        <v>0</v>
      </c>
      <c r="E36" s="46" t="s">
        <v>8</v>
      </c>
      <c r="F36" s="47">
        <f>报舱数据!D31</f>
        <v>0</v>
      </c>
      <c r="G36" s="48">
        <f>报舱数据!AT31</f>
        <v>0</v>
      </c>
      <c r="H36" s="48">
        <f>报舱数据!AF31</f>
        <v>0</v>
      </c>
      <c r="I36" s="54"/>
      <c r="J36" s="55"/>
      <c r="K36" s="55"/>
      <c r="L36" s="55"/>
      <c r="O36" s="57"/>
      <c r="P36" s="58"/>
    </row>
    <row r="37" spans="1:16" s="56" customFormat="1" ht="24.75">
      <c r="A37" s="42">
        <f>报舱数据!I32</f>
        <v>0</v>
      </c>
      <c r="B37" s="43">
        <f>报舱数据!CN32</f>
        <v>0</v>
      </c>
      <c r="C37" s="44" t="s">
        <v>7</v>
      </c>
      <c r="D37" s="45">
        <f>报舱数据!C32</f>
        <v>0</v>
      </c>
      <c r="E37" s="46" t="s">
        <v>8</v>
      </c>
      <c r="F37" s="47">
        <f>报舱数据!D32</f>
        <v>0</v>
      </c>
      <c r="G37" s="48">
        <f>报舱数据!AT32</f>
        <v>0</v>
      </c>
      <c r="H37" s="48">
        <f>报舱数据!AF32</f>
        <v>0</v>
      </c>
      <c r="I37" s="54"/>
      <c r="J37" s="55"/>
      <c r="K37" s="55"/>
      <c r="L37" s="55"/>
      <c r="O37" s="57"/>
      <c r="P37" s="58"/>
    </row>
    <row r="38" spans="1:16" s="56" customFormat="1" ht="24.75">
      <c r="A38" s="42">
        <f>报舱数据!I33</f>
        <v>0</v>
      </c>
      <c r="B38" s="43">
        <f>报舱数据!CN33</f>
        <v>0</v>
      </c>
      <c r="C38" s="44" t="s">
        <v>7</v>
      </c>
      <c r="D38" s="45">
        <f>报舱数据!C33</f>
        <v>0</v>
      </c>
      <c r="E38" s="46" t="s">
        <v>8</v>
      </c>
      <c r="F38" s="47">
        <f>报舱数据!D33</f>
        <v>0</v>
      </c>
      <c r="G38" s="48">
        <f>报舱数据!AT33</f>
        <v>0</v>
      </c>
      <c r="H38" s="48">
        <f>报舱数据!AF33</f>
        <v>0</v>
      </c>
      <c r="I38" s="54"/>
      <c r="J38" s="55"/>
      <c r="K38" s="55"/>
      <c r="L38" s="55"/>
      <c r="O38" s="57"/>
      <c r="P38" s="58"/>
    </row>
    <row r="39" spans="1:16" s="56" customFormat="1" ht="24.75">
      <c r="A39" s="42">
        <f>报舱数据!I34</f>
        <v>0</v>
      </c>
      <c r="B39" s="43">
        <f>报舱数据!CN34</f>
        <v>0</v>
      </c>
      <c r="C39" s="44" t="s">
        <v>7</v>
      </c>
      <c r="D39" s="45">
        <f>报舱数据!C34</f>
        <v>0</v>
      </c>
      <c r="E39" s="46" t="s">
        <v>8</v>
      </c>
      <c r="F39" s="47">
        <f>报舱数据!D34</f>
        <v>0</v>
      </c>
      <c r="G39" s="48">
        <f>报舱数据!AT34</f>
        <v>0</v>
      </c>
      <c r="H39" s="48">
        <f>报舱数据!AF34</f>
        <v>0</v>
      </c>
      <c r="I39" s="54"/>
      <c r="J39" s="55"/>
      <c r="K39" s="55"/>
      <c r="L39" s="55"/>
      <c r="O39" s="57"/>
      <c r="P39" s="58"/>
    </row>
    <row r="40" spans="1:16" s="56" customFormat="1" ht="24.75">
      <c r="A40" s="42">
        <f>报舱数据!I35</f>
        <v>0</v>
      </c>
      <c r="B40" s="43">
        <f>报舱数据!CN35</f>
        <v>0</v>
      </c>
      <c r="C40" s="44" t="s">
        <v>7</v>
      </c>
      <c r="D40" s="45">
        <f>报舱数据!C35</f>
        <v>0</v>
      </c>
      <c r="E40" s="46" t="s">
        <v>8</v>
      </c>
      <c r="F40" s="47">
        <f>报舱数据!D35</f>
        <v>0</v>
      </c>
      <c r="G40" s="48">
        <f>报舱数据!AT35</f>
        <v>0</v>
      </c>
      <c r="H40" s="48">
        <f>报舱数据!AF35</f>
        <v>0</v>
      </c>
      <c r="I40" s="54"/>
      <c r="J40" s="55"/>
      <c r="K40" s="55"/>
      <c r="L40" s="55"/>
      <c r="O40" s="57"/>
      <c r="P40" s="58"/>
    </row>
    <row r="41" spans="1:16" s="56" customFormat="1" ht="24.75">
      <c r="A41" s="42">
        <f>报舱数据!I36</f>
        <v>0</v>
      </c>
      <c r="B41" s="43">
        <f>报舱数据!CN36</f>
        <v>0</v>
      </c>
      <c r="C41" s="44" t="s">
        <v>7</v>
      </c>
      <c r="D41" s="45">
        <f>报舱数据!C36</f>
        <v>0</v>
      </c>
      <c r="E41" s="46" t="s">
        <v>8</v>
      </c>
      <c r="F41" s="47">
        <f>报舱数据!D36</f>
        <v>0</v>
      </c>
      <c r="G41" s="48">
        <f>报舱数据!AT36</f>
        <v>0</v>
      </c>
      <c r="H41" s="48">
        <f>报舱数据!AF36</f>
        <v>0</v>
      </c>
      <c r="I41" s="54"/>
      <c r="J41" s="55"/>
      <c r="K41" s="55"/>
      <c r="L41" s="55"/>
      <c r="O41" s="57"/>
      <c r="P41" s="58"/>
    </row>
    <row r="42" spans="1:16" s="56" customFormat="1" ht="24.75">
      <c r="A42" s="42">
        <f>报舱数据!I37</f>
        <v>0</v>
      </c>
      <c r="B42" s="43">
        <f>报舱数据!CN37</f>
        <v>0</v>
      </c>
      <c r="C42" s="44" t="s">
        <v>7</v>
      </c>
      <c r="D42" s="45">
        <f>报舱数据!C37</f>
        <v>0</v>
      </c>
      <c r="E42" s="46" t="s">
        <v>8</v>
      </c>
      <c r="F42" s="47">
        <f>报舱数据!D37</f>
        <v>0</v>
      </c>
      <c r="G42" s="48">
        <f>报舱数据!AT37</f>
        <v>0</v>
      </c>
      <c r="H42" s="48">
        <f>报舱数据!AF37</f>
        <v>0</v>
      </c>
      <c r="I42" s="54"/>
      <c r="J42" s="55"/>
      <c r="K42" s="55"/>
      <c r="L42" s="55"/>
      <c r="O42" s="57"/>
      <c r="P42" s="58"/>
    </row>
    <row r="43" spans="1:16" s="56" customFormat="1" ht="24.75">
      <c r="A43" s="42">
        <f>报舱数据!I38</f>
        <v>0</v>
      </c>
      <c r="B43" s="43">
        <f>报舱数据!CN38</f>
        <v>0</v>
      </c>
      <c r="C43" s="44" t="s">
        <v>7</v>
      </c>
      <c r="D43" s="45">
        <f>报舱数据!C38</f>
        <v>0</v>
      </c>
      <c r="E43" s="46" t="s">
        <v>8</v>
      </c>
      <c r="F43" s="47">
        <f>报舱数据!D38</f>
        <v>0</v>
      </c>
      <c r="G43" s="48">
        <f>报舱数据!AT38</f>
        <v>0</v>
      </c>
      <c r="H43" s="48">
        <f>报舱数据!AF38</f>
        <v>0</v>
      </c>
      <c r="I43" s="54"/>
      <c r="J43" s="55"/>
      <c r="K43" s="55"/>
      <c r="L43" s="55"/>
      <c r="O43" s="57"/>
      <c r="P43" s="58"/>
    </row>
    <row r="44" spans="1:16" s="56" customFormat="1" ht="24.75">
      <c r="A44" s="42">
        <f>报舱数据!I39</f>
        <v>0</v>
      </c>
      <c r="B44" s="43">
        <f>报舱数据!CN39</f>
        <v>0</v>
      </c>
      <c r="C44" s="44" t="s">
        <v>7</v>
      </c>
      <c r="D44" s="45">
        <f>报舱数据!C39</f>
        <v>0</v>
      </c>
      <c r="E44" s="46" t="s">
        <v>8</v>
      </c>
      <c r="F44" s="47">
        <f>报舱数据!D39</f>
        <v>0</v>
      </c>
      <c r="G44" s="48">
        <f>报舱数据!AT39</f>
        <v>0</v>
      </c>
      <c r="H44" s="48">
        <f>报舱数据!AF39</f>
        <v>0</v>
      </c>
      <c r="I44" s="54"/>
      <c r="J44" s="55"/>
      <c r="K44" s="55"/>
      <c r="L44" s="55"/>
      <c r="O44" s="57"/>
      <c r="P44" s="58"/>
    </row>
    <row r="45" spans="1:16" s="56" customFormat="1" ht="24.75">
      <c r="A45" s="42">
        <f>报舱数据!I40</f>
        <v>0</v>
      </c>
      <c r="B45" s="43">
        <f>报舱数据!CN40</f>
        <v>0</v>
      </c>
      <c r="C45" s="44" t="s">
        <v>7</v>
      </c>
      <c r="D45" s="45">
        <f>报舱数据!C40</f>
        <v>0</v>
      </c>
      <c r="E45" s="46" t="s">
        <v>8</v>
      </c>
      <c r="F45" s="47">
        <f>报舱数据!D40</f>
        <v>0</v>
      </c>
      <c r="G45" s="48">
        <f>报舱数据!AT40</f>
        <v>0</v>
      </c>
      <c r="H45" s="48">
        <f>报舱数据!AF40</f>
        <v>0</v>
      </c>
      <c r="I45" s="54"/>
      <c r="J45" s="55"/>
      <c r="K45" s="55"/>
      <c r="L45" s="55"/>
      <c r="O45" s="57"/>
      <c r="P45" s="58"/>
    </row>
    <row r="46" spans="1:16" s="56" customFormat="1" ht="24.75">
      <c r="A46" s="42">
        <f>报舱数据!I41</f>
        <v>0</v>
      </c>
      <c r="B46" s="43">
        <f>报舱数据!CN41</f>
        <v>0</v>
      </c>
      <c r="C46" s="44" t="s">
        <v>7</v>
      </c>
      <c r="D46" s="45">
        <f>报舱数据!C41</f>
        <v>0</v>
      </c>
      <c r="E46" s="46" t="s">
        <v>8</v>
      </c>
      <c r="F46" s="47">
        <f>报舱数据!D41</f>
        <v>0</v>
      </c>
      <c r="G46" s="48">
        <f>报舱数据!AT41</f>
        <v>0</v>
      </c>
      <c r="H46" s="48">
        <f>报舱数据!AF41</f>
        <v>0</v>
      </c>
      <c r="I46" s="54"/>
      <c r="J46" s="55"/>
      <c r="K46" s="55"/>
      <c r="L46" s="55"/>
      <c r="O46" s="57"/>
      <c r="P46" s="58"/>
    </row>
    <row r="47" spans="1:16" s="56" customFormat="1" ht="24.75">
      <c r="A47" s="42">
        <f>报舱数据!I42</f>
        <v>0</v>
      </c>
      <c r="B47" s="43">
        <f>报舱数据!CN42</f>
        <v>0</v>
      </c>
      <c r="C47" s="44" t="s">
        <v>7</v>
      </c>
      <c r="D47" s="45">
        <f>报舱数据!C42</f>
        <v>0</v>
      </c>
      <c r="E47" s="46" t="s">
        <v>8</v>
      </c>
      <c r="F47" s="47">
        <f>报舱数据!D42</f>
        <v>0</v>
      </c>
      <c r="G47" s="48">
        <f>报舱数据!AT42</f>
        <v>0</v>
      </c>
      <c r="H47" s="48">
        <f>报舱数据!AF42</f>
        <v>0</v>
      </c>
      <c r="I47" s="54"/>
      <c r="J47" s="55"/>
      <c r="K47" s="55"/>
      <c r="L47" s="55"/>
      <c r="O47" s="57"/>
      <c r="P47" s="58"/>
    </row>
    <row r="48" spans="1:16" s="56" customFormat="1" ht="24.75">
      <c r="A48" s="42">
        <f>报舱数据!I43</f>
        <v>0</v>
      </c>
      <c r="B48" s="43">
        <f>报舱数据!CN43</f>
        <v>0</v>
      </c>
      <c r="C48" s="44" t="s">
        <v>7</v>
      </c>
      <c r="D48" s="45">
        <f>报舱数据!C43</f>
        <v>0</v>
      </c>
      <c r="E48" s="46" t="s">
        <v>8</v>
      </c>
      <c r="F48" s="47">
        <f>报舱数据!D43</f>
        <v>0</v>
      </c>
      <c r="G48" s="48">
        <f>报舱数据!AT43</f>
        <v>0</v>
      </c>
      <c r="H48" s="48">
        <f>报舱数据!AF43</f>
        <v>0</v>
      </c>
      <c r="I48" s="54"/>
      <c r="J48" s="55"/>
      <c r="K48" s="55"/>
      <c r="L48" s="55"/>
      <c r="O48" s="57"/>
      <c r="P48" s="58"/>
    </row>
    <row r="49" spans="1:16" s="56" customFormat="1" ht="24.75">
      <c r="A49" s="42">
        <f>报舱数据!I44</f>
        <v>0</v>
      </c>
      <c r="B49" s="43">
        <f>报舱数据!CN44</f>
        <v>0</v>
      </c>
      <c r="C49" s="44" t="s">
        <v>7</v>
      </c>
      <c r="D49" s="45">
        <f>报舱数据!C44</f>
        <v>0</v>
      </c>
      <c r="E49" s="46" t="s">
        <v>8</v>
      </c>
      <c r="F49" s="47">
        <f>报舱数据!D44</f>
        <v>0</v>
      </c>
      <c r="G49" s="48">
        <f>报舱数据!AT44</f>
        <v>0</v>
      </c>
      <c r="H49" s="48">
        <f>报舱数据!AF44</f>
        <v>0</v>
      </c>
      <c r="I49" s="54"/>
      <c r="J49" s="55"/>
      <c r="K49" s="55"/>
      <c r="L49" s="55"/>
      <c r="O49" s="57"/>
      <c r="P49" s="58"/>
    </row>
    <row r="50" spans="1:16" s="56" customFormat="1" ht="24.75">
      <c r="A50" s="42">
        <f>报舱数据!I45</f>
        <v>0</v>
      </c>
      <c r="B50" s="43">
        <f>报舱数据!CN45</f>
        <v>0</v>
      </c>
      <c r="C50" s="44" t="s">
        <v>7</v>
      </c>
      <c r="D50" s="45">
        <f>报舱数据!C45</f>
        <v>0</v>
      </c>
      <c r="E50" s="46" t="s">
        <v>8</v>
      </c>
      <c r="F50" s="47">
        <f>报舱数据!D45</f>
        <v>0</v>
      </c>
      <c r="G50" s="48">
        <f>报舱数据!AT45</f>
        <v>0</v>
      </c>
      <c r="H50" s="48">
        <f>报舱数据!AF45</f>
        <v>0</v>
      </c>
      <c r="I50" s="54"/>
      <c r="J50" s="55"/>
      <c r="K50" s="55"/>
      <c r="L50" s="55"/>
      <c r="O50" s="57"/>
      <c r="P50" s="58"/>
    </row>
    <row r="51" spans="1:16" s="56" customFormat="1" ht="24.75">
      <c r="A51" s="42">
        <f>报舱数据!I46</f>
        <v>0</v>
      </c>
      <c r="B51" s="43">
        <f>报舱数据!CN46</f>
        <v>0</v>
      </c>
      <c r="C51" s="44" t="s">
        <v>7</v>
      </c>
      <c r="D51" s="45">
        <f>报舱数据!C46</f>
        <v>0</v>
      </c>
      <c r="E51" s="46" t="s">
        <v>8</v>
      </c>
      <c r="F51" s="47">
        <f>报舱数据!D46</f>
        <v>0</v>
      </c>
      <c r="G51" s="48">
        <f>报舱数据!AT46</f>
        <v>0</v>
      </c>
      <c r="H51" s="48">
        <f>报舱数据!AF46</f>
        <v>0</v>
      </c>
      <c r="I51" s="54"/>
      <c r="J51" s="55"/>
      <c r="K51" s="55"/>
      <c r="L51" s="55"/>
      <c r="O51" s="57"/>
      <c r="P51" s="58"/>
    </row>
    <row r="52" spans="1:16" s="56" customFormat="1" ht="24.75">
      <c r="A52" s="42">
        <f>报舱数据!I47</f>
        <v>0</v>
      </c>
      <c r="B52" s="43">
        <f>报舱数据!CN47</f>
        <v>0</v>
      </c>
      <c r="C52" s="44" t="s">
        <v>7</v>
      </c>
      <c r="D52" s="45">
        <f>报舱数据!C47</f>
        <v>0</v>
      </c>
      <c r="E52" s="46" t="s">
        <v>8</v>
      </c>
      <c r="F52" s="47">
        <f>报舱数据!D47</f>
        <v>0</v>
      </c>
      <c r="G52" s="48">
        <f>报舱数据!AT47</f>
        <v>0</v>
      </c>
      <c r="H52" s="48">
        <f>报舱数据!AF47</f>
        <v>0</v>
      </c>
      <c r="I52" s="54"/>
      <c r="J52" s="55"/>
      <c r="K52" s="55"/>
      <c r="L52" s="55"/>
      <c r="O52" s="57"/>
      <c r="P52" s="58"/>
    </row>
    <row r="53" spans="1:16" s="56" customFormat="1" ht="24.75">
      <c r="A53" s="42">
        <f>报舱数据!I48</f>
        <v>0</v>
      </c>
      <c r="B53" s="43">
        <f>报舱数据!CN48</f>
        <v>0</v>
      </c>
      <c r="C53" s="44" t="s">
        <v>7</v>
      </c>
      <c r="D53" s="45">
        <f>报舱数据!C48</f>
        <v>0</v>
      </c>
      <c r="E53" s="46" t="s">
        <v>8</v>
      </c>
      <c r="F53" s="47">
        <f>报舱数据!D48</f>
        <v>0</v>
      </c>
      <c r="G53" s="48">
        <f>报舱数据!AT48</f>
        <v>0</v>
      </c>
      <c r="H53" s="48">
        <f>报舱数据!AF48</f>
        <v>0</v>
      </c>
      <c r="I53" s="54"/>
      <c r="J53" s="55"/>
      <c r="K53" s="55"/>
      <c r="L53" s="55"/>
      <c r="O53" s="57"/>
      <c r="P53" s="58"/>
    </row>
    <row r="54" spans="1:16" s="56" customFormat="1" ht="24.75">
      <c r="A54" s="42">
        <f>报舱数据!I49</f>
        <v>0</v>
      </c>
      <c r="B54" s="43">
        <f>报舱数据!CN49</f>
        <v>0</v>
      </c>
      <c r="C54" s="44" t="s">
        <v>7</v>
      </c>
      <c r="D54" s="45">
        <f>报舱数据!C49</f>
        <v>0</v>
      </c>
      <c r="E54" s="46" t="s">
        <v>8</v>
      </c>
      <c r="F54" s="47">
        <f>报舱数据!D49</f>
        <v>0</v>
      </c>
      <c r="G54" s="48">
        <f>报舱数据!AT49</f>
        <v>0</v>
      </c>
      <c r="H54" s="48">
        <f>报舱数据!AF49</f>
        <v>0</v>
      </c>
      <c r="I54" s="54"/>
      <c r="J54" s="55"/>
      <c r="K54" s="55"/>
      <c r="L54" s="55"/>
      <c r="O54" s="57"/>
      <c r="P54" s="58"/>
    </row>
    <row r="55" spans="1:16" s="56" customFormat="1" ht="24.75">
      <c r="A55" s="42">
        <f>报舱数据!I50</f>
        <v>0</v>
      </c>
      <c r="B55" s="43">
        <f>报舱数据!CN50</f>
        <v>0</v>
      </c>
      <c r="C55" s="44" t="s">
        <v>7</v>
      </c>
      <c r="D55" s="45">
        <f>报舱数据!C50</f>
        <v>0</v>
      </c>
      <c r="E55" s="46" t="s">
        <v>8</v>
      </c>
      <c r="F55" s="47">
        <f>报舱数据!D50</f>
        <v>0</v>
      </c>
      <c r="G55" s="48">
        <f>报舱数据!AT50</f>
        <v>0</v>
      </c>
      <c r="H55" s="48">
        <f>报舱数据!AF50</f>
        <v>0</v>
      </c>
      <c r="I55" s="54"/>
      <c r="J55" s="55"/>
      <c r="K55" s="55"/>
      <c r="L55" s="55"/>
      <c r="O55" s="57"/>
      <c r="P55" s="58"/>
    </row>
    <row r="56" spans="1:16" s="56" customFormat="1" ht="24.75">
      <c r="A56" s="42">
        <f>报舱数据!I51</f>
        <v>0</v>
      </c>
      <c r="B56" s="43">
        <f>报舱数据!CN51</f>
        <v>0</v>
      </c>
      <c r="C56" s="44" t="s">
        <v>7</v>
      </c>
      <c r="D56" s="45">
        <f>报舱数据!C51</f>
        <v>0</v>
      </c>
      <c r="E56" s="46" t="s">
        <v>8</v>
      </c>
      <c r="F56" s="47">
        <f>报舱数据!D51</f>
        <v>0</v>
      </c>
      <c r="G56" s="48">
        <f>报舱数据!AT51</f>
        <v>0</v>
      </c>
      <c r="H56" s="48">
        <f>报舱数据!AF51</f>
        <v>0</v>
      </c>
      <c r="I56" s="54"/>
      <c r="J56" s="55"/>
      <c r="K56" s="55"/>
      <c r="L56" s="55"/>
      <c r="O56" s="57"/>
      <c r="P56" s="58"/>
    </row>
    <row r="57" spans="1:16" s="56" customFormat="1" ht="24.75">
      <c r="A57" s="42">
        <f>报舱数据!I52</f>
        <v>0</v>
      </c>
      <c r="B57" s="43">
        <f>报舱数据!CN52</f>
        <v>0</v>
      </c>
      <c r="C57" s="44" t="s">
        <v>7</v>
      </c>
      <c r="D57" s="45">
        <f>报舱数据!C52</f>
        <v>0</v>
      </c>
      <c r="E57" s="46" t="s">
        <v>8</v>
      </c>
      <c r="F57" s="47">
        <f>报舱数据!D52</f>
        <v>0</v>
      </c>
      <c r="G57" s="48">
        <f>报舱数据!AT52</f>
        <v>0</v>
      </c>
      <c r="H57" s="48">
        <f>报舱数据!AF52</f>
        <v>0</v>
      </c>
      <c r="I57" s="54"/>
      <c r="J57" s="55"/>
      <c r="K57" s="55"/>
      <c r="L57" s="55"/>
      <c r="O57" s="57"/>
      <c r="P57" s="58"/>
    </row>
    <row r="58" spans="1:16" s="56" customFormat="1" ht="24.75">
      <c r="A58" s="42">
        <f>报舱数据!I53</f>
        <v>0</v>
      </c>
      <c r="B58" s="43">
        <f>报舱数据!CN53</f>
        <v>0</v>
      </c>
      <c r="C58" s="44" t="s">
        <v>7</v>
      </c>
      <c r="D58" s="45">
        <f>报舱数据!C53</f>
        <v>0</v>
      </c>
      <c r="E58" s="46" t="s">
        <v>8</v>
      </c>
      <c r="F58" s="47">
        <f>报舱数据!D53</f>
        <v>0</v>
      </c>
      <c r="G58" s="48">
        <f>报舱数据!AT53</f>
        <v>0</v>
      </c>
      <c r="H58" s="48">
        <f>报舱数据!AF53</f>
        <v>0</v>
      </c>
      <c r="I58" s="54"/>
      <c r="J58" s="55"/>
      <c r="K58" s="55"/>
      <c r="L58" s="55"/>
      <c r="O58" s="57"/>
      <c r="P58" s="58"/>
    </row>
    <row r="59" spans="1:16" s="56" customFormat="1" ht="24.75">
      <c r="A59" s="42">
        <f>报舱数据!I54</f>
        <v>0</v>
      </c>
      <c r="B59" s="43">
        <f>报舱数据!CN54</f>
        <v>0</v>
      </c>
      <c r="C59" s="44" t="s">
        <v>7</v>
      </c>
      <c r="D59" s="45">
        <f>报舱数据!C54</f>
        <v>0</v>
      </c>
      <c r="E59" s="46" t="s">
        <v>8</v>
      </c>
      <c r="F59" s="47">
        <f>报舱数据!D54</f>
        <v>0</v>
      </c>
      <c r="G59" s="48">
        <f>报舱数据!AT54</f>
        <v>0</v>
      </c>
      <c r="H59" s="48">
        <f>报舱数据!AF54</f>
        <v>0</v>
      </c>
      <c r="I59" s="54"/>
      <c r="J59" s="55"/>
      <c r="K59" s="55"/>
      <c r="L59" s="55"/>
      <c r="O59" s="57"/>
      <c r="P59" s="58"/>
    </row>
    <row r="60" spans="1:16" s="56" customFormat="1" ht="24.75">
      <c r="A60" s="42">
        <f>报舱数据!I55</f>
        <v>0</v>
      </c>
      <c r="B60" s="43">
        <f>报舱数据!CN55</f>
        <v>0</v>
      </c>
      <c r="C60" s="44" t="s">
        <v>7</v>
      </c>
      <c r="D60" s="45">
        <f>报舱数据!C55</f>
        <v>0</v>
      </c>
      <c r="E60" s="46" t="s">
        <v>8</v>
      </c>
      <c r="F60" s="47">
        <f>报舱数据!D55</f>
        <v>0</v>
      </c>
      <c r="G60" s="48">
        <f>报舱数据!AT55</f>
        <v>0</v>
      </c>
      <c r="H60" s="48">
        <f>报舱数据!AF55</f>
        <v>0</v>
      </c>
      <c r="I60" s="54"/>
      <c r="J60" s="55"/>
      <c r="K60" s="55"/>
      <c r="L60" s="55"/>
      <c r="O60" s="57"/>
      <c r="P60" s="58"/>
    </row>
    <row r="61" spans="1:16" s="56" customFormat="1" ht="24.75">
      <c r="A61" s="42">
        <f>报舱数据!I56</f>
        <v>0</v>
      </c>
      <c r="B61" s="43">
        <f>报舱数据!CN56</f>
        <v>0</v>
      </c>
      <c r="C61" s="44" t="s">
        <v>7</v>
      </c>
      <c r="D61" s="45">
        <f>报舱数据!C56</f>
        <v>0</v>
      </c>
      <c r="E61" s="46" t="s">
        <v>8</v>
      </c>
      <c r="F61" s="47">
        <f>报舱数据!D56</f>
        <v>0</v>
      </c>
      <c r="G61" s="48">
        <f>报舱数据!AT56</f>
        <v>0</v>
      </c>
      <c r="H61" s="48">
        <f>报舱数据!AF56</f>
        <v>0</v>
      </c>
      <c r="I61" s="54"/>
      <c r="J61" s="55"/>
      <c r="K61" s="55"/>
      <c r="L61" s="55"/>
      <c r="O61" s="57"/>
      <c r="P61" s="58"/>
    </row>
    <row r="62" spans="1:16" s="56" customFormat="1" ht="24.75">
      <c r="A62" s="42">
        <f>报舱数据!I57</f>
        <v>0</v>
      </c>
      <c r="B62" s="43">
        <f>报舱数据!CN57</f>
        <v>0</v>
      </c>
      <c r="C62" s="44" t="s">
        <v>7</v>
      </c>
      <c r="D62" s="45">
        <f>报舱数据!C57</f>
        <v>0</v>
      </c>
      <c r="E62" s="46" t="s">
        <v>8</v>
      </c>
      <c r="F62" s="47">
        <f>报舱数据!D57</f>
        <v>0</v>
      </c>
      <c r="G62" s="48">
        <f>报舱数据!AT57</f>
        <v>0</v>
      </c>
      <c r="H62" s="48">
        <f>报舱数据!AF57</f>
        <v>0</v>
      </c>
      <c r="I62" s="54"/>
      <c r="J62" s="55"/>
      <c r="K62" s="55"/>
      <c r="L62" s="55"/>
      <c r="O62" s="57"/>
      <c r="P62" s="58"/>
    </row>
    <row r="63" spans="1:16" s="56" customFormat="1" ht="24.75">
      <c r="A63" s="42">
        <f>报舱数据!I58</f>
        <v>0</v>
      </c>
      <c r="B63" s="43">
        <f>报舱数据!CN58</f>
        <v>0</v>
      </c>
      <c r="C63" s="44" t="s">
        <v>7</v>
      </c>
      <c r="D63" s="45">
        <f>报舱数据!C58</f>
        <v>0</v>
      </c>
      <c r="E63" s="46" t="s">
        <v>8</v>
      </c>
      <c r="F63" s="47">
        <f>报舱数据!D58</f>
        <v>0</v>
      </c>
      <c r="G63" s="48">
        <f>报舱数据!AT58</f>
        <v>0</v>
      </c>
      <c r="H63" s="48">
        <f>报舱数据!AF58</f>
        <v>0</v>
      </c>
      <c r="I63" s="54"/>
      <c r="J63" s="55"/>
      <c r="K63" s="55"/>
      <c r="L63" s="55"/>
      <c r="O63" s="57"/>
      <c r="P63" s="58"/>
    </row>
    <row r="64" spans="1:16" s="56" customFormat="1" ht="24.75">
      <c r="A64" s="42">
        <f>报舱数据!I59</f>
        <v>0</v>
      </c>
      <c r="B64" s="43">
        <f>报舱数据!CN59</f>
        <v>0</v>
      </c>
      <c r="C64" s="44" t="s">
        <v>7</v>
      </c>
      <c r="D64" s="45">
        <f>报舱数据!C59</f>
        <v>0</v>
      </c>
      <c r="E64" s="46" t="s">
        <v>8</v>
      </c>
      <c r="F64" s="47">
        <f>报舱数据!D59</f>
        <v>0</v>
      </c>
      <c r="G64" s="48">
        <f>报舱数据!AT59</f>
        <v>0</v>
      </c>
      <c r="H64" s="48">
        <f>报舱数据!AF59</f>
        <v>0</v>
      </c>
      <c r="I64" s="54"/>
      <c r="J64" s="55"/>
      <c r="K64" s="55"/>
      <c r="L64" s="55"/>
      <c r="O64" s="57"/>
      <c r="P64" s="58"/>
    </row>
    <row r="65" spans="1:16" s="56" customFormat="1" ht="24.75">
      <c r="A65" s="42">
        <f>报舱数据!I60</f>
        <v>0</v>
      </c>
      <c r="B65" s="43">
        <f>报舱数据!CN60</f>
        <v>0</v>
      </c>
      <c r="C65" s="44" t="s">
        <v>7</v>
      </c>
      <c r="D65" s="45">
        <f>报舱数据!C60</f>
        <v>0</v>
      </c>
      <c r="E65" s="46" t="s">
        <v>8</v>
      </c>
      <c r="F65" s="47">
        <f>报舱数据!D60</f>
        <v>0</v>
      </c>
      <c r="G65" s="48">
        <f>报舱数据!AT60</f>
        <v>0</v>
      </c>
      <c r="H65" s="48">
        <f>报舱数据!AF60</f>
        <v>0</v>
      </c>
      <c r="I65" s="54"/>
      <c r="J65" s="55"/>
      <c r="K65" s="55"/>
      <c r="L65" s="55"/>
      <c r="O65" s="57"/>
      <c r="P65" s="58"/>
    </row>
    <row r="66" spans="1:16" s="56" customFormat="1" ht="24.75">
      <c r="A66" s="42">
        <f>报舱数据!I61</f>
        <v>0</v>
      </c>
      <c r="B66" s="43">
        <f>报舱数据!CN61</f>
        <v>0</v>
      </c>
      <c r="C66" s="44" t="s">
        <v>7</v>
      </c>
      <c r="D66" s="45">
        <f>报舱数据!C61</f>
        <v>0</v>
      </c>
      <c r="E66" s="46" t="s">
        <v>8</v>
      </c>
      <c r="F66" s="47">
        <f>报舱数据!D61</f>
        <v>0</v>
      </c>
      <c r="G66" s="48">
        <f>报舱数据!AT61</f>
        <v>0</v>
      </c>
      <c r="H66" s="48">
        <f>报舱数据!AF61</f>
        <v>0</v>
      </c>
      <c r="I66" s="54"/>
      <c r="J66" s="55"/>
      <c r="K66" s="55"/>
      <c r="L66" s="55"/>
      <c r="O66" s="57"/>
      <c r="P66" s="58"/>
    </row>
    <row r="67" spans="1:16" s="56" customFormat="1" ht="24.75">
      <c r="A67" s="42">
        <f>报舱数据!I62</f>
        <v>0</v>
      </c>
      <c r="B67" s="43">
        <f>报舱数据!CN62</f>
        <v>0</v>
      </c>
      <c r="C67" s="44" t="s">
        <v>7</v>
      </c>
      <c r="D67" s="45">
        <f>报舱数据!C62</f>
        <v>0</v>
      </c>
      <c r="E67" s="46" t="s">
        <v>8</v>
      </c>
      <c r="F67" s="47">
        <f>报舱数据!D62</f>
        <v>0</v>
      </c>
      <c r="G67" s="48">
        <f>报舱数据!AT62</f>
        <v>0</v>
      </c>
      <c r="H67" s="48">
        <f>报舱数据!AF62</f>
        <v>0</v>
      </c>
      <c r="I67" s="54"/>
      <c r="J67" s="55"/>
      <c r="K67" s="55"/>
      <c r="L67" s="55"/>
      <c r="O67" s="57"/>
      <c r="P67" s="58"/>
    </row>
    <row r="68" spans="1:16" s="56" customFormat="1" ht="24.75">
      <c r="A68" s="42">
        <f>报舱数据!I63</f>
        <v>0</v>
      </c>
      <c r="B68" s="43">
        <f>报舱数据!CN63</f>
        <v>0</v>
      </c>
      <c r="C68" s="44" t="s">
        <v>7</v>
      </c>
      <c r="D68" s="45">
        <f>报舱数据!C63</f>
        <v>0</v>
      </c>
      <c r="E68" s="46" t="s">
        <v>8</v>
      </c>
      <c r="F68" s="47">
        <f>报舱数据!D63</f>
        <v>0</v>
      </c>
      <c r="G68" s="48">
        <f>报舱数据!AT63</f>
        <v>0</v>
      </c>
      <c r="H68" s="48">
        <f>报舱数据!AF63</f>
        <v>0</v>
      </c>
      <c r="I68" s="54"/>
      <c r="J68" s="55"/>
      <c r="K68" s="55"/>
      <c r="L68" s="55"/>
      <c r="O68" s="57"/>
      <c r="P68" s="58"/>
    </row>
    <row r="69" spans="1:16" s="56" customFormat="1" ht="24.75">
      <c r="A69" s="42">
        <f>报舱数据!I64</f>
        <v>0</v>
      </c>
      <c r="B69" s="43">
        <f>报舱数据!CN64</f>
        <v>0</v>
      </c>
      <c r="C69" s="44" t="s">
        <v>7</v>
      </c>
      <c r="D69" s="45">
        <f>报舱数据!C64</f>
        <v>0</v>
      </c>
      <c r="E69" s="46" t="s">
        <v>8</v>
      </c>
      <c r="F69" s="47">
        <f>报舱数据!D64</f>
        <v>0</v>
      </c>
      <c r="G69" s="48">
        <f>报舱数据!AT64</f>
        <v>0</v>
      </c>
      <c r="H69" s="48">
        <f>报舱数据!AF64</f>
        <v>0</v>
      </c>
      <c r="I69" s="54"/>
      <c r="J69" s="55"/>
      <c r="K69" s="55"/>
      <c r="L69" s="55"/>
      <c r="O69" s="57"/>
      <c r="P69" s="58"/>
    </row>
    <row r="70" spans="1:16" s="56" customFormat="1" ht="24.75">
      <c r="A70" s="42">
        <f>报舱数据!I65</f>
        <v>0</v>
      </c>
      <c r="B70" s="43">
        <f>报舱数据!CN65</f>
        <v>0</v>
      </c>
      <c r="C70" s="44" t="s">
        <v>7</v>
      </c>
      <c r="D70" s="45">
        <f>报舱数据!C65</f>
        <v>0</v>
      </c>
      <c r="E70" s="46" t="s">
        <v>8</v>
      </c>
      <c r="F70" s="47">
        <f>报舱数据!D65</f>
        <v>0</v>
      </c>
      <c r="G70" s="48">
        <f>报舱数据!AT65</f>
        <v>0</v>
      </c>
      <c r="H70" s="48">
        <f>报舱数据!AF65</f>
        <v>0</v>
      </c>
      <c r="I70" s="54"/>
      <c r="J70" s="55"/>
      <c r="K70" s="55"/>
      <c r="L70" s="55"/>
      <c r="O70" s="57"/>
      <c r="P70" s="58"/>
    </row>
    <row r="71" spans="1:16" s="56" customFormat="1" ht="24.75">
      <c r="A71" s="42">
        <f>报舱数据!I66</f>
        <v>0</v>
      </c>
      <c r="B71" s="43">
        <f>报舱数据!CN66</f>
        <v>0</v>
      </c>
      <c r="C71" s="44" t="s">
        <v>7</v>
      </c>
      <c r="D71" s="45">
        <f>报舱数据!C66</f>
        <v>0</v>
      </c>
      <c r="E71" s="46" t="s">
        <v>8</v>
      </c>
      <c r="F71" s="47">
        <f>报舱数据!D66</f>
        <v>0</v>
      </c>
      <c r="G71" s="48">
        <f>报舱数据!AT66</f>
        <v>0</v>
      </c>
      <c r="H71" s="48">
        <f>报舱数据!AF66</f>
        <v>0</v>
      </c>
      <c r="I71" s="54"/>
      <c r="J71" s="55"/>
      <c r="K71" s="55"/>
      <c r="L71" s="55"/>
      <c r="O71" s="57"/>
      <c r="P71" s="58"/>
    </row>
    <row r="72" spans="1:16" s="56" customFormat="1" ht="24.75">
      <c r="A72" s="42">
        <f>报舱数据!I67</f>
        <v>0</v>
      </c>
      <c r="B72" s="43">
        <f>报舱数据!CN67</f>
        <v>0</v>
      </c>
      <c r="C72" s="44" t="s">
        <v>7</v>
      </c>
      <c r="D72" s="45">
        <f>报舱数据!C67</f>
        <v>0</v>
      </c>
      <c r="E72" s="46" t="s">
        <v>8</v>
      </c>
      <c r="F72" s="47">
        <f>报舱数据!D67</f>
        <v>0</v>
      </c>
      <c r="G72" s="48">
        <f>报舱数据!AT67</f>
        <v>0</v>
      </c>
      <c r="H72" s="48">
        <f>报舱数据!AF67</f>
        <v>0</v>
      </c>
      <c r="I72" s="54"/>
      <c r="J72" s="55"/>
      <c r="K72" s="55"/>
      <c r="L72" s="55"/>
      <c r="O72" s="57"/>
      <c r="P72" s="58"/>
    </row>
    <row r="73" spans="1:16" s="56" customFormat="1" ht="24.75">
      <c r="A73" s="42">
        <f>报舱数据!I68</f>
        <v>0</v>
      </c>
      <c r="B73" s="43">
        <f>报舱数据!CN68</f>
        <v>0</v>
      </c>
      <c r="C73" s="44" t="s">
        <v>7</v>
      </c>
      <c r="D73" s="45">
        <f>报舱数据!C68</f>
        <v>0</v>
      </c>
      <c r="E73" s="46" t="s">
        <v>8</v>
      </c>
      <c r="F73" s="47">
        <f>报舱数据!D68</f>
        <v>0</v>
      </c>
      <c r="G73" s="48">
        <f>报舱数据!AT68</f>
        <v>0</v>
      </c>
      <c r="H73" s="48">
        <f>报舱数据!AF68</f>
        <v>0</v>
      </c>
      <c r="I73" s="54"/>
      <c r="J73" s="55"/>
      <c r="K73" s="55"/>
      <c r="L73" s="55"/>
      <c r="O73" s="57"/>
      <c r="P73" s="58"/>
    </row>
    <row r="74" spans="1:16" s="56" customFormat="1" ht="24.75">
      <c r="A74" s="42">
        <f>报舱数据!I69</f>
        <v>0</v>
      </c>
      <c r="B74" s="43">
        <f>报舱数据!CN69</f>
        <v>0</v>
      </c>
      <c r="C74" s="44" t="s">
        <v>7</v>
      </c>
      <c r="D74" s="45">
        <f>报舱数据!C69</f>
        <v>0</v>
      </c>
      <c r="E74" s="46" t="s">
        <v>8</v>
      </c>
      <c r="F74" s="47">
        <f>报舱数据!D69</f>
        <v>0</v>
      </c>
      <c r="G74" s="48">
        <f>报舱数据!AT69</f>
        <v>0</v>
      </c>
      <c r="H74" s="48">
        <f>报舱数据!AF69</f>
        <v>0</v>
      </c>
      <c r="I74" s="54"/>
      <c r="J74" s="55"/>
      <c r="K74" s="55"/>
      <c r="L74" s="55"/>
      <c r="O74" s="57"/>
      <c r="P74" s="58"/>
    </row>
    <row r="75" spans="1:16" s="56" customFormat="1" ht="24.75">
      <c r="A75" s="42">
        <f>报舱数据!I70</f>
        <v>0</v>
      </c>
      <c r="B75" s="43">
        <f>报舱数据!CN70</f>
        <v>0</v>
      </c>
      <c r="C75" s="44" t="s">
        <v>7</v>
      </c>
      <c r="D75" s="45">
        <f>报舱数据!C70</f>
        <v>0</v>
      </c>
      <c r="E75" s="46" t="s">
        <v>8</v>
      </c>
      <c r="F75" s="47">
        <f>报舱数据!D70</f>
        <v>0</v>
      </c>
      <c r="G75" s="48">
        <f>报舱数据!AT70</f>
        <v>0</v>
      </c>
      <c r="H75" s="48">
        <f>报舱数据!AF70</f>
        <v>0</v>
      </c>
      <c r="I75" s="54"/>
      <c r="J75" s="55"/>
      <c r="K75" s="55"/>
      <c r="L75" s="55"/>
      <c r="O75" s="57"/>
      <c r="P75" s="58"/>
    </row>
    <row r="76" spans="1:16" s="56" customFormat="1" ht="24.75">
      <c r="A76" s="42">
        <f>报舱数据!I71</f>
        <v>0</v>
      </c>
      <c r="B76" s="43">
        <f>报舱数据!CN71</f>
        <v>0</v>
      </c>
      <c r="C76" s="44" t="s">
        <v>7</v>
      </c>
      <c r="D76" s="45">
        <f>报舱数据!C71</f>
        <v>0</v>
      </c>
      <c r="E76" s="46" t="s">
        <v>8</v>
      </c>
      <c r="F76" s="47">
        <f>报舱数据!D71</f>
        <v>0</v>
      </c>
      <c r="G76" s="48">
        <f>报舱数据!AT71</f>
        <v>0</v>
      </c>
      <c r="H76" s="48">
        <f>报舱数据!AF71</f>
        <v>0</v>
      </c>
      <c r="I76" s="54"/>
      <c r="J76" s="55"/>
      <c r="K76" s="55"/>
      <c r="L76" s="55"/>
      <c r="O76" s="57"/>
      <c r="P76" s="58"/>
    </row>
    <row r="77" spans="1:16" s="56" customFormat="1" ht="24.75">
      <c r="A77" s="42">
        <f>报舱数据!I72</f>
        <v>0</v>
      </c>
      <c r="B77" s="43">
        <f>报舱数据!CN72</f>
        <v>0</v>
      </c>
      <c r="C77" s="44" t="s">
        <v>7</v>
      </c>
      <c r="D77" s="45">
        <f>报舱数据!C72</f>
        <v>0</v>
      </c>
      <c r="E77" s="46" t="s">
        <v>8</v>
      </c>
      <c r="F77" s="47">
        <f>报舱数据!D72</f>
        <v>0</v>
      </c>
      <c r="G77" s="48">
        <f>报舱数据!AT72</f>
        <v>0</v>
      </c>
      <c r="H77" s="48">
        <f>报舱数据!AF72</f>
        <v>0</v>
      </c>
      <c r="I77" s="54"/>
      <c r="J77" s="55"/>
      <c r="K77" s="55"/>
      <c r="L77" s="55"/>
      <c r="O77" s="57"/>
      <c r="P77" s="58"/>
    </row>
    <row r="78" spans="1:16" s="56" customFormat="1" ht="24.75">
      <c r="A78" s="42">
        <f>报舱数据!I73</f>
        <v>0</v>
      </c>
      <c r="B78" s="43">
        <f>报舱数据!CN73</f>
        <v>0</v>
      </c>
      <c r="C78" s="44" t="s">
        <v>7</v>
      </c>
      <c r="D78" s="45">
        <f>报舱数据!C73</f>
        <v>0</v>
      </c>
      <c r="E78" s="46" t="s">
        <v>8</v>
      </c>
      <c r="F78" s="47">
        <f>报舱数据!D73</f>
        <v>0</v>
      </c>
      <c r="G78" s="48">
        <f>报舱数据!AT73</f>
        <v>0</v>
      </c>
      <c r="H78" s="48">
        <f>报舱数据!AF73</f>
        <v>0</v>
      </c>
      <c r="I78" s="54"/>
      <c r="J78" s="55"/>
      <c r="K78" s="55"/>
      <c r="L78" s="55"/>
      <c r="O78" s="57"/>
      <c r="P78" s="58"/>
    </row>
    <row r="79" spans="1:16" s="56" customFormat="1" ht="24.75">
      <c r="A79" s="42">
        <f>报舱数据!I74</f>
        <v>0</v>
      </c>
      <c r="B79" s="43">
        <f>报舱数据!CN74</f>
        <v>0</v>
      </c>
      <c r="C79" s="44" t="s">
        <v>7</v>
      </c>
      <c r="D79" s="45">
        <f>报舱数据!C74</f>
        <v>0</v>
      </c>
      <c r="E79" s="46" t="s">
        <v>8</v>
      </c>
      <c r="F79" s="47">
        <f>报舱数据!D74</f>
        <v>0</v>
      </c>
      <c r="G79" s="48">
        <f>报舱数据!AT74</f>
        <v>0</v>
      </c>
      <c r="H79" s="48">
        <f>报舱数据!AF74</f>
        <v>0</v>
      </c>
      <c r="I79" s="54"/>
      <c r="J79" s="55"/>
      <c r="K79" s="55"/>
      <c r="L79" s="55"/>
      <c r="O79" s="57"/>
      <c r="P79" s="58"/>
    </row>
    <row r="80" spans="1:16" s="56" customFormat="1" ht="24.75">
      <c r="A80" s="42">
        <f>报舱数据!I75</f>
        <v>0</v>
      </c>
      <c r="B80" s="43">
        <f>报舱数据!CN75</f>
        <v>0</v>
      </c>
      <c r="C80" s="44" t="s">
        <v>7</v>
      </c>
      <c r="D80" s="45">
        <f>报舱数据!C75</f>
        <v>0</v>
      </c>
      <c r="E80" s="46" t="s">
        <v>8</v>
      </c>
      <c r="F80" s="47">
        <f>报舱数据!D75</f>
        <v>0</v>
      </c>
      <c r="G80" s="48">
        <f>报舱数据!AT75</f>
        <v>0</v>
      </c>
      <c r="H80" s="48">
        <f>报舱数据!AF75</f>
        <v>0</v>
      </c>
      <c r="I80" s="54"/>
      <c r="J80" s="55"/>
      <c r="K80" s="55"/>
      <c r="L80" s="55"/>
      <c r="O80" s="57"/>
      <c r="P80" s="58"/>
    </row>
    <row r="81" spans="1:16" s="56" customFormat="1" ht="24.75">
      <c r="A81" s="42">
        <f>报舱数据!I76</f>
        <v>0</v>
      </c>
      <c r="B81" s="43">
        <f>报舱数据!CN76</f>
        <v>0</v>
      </c>
      <c r="C81" s="44" t="s">
        <v>7</v>
      </c>
      <c r="D81" s="45">
        <f>报舱数据!C76</f>
        <v>0</v>
      </c>
      <c r="E81" s="46" t="s">
        <v>8</v>
      </c>
      <c r="F81" s="47">
        <f>报舱数据!D76</f>
        <v>0</v>
      </c>
      <c r="G81" s="48">
        <f>报舱数据!AT76</f>
        <v>0</v>
      </c>
      <c r="H81" s="48">
        <f>报舱数据!AF76</f>
        <v>0</v>
      </c>
      <c r="I81" s="54"/>
      <c r="J81" s="55"/>
      <c r="K81" s="55"/>
      <c r="L81" s="55"/>
      <c r="O81" s="57"/>
      <c r="P81" s="58"/>
    </row>
    <row r="82" spans="1:16" s="56" customFormat="1" ht="24.75">
      <c r="A82" s="42">
        <f>报舱数据!I77</f>
        <v>0</v>
      </c>
      <c r="B82" s="43">
        <f>报舱数据!CN77</f>
        <v>0</v>
      </c>
      <c r="C82" s="44" t="s">
        <v>7</v>
      </c>
      <c r="D82" s="45">
        <f>报舱数据!C77</f>
        <v>0</v>
      </c>
      <c r="E82" s="46" t="s">
        <v>8</v>
      </c>
      <c r="F82" s="47">
        <f>报舱数据!D77</f>
        <v>0</v>
      </c>
      <c r="G82" s="48">
        <f>报舱数据!AT77</f>
        <v>0</v>
      </c>
      <c r="H82" s="48">
        <f>报舱数据!AF77</f>
        <v>0</v>
      </c>
      <c r="I82" s="54"/>
      <c r="J82" s="55"/>
      <c r="K82" s="55"/>
      <c r="L82" s="55"/>
      <c r="O82" s="57"/>
      <c r="P82" s="58"/>
    </row>
    <row r="83" spans="1:16" s="56" customFormat="1" ht="24.75">
      <c r="A83" s="42">
        <f>报舱数据!I78</f>
        <v>0</v>
      </c>
      <c r="B83" s="43">
        <f>报舱数据!CN78</f>
        <v>0</v>
      </c>
      <c r="C83" s="44" t="s">
        <v>7</v>
      </c>
      <c r="D83" s="45">
        <f>报舱数据!C78</f>
        <v>0</v>
      </c>
      <c r="E83" s="46" t="s">
        <v>8</v>
      </c>
      <c r="F83" s="47">
        <f>报舱数据!D78</f>
        <v>0</v>
      </c>
      <c r="G83" s="48">
        <f>报舱数据!AT78</f>
        <v>0</v>
      </c>
      <c r="H83" s="48">
        <f>报舱数据!AF78</f>
        <v>0</v>
      </c>
      <c r="I83" s="54"/>
      <c r="J83" s="55"/>
      <c r="K83" s="55"/>
      <c r="L83" s="55"/>
      <c r="O83" s="57"/>
      <c r="P83" s="58"/>
    </row>
    <row r="84" spans="1:16" s="56" customFormat="1" ht="24.75">
      <c r="A84" s="42">
        <f>报舱数据!I79</f>
        <v>0</v>
      </c>
      <c r="B84" s="43">
        <f>报舱数据!CN79</f>
        <v>0</v>
      </c>
      <c r="C84" s="44" t="s">
        <v>7</v>
      </c>
      <c r="D84" s="45">
        <f>报舱数据!C79</f>
        <v>0</v>
      </c>
      <c r="E84" s="46" t="s">
        <v>8</v>
      </c>
      <c r="F84" s="47">
        <f>报舱数据!D79</f>
        <v>0</v>
      </c>
      <c r="G84" s="48">
        <f>报舱数据!AT79</f>
        <v>0</v>
      </c>
      <c r="H84" s="48">
        <f>报舱数据!AF79</f>
        <v>0</v>
      </c>
      <c r="I84" s="54"/>
      <c r="J84" s="55"/>
      <c r="K84" s="55"/>
      <c r="L84" s="55"/>
      <c r="O84" s="57"/>
      <c r="P84" s="58"/>
    </row>
    <row r="85" spans="1:16" s="56" customFormat="1" ht="24.75">
      <c r="A85" s="42">
        <f>报舱数据!I80</f>
        <v>0</v>
      </c>
      <c r="B85" s="43">
        <f>报舱数据!CN80</f>
        <v>0</v>
      </c>
      <c r="C85" s="44" t="s">
        <v>7</v>
      </c>
      <c r="D85" s="45">
        <f>报舱数据!C80</f>
        <v>0</v>
      </c>
      <c r="E85" s="46" t="s">
        <v>8</v>
      </c>
      <c r="F85" s="47">
        <f>报舱数据!D80</f>
        <v>0</v>
      </c>
      <c r="G85" s="48">
        <f>报舱数据!AT80</f>
        <v>0</v>
      </c>
      <c r="H85" s="48">
        <f>报舱数据!AF80</f>
        <v>0</v>
      </c>
      <c r="I85" s="54"/>
      <c r="J85" s="55"/>
      <c r="K85" s="55"/>
      <c r="L85" s="55"/>
      <c r="O85" s="57"/>
      <c r="P85" s="58"/>
    </row>
    <row r="86" spans="1:16" s="56" customFormat="1" ht="24.75">
      <c r="A86" s="42">
        <f>报舱数据!I81</f>
        <v>0</v>
      </c>
      <c r="B86" s="43">
        <f>报舱数据!CN81</f>
        <v>0</v>
      </c>
      <c r="C86" s="44" t="s">
        <v>7</v>
      </c>
      <c r="D86" s="45">
        <f>报舱数据!C81</f>
        <v>0</v>
      </c>
      <c r="E86" s="46" t="s">
        <v>8</v>
      </c>
      <c r="F86" s="47">
        <f>报舱数据!D81</f>
        <v>0</v>
      </c>
      <c r="G86" s="48">
        <f>报舱数据!AT81</f>
        <v>0</v>
      </c>
      <c r="H86" s="48">
        <f>报舱数据!AF81</f>
        <v>0</v>
      </c>
      <c r="I86" s="54"/>
      <c r="J86" s="55"/>
      <c r="K86" s="55"/>
      <c r="L86" s="55"/>
      <c r="O86" s="57"/>
      <c r="P86" s="58"/>
    </row>
    <row r="87" spans="1:16" s="56" customFormat="1" ht="24.75">
      <c r="A87" s="42">
        <f>报舱数据!I82</f>
        <v>0</v>
      </c>
      <c r="B87" s="43">
        <f>报舱数据!CN82</f>
        <v>0</v>
      </c>
      <c r="C87" s="44" t="s">
        <v>7</v>
      </c>
      <c r="D87" s="45">
        <f>报舱数据!C82</f>
        <v>0</v>
      </c>
      <c r="E87" s="46" t="s">
        <v>8</v>
      </c>
      <c r="F87" s="47">
        <f>报舱数据!D82</f>
        <v>0</v>
      </c>
      <c r="G87" s="48">
        <f>报舱数据!AT82</f>
        <v>0</v>
      </c>
      <c r="H87" s="48">
        <f>报舱数据!AF82</f>
        <v>0</v>
      </c>
      <c r="I87" s="54"/>
      <c r="J87" s="55"/>
      <c r="K87" s="55"/>
      <c r="L87" s="55"/>
      <c r="O87" s="57"/>
      <c r="P87" s="58"/>
    </row>
    <row r="88" spans="1:16" ht="16.5">
      <c r="A88" s="59" t="s">
        <v>3761</v>
      </c>
      <c r="B88" s="59"/>
      <c r="C88" s="60"/>
      <c r="D88" s="60"/>
      <c r="E88" s="41"/>
      <c r="F88" s="61"/>
      <c r="G88" s="41"/>
      <c r="H88" s="41"/>
      <c r="I88" s="28"/>
      <c r="J88" s="29"/>
      <c r="K88" s="29"/>
      <c r="L88" s="29"/>
    </row>
    <row r="89" spans="1:16" ht="16.5">
      <c r="A89" s="41" t="s">
        <v>3757</v>
      </c>
      <c r="B89" s="41" t="s">
        <v>3760</v>
      </c>
      <c r="C89" s="62"/>
      <c r="D89" s="62"/>
      <c r="E89" s="62"/>
      <c r="F89" s="41"/>
      <c r="G89" s="41"/>
      <c r="H89" s="41"/>
      <c r="I89" s="28"/>
      <c r="J89" s="29"/>
      <c r="K89" s="29"/>
      <c r="L89" s="29"/>
    </row>
    <row r="90" spans="1:16" s="56" customFormat="1" ht="24.75">
      <c r="A90" s="63">
        <f>报舱数据!I2</f>
        <v>0</v>
      </c>
      <c r="B90" s="80" t="e">
        <f>VLOOKUP(报舱数据!G2,[2]航次参数!A1:O41,4,FALSE)</f>
        <v>#N/A</v>
      </c>
      <c r="C90" s="64"/>
      <c r="D90" s="65"/>
      <c r="E90" s="64"/>
      <c r="F90" s="66"/>
      <c r="G90" s="65"/>
      <c r="H90" s="65"/>
      <c r="I90" s="54"/>
      <c r="J90" s="55"/>
      <c r="K90" s="55"/>
      <c r="L90" s="55"/>
    </row>
    <row r="91" spans="1:16" s="56" customFormat="1" ht="24.75">
      <c r="A91" s="63">
        <f>报舱数据!I3</f>
        <v>0</v>
      </c>
      <c r="B91" s="80" t="str">
        <f t="shared" ref="B91:B122" si="0">IF(A91&lt;&gt;0,B90,"")</f>
        <v/>
      </c>
      <c r="C91" s="64"/>
      <c r="D91" s="65"/>
      <c r="E91" s="64"/>
      <c r="F91" s="66"/>
      <c r="G91" s="65"/>
      <c r="H91" s="65"/>
      <c r="I91" s="54"/>
      <c r="J91" s="55"/>
      <c r="K91" s="55"/>
      <c r="L91" s="55"/>
    </row>
    <row r="92" spans="1:16" s="56" customFormat="1" ht="24.75">
      <c r="A92" s="63">
        <f>报舱数据!I4</f>
        <v>0</v>
      </c>
      <c r="B92" s="80" t="str">
        <f t="shared" si="0"/>
        <v/>
      </c>
      <c r="C92" s="64"/>
      <c r="D92" s="65"/>
      <c r="E92" s="64"/>
      <c r="F92" s="66"/>
      <c r="G92" s="65"/>
      <c r="H92" s="65"/>
      <c r="I92" s="54"/>
      <c r="J92" s="55"/>
      <c r="K92" s="55"/>
      <c r="L92" s="55"/>
    </row>
    <row r="93" spans="1:16" s="56" customFormat="1" ht="24.75">
      <c r="A93" s="63">
        <f>报舱数据!I5</f>
        <v>0</v>
      </c>
      <c r="B93" s="80" t="str">
        <f t="shared" si="0"/>
        <v/>
      </c>
      <c r="C93" s="64"/>
      <c r="D93" s="65"/>
      <c r="E93" s="64"/>
      <c r="F93" s="66"/>
      <c r="G93" s="65"/>
      <c r="H93" s="65"/>
      <c r="I93" s="54"/>
      <c r="J93" s="55"/>
      <c r="K93" s="55"/>
      <c r="L93" s="55"/>
    </row>
    <row r="94" spans="1:16" s="56" customFormat="1" ht="24.75">
      <c r="A94" s="63">
        <f>报舱数据!I6</f>
        <v>0</v>
      </c>
      <c r="B94" s="80" t="str">
        <f t="shared" si="0"/>
        <v/>
      </c>
      <c r="C94" s="64"/>
      <c r="D94" s="65"/>
      <c r="E94" s="64"/>
      <c r="F94" s="66"/>
      <c r="G94" s="65"/>
      <c r="H94" s="65"/>
      <c r="I94" s="54"/>
      <c r="J94" s="55"/>
      <c r="K94" s="55"/>
      <c r="L94" s="55"/>
    </row>
    <row r="95" spans="1:16" s="56" customFormat="1" ht="24.75">
      <c r="A95" s="63">
        <f>报舱数据!I7</f>
        <v>0</v>
      </c>
      <c r="B95" s="80" t="str">
        <f t="shared" si="0"/>
        <v/>
      </c>
      <c r="C95" s="64"/>
      <c r="D95" s="65"/>
      <c r="E95" s="64"/>
      <c r="F95" s="66"/>
      <c r="G95" s="65"/>
      <c r="H95" s="65"/>
      <c r="I95" s="54"/>
      <c r="J95" s="55"/>
      <c r="K95" s="55"/>
      <c r="L95" s="55"/>
    </row>
    <row r="96" spans="1:16" s="56" customFormat="1" ht="24.75">
      <c r="A96" s="63">
        <f>报舱数据!I8</f>
        <v>0</v>
      </c>
      <c r="B96" s="80" t="str">
        <f t="shared" si="0"/>
        <v/>
      </c>
      <c r="C96" s="64"/>
      <c r="D96" s="65"/>
      <c r="E96" s="64"/>
      <c r="F96" s="66"/>
      <c r="G96" s="65"/>
      <c r="H96" s="65"/>
      <c r="I96" s="54"/>
      <c r="J96" s="55"/>
      <c r="K96" s="55"/>
      <c r="L96" s="55"/>
    </row>
    <row r="97" spans="1:12" s="56" customFormat="1" ht="24.75">
      <c r="A97" s="63">
        <f>报舱数据!I9</f>
        <v>0</v>
      </c>
      <c r="B97" s="80" t="str">
        <f t="shared" si="0"/>
        <v/>
      </c>
      <c r="C97" s="64"/>
      <c r="D97" s="65"/>
      <c r="E97" s="64"/>
      <c r="F97" s="66"/>
      <c r="G97" s="65"/>
      <c r="H97" s="65"/>
      <c r="I97" s="54"/>
      <c r="J97" s="55"/>
      <c r="K97" s="55"/>
      <c r="L97" s="55"/>
    </row>
    <row r="98" spans="1:12" s="56" customFormat="1" ht="24.75">
      <c r="A98" s="63">
        <f>报舱数据!I10</f>
        <v>0</v>
      </c>
      <c r="B98" s="80" t="str">
        <f t="shared" si="0"/>
        <v/>
      </c>
      <c r="C98" s="64"/>
      <c r="D98" s="65"/>
      <c r="E98" s="64"/>
      <c r="F98" s="66"/>
      <c r="G98" s="65"/>
      <c r="H98" s="65"/>
      <c r="I98" s="54"/>
      <c r="J98" s="55"/>
      <c r="K98" s="55"/>
      <c r="L98" s="55"/>
    </row>
    <row r="99" spans="1:12" s="56" customFormat="1" ht="24.75">
      <c r="A99" s="63">
        <f>报舱数据!I11</f>
        <v>0</v>
      </c>
      <c r="B99" s="80" t="str">
        <f t="shared" si="0"/>
        <v/>
      </c>
      <c r="C99" s="64"/>
      <c r="D99" s="65"/>
      <c r="E99" s="64"/>
      <c r="F99" s="66"/>
      <c r="G99" s="65"/>
      <c r="H99" s="65"/>
      <c r="I99" s="54"/>
      <c r="J99" s="55"/>
      <c r="K99" s="55"/>
      <c r="L99" s="55"/>
    </row>
    <row r="100" spans="1:12" s="56" customFormat="1" ht="24.75">
      <c r="A100" s="63">
        <f>报舱数据!I12</f>
        <v>0</v>
      </c>
      <c r="B100" s="80" t="str">
        <f t="shared" si="0"/>
        <v/>
      </c>
      <c r="C100" s="64"/>
      <c r="D100" s="65"/>
      <c r="E100" s="64"/>
      <c r="F100" s="66"/>
      <c r="G100" s="65"/>
      <c r="H100" s="65"/>
      <c r="I100" s="54"/>
      <c r="J100" s="55"/>
      <c r="K100" s="55"/>
      <c r="L100" s="55"/>
    </row>
    <row r="101" spans="1:12" s="56" customFormat="1" ht="24.75">
      <c r="A101" s="63">
        <f>报舱数据!I13</f>
        <v>0</v>
      </c>
      <c r="B101" s="80" t="str">
        <f t="shared" si="0"/>
        <v/>
      </c>
      <c r="C101" s="64"/>
      <c r="D101" s="65"/>
      <c r="E101" s="64"/>
      <c r="F101" s="66"/>
      <c r="G101" s="65"/>
      <c r="H101" s="65"/>
      <c r="I101" s="54"/>
      <c r="J101" s="55"/>
      <c r="K101" s="55"/>
      <c r="L101" s="55"/>
    </row>
    <row r="102" spans="1:12" s="56" customFormat="1" ht="24.75">
      <c r="A102" s="63">
        <f>报舱数据!I14</f>
        <v>0</v>
      </c>
      <c r="B102" s="80" t="str">
        <f t="shared" si="0"/>
        <v/>
      </c>
      <c r="C102" s="64"/>
      <c r="D102" s="65"/>
      <c r="E102" s="64"/>
      <c r="F102" s="66"/>
      <c r="G102" s="65"/>
      <c r="H102" s="65"/>
      <c r="I102" s="54"/>
      <c r="J102" s="55"/>
      <c r="K102" s="55"/>
      <c r="L102" s="55"/>
    </row>
    <row r="103" spans="1:12" s="56" customFormat="1" ht="24.75">
      <c r="A103" s="63">
        <f>报舱数据!I15</f>
        <v>0</v>
      </c>
      <c r="B103" s="80" t="str">
        <f t="shared" si="0"/>
        <v/>
      </c>
      <c r="C103" s="64"/>
      <c r="D103" s="65"/>
      <c r="E103" s="64"/>
      <c r="F103" s="66"/>
      <c r="G103" s="65"/>
      <c r="H103" s="65"/>
      <c r="I103" s="54"/>
      <c r="J103" s="55"/>
      <c r="K103" s="55"/>
      <c r="L103" s="55"/>
    </row>
    <row r="104" spans="1:12" s="56" customFormat="1" ht="24.75">
      <c r="A104" s="63">
        <f>报舱数据!I16</f>
        <v>0</v>
      </c>
      <c r="B104" s="80" t="str">
        <f t="shared" si="0"/>
        <v/>
      </c>
      <c r="C104" s="64"/>
      <c r="D104" s="65"/>
      <c r="E104" s="64"/>
      <c r="F104" s="66"/>
      <c r="G104" s="65"/>
      <c r="H104" s="65"/>
      <c r="I104" s="54"/>
      <c r="J104" s="55"/>
      <c r="K104" s="55"/>
      <c r="L104" s="55"/>
    </row>
    <row r="105" spans="1:12" s="56" customFormat="1" ht="24.75">
      <c r="A105" s="63">
        <f>报舱数据!I17</f>
        <v>0</v>
      </c>
      <c r="B105" s="80" t="str">
        <f t="shared" si="0"/>
        <v/>
      </c>
      <c r="C105" s="64"/>
      <c r="D105" s="65"/>
      <c r="E105" s="64"/>
      <c r="F105" s="66"/>
      <c r="G105" s="65"/>
      <c r="H105" s="65"/>
      <c r="I105" s="54"/>
      <c r="J105" s="55"/>
      <c r="K105" s="55"/>
      <c r="L105" s="55"/>
    </row>
    <row r="106" spans="1:12" s="56" customFormat="1" ht="24.75">
      <c r="A106" s="63">
        <f>报舱数据!I18</f>
        <v>0</v>
      </c>
      <c r="B106" s="80" t="str">
        <f t="shared" si="0"/>
        <v/>
      </c>
      <c r="C106" s="64"/>
      <c r="D106" s="65"/>
      <c r="E106" s="64"/>
      <c r="F106" s="66"/>
      <c r="G106" s="65"/>
      <c r="H106" s="65"/>
      <c r="I106" s="54"/>
      <c r="J106" s="55"/>
      <c r="K106" s="55"/>
      <c r="L106" s="55"/>
    </row>
    <row r="107" spans="1:12" s="56" customFormat="1" ht="24.75">
      <c r="A107" s="63">
        <f>报舱数据!I19</f>
        <v>0</v>
      </c>
      <c r="B107" s="80" t="str">
        <f t="shared" si="0"/>
        <v/>
      </c>
      <c r="C107" s="64"/>
      <c r="D107" s="65"/>
      <c r="E107" s="64"/>
      <c r="F107" s="66"/>
      <c r="G107" s="65"/>
      <c r="H107" s="65"/>
      <c r="I107" s="54"/>
      <c r="J107" s="55"/>
      <c r="K107" s="55"/>
      <c r="L107" s="55"/>
    </row>
    <row r="108" spans="1:12" s="56" customFormat="1" ht="24.75">
      <c r="A108" s="63">
        <f>报舱数据!I20</f>
        <v>0</v>
      </c>
      <c r="B108" s="80" t="str">
        <f t="shared" si="0"/>
        <v/>
      </c>
      <c r="C108" s="64"/>
      <c r="D108" s="65"/>
      <c r="E108" s="64"/>
      <c r="F108" s="66"/>
      <c r="G108" s="65"/>
      <c r="H108" s="65"/>
      <c r="I108" s="54"/>
      <c r="J108" s="55"/>
      <c r="K108" s="55"/>
      <c r="L108" s="55"/>
    </row>
    <row r="109" spans="1:12" s="56" customFormat="1" ht="24.75">
      <c r="A109" s="63">
        <f>报舱数据!I21</f>
        <v>0</v>
      </c>
      <c r="B109" s="80" t="str">
        <f t="shared" si="0"/>
        <v/>
      </c>
      <c r="C109" s="64"/>
      <c r="D109" s="65"/>
      <c r="E109" s="64"/>
      <c r="F109" s="66"/>
      <c r="G109" s="65"/>
      <c r="H109" s="65"/>
      <c r="I109" s="54"/>
      <c r="J109" s="55"/>
      <c r="K109" s="55"/>
      <c r="L109" s="55"/>
    </row>
    <row r="110" spans="1:12" s="56" customFormat="1" ht="24.75">
      <c r="A110" s="63">
        <f>报舱数据!I22</f>
        <v>0</v>
      </c>
      <c r="B110" s="80" t="str">
        <f t="shared" si="0"/>
        <v/>
      </c>
      <c r="C110" s="64"/>
      <c r="D110" s="65"/>
      <c r="E110" s="64"/>
      <c r="F110" s="66"/>
      <c r="G110" s="65"/>
      <c r="H110" s="65"/>
      <c r="I110" s="54"/>
      <c r="J110" s="55"/>
      <c r="K110" s="55"/>
      <c r="L110" s="55"/>
    </row>
    <row r="111" spans="1:12" s="56" customFormat="1" ht="24.75">
      <c r="A111" s="63">
        <f>报舱数据!I23</f>
        <v>0</v>
      </c>
      <c r="B111" s="80" t="str">
        <f t="shared" si="0"/>
        <v/>
      </c>
      <c r="C111" s="64"/>
      <c r="D111" s="65"/>
      <c r="E111" s="64"/>
      <c r="F111" s="66"/>
      <c r="G111" s="65"/>
      <c r="H111" s="65"/>
      <c r="I111" s="54"/>
      <c r="J111" s="55"/>
      <c r="K111" s="55"/>
      <c r="L111" s="55"/>
    </row>
    <row r="112" spans="1:12" s="56" customFormat="1" ht="24.75">
      <c r="A112" s="63">
        <f>报舱数据!I24</f>
        <v>0</v>
      </c>
      <c r="B112" s="80" t="str">
        <f t="shared" si="0"/>
        <v/>
      </c>
      <c r="C112" s="64"/>
      <c r="D112" s="65"/>
      <c r="E112" s="64"/>
      <c r="F112" s="66"/>
      <c r="G112" s="65"/>
      <c r="H112" s="65"/>
      <c r="I112" s="54"/>
      <c r="J112" s="55"/>
      <c r="K112" s="55"/>
      <c r="L112" s="55"/>
    </row>
    <row r="113" spans="1:12" s="56" customFormat="1" ht="24.75">
      <c r="A113" s="63">
        <f>报舱数据!I25</f>
        <v>0</v>
      </c>
      <c r="B113" s="80" t="str">
        <f t="shared" si="0"/>
        <v/>
      </c>
      <c r="C113" s="64"/>
      <c r="D113" s="65"/>
      <c r="E113" s="64"/>
      <c r="F113" s="66"/>
      <c r="G113" s="65"/>
      <c r="H113" s="65"/>
      <c r="I113" s="54"/>
      <c r="J113" s="55"/>
      <c r="K113" s="55"/>
      <c r="L113" s="55"/>
    </row>
    <row r="114" spans="1:12" s="56" customFormat="1" ht="24.75">
      <c r="A114" s="63">
        <f>报舱数据!I26</f>
        <v>0</v>
      </c>
      <c r="B114" s="80" t="str">
        <f t="shared" si="0"/>
        <v/>
      </c>
      <c r="C114" s="64"/>
      <c r="D114" s="65"/>
      <c r="E114" s="64"/>
      <c r="F114" s="66"/>
      <c r="G114" s="65"/>
      <c r="H114" s="65"/>
      <c r="I114" s="54"/>
      <c r="J114" s="55"/>
      <c r="K114" s="55"/>
      <c r="L114" s="55"/>
    </row>
    <row r="115" spans="1:12" s="56" customFormat="1" ht="24.75">
      <c r="A115" s="63">
        <f>报舱数据!I27</f>
        <v>0</v>
      </c>
      <c r="B115" s="80" t="str">
        <f t="shared" si="0"/>
        <v/>
      </c>
      <c r="C115" s="64"/>
      <c r="D115" s="65"/>
      <c r="E115" s="64"/>
      <c r="F115" s="66"/>
      <c r="G115" s="65"/>
      <c r="H115" s="65"/>
      <c r="I115" s="54"/>
      <c r="J115" s="55"/>
      <c r="K115" s="55"/>
      <c r="L115" s="55"/>
    </row>
    <row r="116" spans="1:12" s="56" customFormat="1" ht="24.75">
      <c r="A116" s="63">
        <f>报舱数据!I28</f>
        <v>0</v>
      </c>
      <c r="B116" s="80" t="str">
        <f t="shared" si="0"/>
        <v/>
      </c>
      <c r="C116" s="64"/>
      <c r="D116" s="65"/>
      <c r="E116" s="64"/>
      <c r="F116" s="66"/>
      <c r="G116" s="65"/>
      <c r="H116" s="65"/>
      <c r="I116" s="54"/>
      <c r="J116" s="55"/>
      <c r="K116" s="55"/>
      <c r="L116" s="55"/>
    </row>
    <row r="117" spans="1:12" s="56" customFormat="1" ht="24.75">
      <c r="A117" s="63">
        <f>报舱数据!I29</f>
        <v>0</v>
      </c>
      <c r="B117" s="80" t="str">
        <f t="shared" si="0"/>
        <v/>
      </c>
      <c r="C117" s="64"/>
      <c r="D117" s="65"/>
      <c r="E117" s="64"/>
      <c r="F117" s="66"/>
      <c r="G117" s="65"/>
      <c r="H117" s="65"/>
      <c r="I117" s="54"/>
      <c r="J117" s="55"/>
      <c r="K117" s="55"/>
      <c r="L117" s="55"/>
    </row>
    <row r="118" spans="1:12" s="56" customFormat="1" ht="24.75">
      <c r="A118" s="63">
        <f>报舱数据!I30</f>
        <v>0</v>
      </c>
      <c r="B118" s="80" t="str">
        <f t="shared" si="0"/>
        <v/>
      </c>
      <c r="C118" s="64"/>
      <c r="D118" s="65"/>
      <c r="E118" s="64"/>
      <c r="F118" s="66"/>
      <c r="G118" s="65"/>
      <c r="H118" s="65"/>
      <c r="I118" s="54"/>
      <c r="J118" s="55"/>
      <c r="K118" s="55"/>
      <c r="L118" s="55"/>
    </row>
    <row r="119" spans="1:12" s="56" customFormat="1" ht="24.75">
      <c r="A119" s="63">
        <f>报舱数据!I31</f>
        <v>0</v>
      </c>
      <c r="B119" s="80" t="str">
        <f t="shared" si="0"/>
        <v/>
      </c>
      <c r="C119" s="64"/>
      <c r="D119" s="65"/>
      <c r="E119" s="64"/>
      <c r="F119" s="66"/>
      <c r="G119" s="65"/>
      <c r="H119" s="65"/>
      <c r="I119" s="54"/>
      <c r="J119" s="55"/>
      <c r="K119" s="55"/>
      <c r="L119" s="55"/>
    </row>
    <row r="120" spans="1:12" s="56" customFormat="1" ht="24.75">
      <c r="A120" s="63">
        <f>报舱数据!I32</f>
        <v>0</v>
      </c>
      <c r="B120" s="80" t="str">
        <f t="shared" si="0"/>
        <v/>
      </c>
      <c r="C120" s="64"/>
      <c r="D120" s="65"/>
      <c r="E120" s="64"/>
      <c r="F120" s="66"/>
      <c r="G120" s="65"/>
      <c r="H120" s="65"/>
      <c r="I120" s="54"/>
      <c r="J120" s="55"/>
      <c r="K120" s="55"/>
      <c r="L120" s="55"/>
    </row>
    <row r="121" spans="1:12" s="56" customFormat="1" ht="24.75">
      <c r="A121" s="63">
        <f>报舱数据!I33</f>
        <v>0</v>
      </c>
      <c r="B121" s="80" t="str">
        <f t="shared" si="0"/>
        <v/>
      </c>
      <c r="C121" s="64"/>
      <c r="D121" s="65"/>
      <c r="E121" s="64"/>
      <c r="F121" s="66"/>
      <c r="G121" s="65"/>
      <c r="H121" s="65"/>
      <c r="I121" s="54"/>
      <c r="J121" s="55"/>
      <c r="K121" s="55"/>
      <c r="L121" s="55"/>
    </row>
    <row r="122" spans="1:12" s="56" customFormat="1" ht="24.75">
      <c r="A122" s="63">
        <f>报舱数据!I34</f>
        <v>0</v>
      </c>
      <c r="B122" s="80" t="str">
        <f t="shared" si="0"/>
        <v/>
      </c>
      <c r="C122" s="64"/>
      <c r="D122" s="65"/>
      <c r="E122" s="64"/>
      <c r="F122" s="66"/>
      <c r="G122" s="65"/>
      <c r="H122" s="65"/>
      <c r="I122" s="54"/>
      <c r="J122" s="55"/>
      <c r="K122" s="55"/>
      <c r="L122" s="55"/>
    </row>
    <row r="123" spans="1:12" s="56" customFormat="1" ht="24.75">
      <c r="A123" s="63">
        <f>报舱数据!I35</f>
        <v>0</v>
      </c>
      <c r="B123" s="80" t="str">
        <f t="shared" ref="B123:B154" si="1">IF(A123&lt;&gt;0,B122,"")</f>
        <v/>
      </c>
      <c r="C123" s="64"/>
      <c r="D123" s="65"/>
      <c r="E123" s="64"/>
      <c r="F123" s="66"/>
      <c r="G123" s="65"/>
      <c r="H123" s="65"/>
      <c r="I123" s="54"/>
      <c r="J123" s="55"/>
      <c r="K123" s="55"/>
      <c r="L123" s="55"/>
    </row>
    <row r="124" spans="1:12" s="56" customFormat="1" ht="24.75">
      <c r="A124" s="63">
        <f>报舱数据!I36</f>
        <v>0</v>
      </c>
      <c r="B124" s="80" t="str">
        <f t="shared" si="1"/>
        <v/>
      </c>
      <c r="C124" s="64"/>
      <c r="D124" s="65"/>
      <c r="E124" s="64"/>
      <c r="F124" s="66"/>
      <c r="G124" s="65"/>
      <c r="H124" s="65"/>
      <c r="I124" s="54"/>
      <c r="J124" s="55"/>
      <c r="K124" s="55"/>
      <c r="L124" s="55"/>
    </row>
    <row r="125" spans="1:12" s="56" customFormat="1" ht="24.75">
      <c r="A125" s="63">
        <f>报舱数据!I37</f>
        <v>0</v>
      </c>
      <c r="B125" s="80" t="str">
        <f t="shared" si="1"/>
        <v/>
      </c>
      <c r="C125" s="64"/>
      <c r="D125" s="65"/>
      <c r="E125" s="64"/>
      <c r="F125" s="66"/>
      <c r="G125" s="65"/>
      <c r="H125" s="65"/>
      <c r="I125" s="54"/>
      <c r="J125" s="55"/>
      <c r="K125" s="55"/>
      <c r="L125" s="55"/>
    </row>
    <row r="126" spans="1:12" s="56" customFormat="1" ht="24.75">
      <c r="A126" s="63">
        <f>报舱数据!I38</f>
        <v>0</v>
      </c>
      <c r="B126" s="80" t="str">
        <f t="shared" si="1"/>
        <v/>
      </c>
      <c r="C126" s="64"/>
      <c r="D126" s="65"/>
      <c r="E126" s="64"/>
      <c r="F126" s="66"/>
      <c r="G126" s="65"/>
      <c r="H126" s="65"/>
      <c r="I126" s="54"/>
      <c r="J126" s="55"/>
      <c r="K126" s="55"/>
      <c r="L126" s="55"/>
    </row>
    <row r="127" spans="1:12" s="56" customFormat="1" ht="24.75">
      <c r="A127" s="63">
        <f>报舱数据!I39</f>
        <v>0</v>
      </c>
      <c r="B127" s="80" t="str">
        <f t="shared" si="1"/>
        <v/>
      </c>
      <c r="C127" s="64"/>
      <c r="D127" s="65"/>
      <c r="E127" s="64"/>
      <c r="F127" s="66"/>
      <c r="G127" s="65"/>
      <c r="H127" s="65"/>
      <c r="I127" s="54"/>
      <c r="J127" s="55"/>
      <c r="K127" s="55"/>
      <c r="L127" s="55"/>
    </row>
    <row r="128" spans="1:12" s="56" customFormat="1" ht="24.75">
      <c r="A128" s="63">
        <f>报舱数据!I40</f>
        <v>0</v>
      </c>
      <c r="B128" s="80" t="str">
        <f t="shared" si="1"/>
        <v/>
      </c>
      <c r="C128" s="64"/>
      <c r="D128" s="65"/>
      <c r="E128" s="64"/>
      <c r="F128" s="66"/>
      <c r="G128" s="65"/>
      <c r="H128" s="65"/>
      <c r="I128" s="54"/>
      <c r="J128" s="55"/>
      <c r="K128" s="55"/>
      <c r="L128" s="55"/>
    </row>
    <row r="129" spans="1:12" s="56" customFormat="1" ht="24.75">
      <c r="A129" s="63">
        <f>报舱数据!I41</f>
        <v>0</v>
      </c>
      <c r="B129" s="80" t="str">
        <f t="shared" si="1"/>
        <v/>
      </c>
      <c r="C129" s="64"/>
      <c r="D129" s="65"/>
      <c r="E129" s="64"/>
      <c r="F129" s="66"/>
      <c r="G129" s="65"/>
      <c r="H129" s="65"/>
      <c r="I129" s="54"/>
      <c r="J129" s="55"/>
      <c r="K129" s="55"/>
      <c r="L129" s="55"/>
    </row>
    <row r="130" spans="1:12" s="56" customFormat="1" ht="24.75">
      <c r="A130" s="63">
        <f>报舱数据!I42</f>
        <v>0</v>
      </c>
      <c r="B130" s="80" t="str">
        <f t="shared" si="1"/>
        <v/>
      </c>
      <c r="C130" s="64"/>
      <c r="D130" s="65"/>
      <c r="E130" s="64"/>
      <c r="F130" s="66"/>
      <c r="G130" s="65"/>
      <c r="H130" s="65"/>
      <c r="I130" s="54"/>
      <c r="J130" s="55"/>
      <c r="K130" s="55"/>
      <c r="L130" s="55"/>
    </row>
    <row r="131" spans="1:12" s="56" customFormat="1" ht="24.75">
      <c r="A131" s="63">
        <f>报舱数据!I43</f>
        <v>0</v>
      </c>
      <c r="B131" s="80" t="str">
        <f t="shared" si="1"/>
        <v/>
      </c>
      <c r="C131" s="64"/>
      <c r="D131" s="65"/>
      <c r="E131" s="64"/>
      <c r="F131" s="66"/>
      <c r="G131" s="65"/>
      <c r="H131" s="65"/>
      <c r="I131" s="54"/>
      <c r="J131" s="55"/>
      <c r="K131" s="55"/>
      <c r="L131" s="55"/>
    </row>
    <row r="132" spans="1:12" s="56" customFormat="1" ht="24.75">
      <c r="A132" s="63">
        <f>报舱数据!I44</f>
        <v>0</v>
      </c>
      <c r="B132" s="80" t="str">
        <f t="shared" si="1"/>
        <v/>
      </c>
      <c r="C132" s="64"/>
      <c r="D132" s="65"/>
      <c r="E132" s="64"/>
      <c r="F132" s="66"/>
      <c r="G132" s="65"/>
      <c r="H132" s="65"/>
      <c r="I132" s="54"/>
      <c r="J132" s="55"/>
      <c r="K132" s="55"/>
      <c r="L132" s="55"/>
    </row>
    <row r="133" spans="1:12" s="56" customFormat="1" ht="24.75">
      <c r="A133" s="63">
        <f>报舱数据!I45</f>
        <v>0</v>
      </c>
      <c r="B133" s="80" t="str">
        <f t="shared" si="1"/>
        <v/>
      </c>
      <c r="C133" s="64"/>
      <c r="D133" s="65"/>
      <c r="E133" s="64"/>
      <c r="F133" s="66"/>
      <c r="G133" s="65"/>
      <c r="H133" s="65"/>
      <c r="I133" s="54"/>
      <c r="J133" s="55"/>
      <c r="K133" s="55"/>
      <c r="L133" s="55"/>
    </row>
    <row r="134" spans="1:12" s="56" customFormat="1" ht="24.75">
      <c r="A134" s="63">
        <f>报舱数据!I46</f>
        <v>0</v>
      </c>
      <c r="B134" s="80" t="str">
        <f t="shared" si="1"/>
        <v/>
      </c>
      <c r="C134" s="64"/>
      <c r="D134" s="65"/>
      <c r="E134" s="64"/>
      <c r="F134" s="66"/>
      <c r="G134" s="65"/>
      <c r="H134" s="65"/>
      <c r="I134" s="54"/>
      <c r="J134" s="55"/>
      <c r="K134" s="55"/>
      <c r="L134" s="55"/>
    </row>
    <row r="135" spans="1:12" s="56" customFormat="1" ht="24.75">
      <c r="A135" s="63">
        <f>报舱数据!I47</f>
        <v>0</v>
      </c>
      <c r="B135" s="80" t="str">
        <f t="shared" si="1"/>
        <v/>
      </c>
      <c r="C135" s="64"/>
      <c r="D135" s="65"/>
      <c r="E135" s="64"/>
      <c r="F135" s="66"/>
      <c r="G135" s="65"/>
      <c r="H135" s="65"/>
      <c r="I135" s="54"/>
      <c r="J135" s="55"/>
      <c r="K135" s="55"/>
      <c r="L135" s="55"/>
    </row>
    <row r="136" spans="1:12" s="56" customFormat="1" ht="24.75">
      <c r="A136" s="63">
        <f>报舱数据!I48</f>
        <v>0</v>
      </c>
      <c r="B136" s="80" t="str">
        <f t="shared" si="1"/>
        <v/>
      </c>
      <c r="C136" s="64"/>
      <c r="D136" s="65"/>
      <c r="E136" s="64"/>
      <c r="F136" s="66"/>
      <c r="G136" s="65"/>
      <c r="H136" s="65"/>
      <c r="I136" s="54"/>
      <c r="J136" s="55"/>
      <c r="K136" s="55"/>
      <c r="L136" s="55"/>
    </row>
    <row r="137" spans="1:12" s="56" customFormat="1" ht="24.75">
      <c r="A137" s="63">
        <f>报舱数据!I49</f>
        <v>0</v>
      </c>
      <c r="B137" s="80" t="str">
        <f t="shared" si="1"/>
        <v/>
      </c>
      <c r="C137" s="64"/>
      <c r="D137" s="65"/>
      <c r="E137" s="64"/>
      <c r="F137" s="66"/>
      <c r="G137" s="65"/>
      <c r="H137" s="65"/>
      <c r="I137" s="54"/>
      <c r="J137" s="55"/>
      <c r="K137" s="55"/>
      <c r="L137" s="55"/>
    </row>
    <row r="138" spans="1:12" s="56" customFormat="1" ht="24.75">
      <c r="A138" s="63">
        <f>报舱数据!I50</f>
        <v>0</v>
      </c>
      <c r="B138" s="80" t="str">
        <f t="shared" si="1"/>
        <v/>
      </c>
      <c r="C138" s="64"/>
      <c r="D138" s="65"/>
      <c r="E138" s="64"/>
      <c r="F138" s="66"/>
      <c r="G138" s="65"/>
      <c r="H138" s="65"/>
      <c r="I138" s="54"/>
      <c r="J138" s="55"/>
      <c r="K138" s="55"/>
      <c r="L138" s="55"/>
    </row>
    <row r="139" spans="1:12" s="56" customFormat="1" ht="24.75">
      <c r="A139" s="63">
        <f>报舱数据!I51</f>
        <v>0</v>
      </c>
      <c r="B139" s="80" t="str">
        <f t="shared" si="1"/>
        <v/>
      </c>
      <c r="C139" s="64"/>
      <c r="D139" s="65"/>
      <c r="E139" s="64"/>
      <c r="F139" s="66"/>
      <c r="G139" s="65"/>
      <c r="H139" s="65"/>
      <c r="I139" s="54"/>
      <c r="J139" s="55"/>
      <c r="K139" s="55"/>
      <c r="L139" s="55"/>
    </row>
    <row r="140" spans="1:12" s="56" customFormat="1" ht="24.75">
      <c r="A140" s="63">
        <f>报舱数据!I52</f>
        <v>0</v>
      </c>
      <c r="B140" s="80" t="str">
        <f t="shared" si="1"/>
        <v/>
      </c>
      <c r="C140" s="64"/>
      <c r="D140" s="65"/>
      <c r="E140" s="64"/>
      <c r="F140" s="66"/>
      <c r="G140" s="65"/>
      <c r="H140" s="65"/>
      <c r="I140" s="54"/>
      <c r="J140" s="55"/>
      <c r="K140" s="55"/>
      <c r="L140" s="55"/>
    </row>
    <row r="141" spans="1:12" s="56" customFormat="1" ht="24.75">
      <c r="A141" s="63">
        <f>报舱数据!I53</f>
        <v>0</v>
      </c>
      <c r="B141" s="80" t="str">
        <f t="shared" si="1"/>
        <v/>
      </c>
      <c r="C141" s="64"/>
      <c r="D141" s="65"/>
      <c r="E141" s="64"/>
      <c r="F141" s="66"/>
      <c r="G141" s="65"/>
      <c r="H141" s="65"/>
      <c r="I141" s="54"/>
      <c r="J141" s="55"/>
      <c r="K141" s="55"/>
      <c r="L141" s="55"/>
    </row>
    <row r="142" spans="1:12" s="56" customFormat="1" ht="24.75">
      <c r="A142" s="63">
        <f>报舱数据!I54</f>
        <v>0</v>
      </c>
      <c r="B142" s="80" t="str">
        <f t="shared" si="1"/>
        <v/>
      </c>
      <c r="C142" s="64"/>
      <c r="D142" s="65"/>
      <c r="E142" s="64"/>
      <c r="F142" s="66"/>
      <c r="G142" s="65"/>
      <c r="H142" s="65"/>
      <c r="I142" s="54"/>
      <c r="J142" s="55"/>
      <c r="K142" s="55"/>
      <c r="L142" s="55"/>
    </row>
    <row r="143" spans="1:12" s="56" customFormat="1" ht="24.75">
      <c r="A143" s="63">
        <f>报舱数据!I55</f>
        <v>0</v>
      </c>
      <c r="B143" s="80" t="str">
        <f t="shared" si="1"/>
        <v/>
      </c>
      <c r="C143" s="64"/>
      <c r="D143" s="65"/>
      <c r="E143" s="64"/>
      <c r="F143" s="66"/>
      <c r="G143" s="65"/>
      <c r="H143" s="65"/>
      <c r="I143" s="54"/>
      <c r="J143" s="55"/>
      <c r="K143" s="55"/>
      <c r="L143" s="55"/>
    </row>
    <row r="144" spans="1:12" s="56" customFormat="1" ht="24.75">
      <c r="A144" s="63">
        <f>报舱数据!I56</f>
        <v>0</v>
      </c>
      <c r="B144" s="80" t="str">
        <f t="shared" si="1"/>
        <v/>
      </c>
      <c r="C144" s="64"/>
      <c r="D144" s="65"/>
      <c r="E144" s="64"/>
      <c r="F144" s="66"/>
      <c r="G144" s="65"/>
      <c r="H144" s="65"/>
      <c r="I144" s="54"/>
      <c r="J144" s="55"/>
      <c r="K144" s="55"/>
      <c r="L144" s="55"/>
    </row>
    <row r="145" spans="1:12" s="56" customFormat="1" ht="24.75">
      <c r="A145" s="63">
        <f>报舱数据!I57</f>
        <v>0</v>
      </c>
      <c r="B145" s="80" t="str">
        <f t="shared" si="1"/>
        <v/>
      </c>
      <c r="C145" s="64"/>
      <c r="D145" s="65"/>
      <c r="E145" s="64"/>
      <c r="F145" s="66"/>
      <c r="G145" s="65"/>
      <c r="H145" s="65"/>
      <c r="I145" s="54"/>
      <c r="J145" s="55"/>
      <c r="K145" s="55"/>
      <c r="L145" s="55"/>
    </row>
    <row r="146" spans="1:12" s="56" customFormat="1" ht="24.75">
      <c r="A146" s="63">
        <f>报舱数据!I58</f>
        <v>0</v>
      </c>
      <c r="B146" s="80" t="str">
        <f t="shared" si="1"/>
        <v/>
      </c>
      <c r="C146" s="64"/>
      <c r="D146" s="65"/>
      <c r="E146" s="64"/>
      <c r="F146" s="66"/>
      <c r="G146" s="65"/>
      <c r="H146" s="65"/>
      <c r="I146" s="54"/>
      <c r="J146" s="55"/>
      <c r="K146" s="55"/>
      <c r="L146" s="55"/>
    </row>
    <row r="147" spans="1:12" s="56" customFormat="1" ht="24.75">
      <c r="A147" s="63">
        <f>报舱数据!I59</f>
        <v>0</v>
      </c>
      <c r="B147" s="80" t="str">
        <f t="shared" si="1"/>
        <v/>
      </c>
      <c r="C147" s="64"/>
      <c r="D147" s="65"/>
      <c r="E147" s="64"/>
      <c r="F147" s="66"/>
      <c r="G147" s="65"/>
      <c r="H147" s="65"/>
      <c r="I147" s="54"/>
      <c r="J147" s="55"/>
      <c r="K147" s="55"/>
      <c r="L147" s="55"/>
    </row>
    <row r="148" spans="1:12" s="56" customFormat="1" ht="24.75">
      <c r="A148" s="63">
        <f>报舱数据!I60</f>
        <v>0</v>
      </c>
      <c r="B148" s="80" t="str">
        <f t="shared" si="1"/>
        <v/>
      </c>
      <c r="C148" s="64"/>
      <c r="D148" s="65"/>
      <c r="E148" s="64"/>
      <c r="F148" s="66"/>
      <c r="G148" s="65"/>
      <c r="H148" s="65"/>
      <c r="I148" s="54"/>
      <c r="J148" s="55"/>
      <c r="K148" s="55"/>
      <c r="L148" s="55"/>
    </row>
    <row r="149" spans="1:12" s="56" customFormat="1" ht="24.75">
      <c r="A149" s="63">
        <f>报舱数据!I61</f>
        <v>0</v>
      </c>
      <c r="B149" s="80" t="str">
        <f t="shared" si="1"/>
        <v/>
      </c>
      <c r="C149" s="64"/>
      <c r="D149" s="65"/>
      <c r="E149" s="64"/>
      <c r="F149" s="66"/>
      <c r="G149" s="65"/>
      <c r="H149" s="65"/>
      <c r="I149" s="54"/>
      <c r="J149" s="55"/>
      <c r="K149" s="55"/>
      <c r="L149" s="55"/>
    </row>
    <row r="150" spans="1:12" s="56" customFormat="1" ht="24.75">
      <c r="A150" s="63">
        <f>报舱数据!I62</f>
        <v>0</v>
      </c>
      <c r="B150" s="80" t="str">
        <f t="shared" si="1"/>
        <v/>
      </c>
      <c r="C150" s="64"/>
      <c r="D150" s="65"/>
      <c r="E150" s="64"/>
      <c r="F150" s="66"/>
      <c r="G150" s="65"/>
      <c r="H150" s="65"/>
      <c r="I150" s="54"/>
      <c r="J150" s="55"/>
      <c r="K150" s="55"/>
      <c r="L150" s="55"/>
    </row>
    <row r="151" spans="1:12" s="56" customFormat="1" ht="24.75">
      <c r="A151" s="63">
        <f>报舱数据!I63</f>
        <v>0</v>
      </c>
      <c r="B151" s="80" t="str">
        <f t="shared" si="1"/>
        <v/>
      </c>
      <c r="C151" s="64"/>
      <c r="D151" s="65"/>
      <c r="E151" s="64"/>
      <c r="F151" s="66"/>
      <c r="G151" s="65"/>
      <c r="H151" s="65"/>
      <c r="I151" s="54"/>
      <c r="J151" s="55"/>
      <c r="K151" s="55"/>
      <c r="L151" s="55"/>
    </row>
    <row r="152" spans="1:12" s="56" customFormat="1" ht="24.75">
      <c r="A152" s="63">
        <f>报舱数据!I64</f>
        <v>0</v>
      </c>
      <c r="B152" s="80" t="str">
        <f t="shared" si="1"/>
        <v/>
      </c>
      <c r="C152" s="64"/>
      <c r="D152" s="65"/>
      <c r="E152" s="64"/>
      <c r="F152" s="66"/>
      <c r="G152" s="65"/>
      <c r="H152" s="65"/>
      <c r="I152" s="54"/>
      <c r="J152" s="55"/>
      <c r="K152" s="55"/>
      <c r="L152" s="55"/>
    </row>
    <row r="153" spans="1:12" s="56" customFormat="1" ht="24.75">
      <c r="A153" s="63">
        <f>报舱数据!I65</f>
        <v>0</v>
      </c>
      <c r="B153" s="80" t="str">
        <f t="shared" si="1"/>
        <v/>
      </c>
      <c r="C153" s="64"/>
      <c r="D153" s="65"/>
      <c r="E153" s="64"/>
      <c r="F153" s="66"/>
      <c r="G153" s="65"/>
      <c r="H153" s="65"/>
      <c r="I153" s="54"/>
      <c r="J153" s="55"/>
      <c r="K153" s="55"/>
      <c r="L153" s="55"/>
    </row>
    <row r="154" spans="1:12" s="56" customFormat="1" ht="24.75">
      <c r="A154" s="63">
        <f>报舱数据!I66</f>
        <v>0</v>
      </c>
      <c r="B154" s="80" t="str">
        <f t="shared" si="1"/>
        <v/>
      </c>
      <c r="C154" s="64"/>
      <c r="D154" s="65"/>
      <c r="E154" s="64"/>
      <c r="F154" s="66"/>
      <c r="G154" s="65"/>
      <c r="H154" s="65"/>
      <c r="I154" s="54"/>
      <c r="J154" s="55"/>
      <c r="K154" s="55"/>
      <c r="L154" s="55"/>
    </row>
    <row r="155" spans="1:12" s="56" customFormat="1" ht="24.75">
      <c r="A155" s="63">
        <f>报舱数据!I67</f>
        <v>0</v>
      </c>
      <c r="B155" s="80" t="str">
        <f t="shared" ref="B155:B170" si="2">IF(A155&lt;&gt;0,B154,"")</f>
        <v/>
      </c>
      <c r="C155" s="64"/>
      <c r="D155" s="65"/>
      <c r="E155" s="64"/>
      <c r="F155" s="66"/>
      <c r="G155" s="65"/>
      <c r="H155" s="65"/>
      <c r="I155" s="54"/>
      <c r="J155" s="55"/>
      <c r="K155" s="55"/>
      <c r="L155" s="55"/>
    </row>
    <row r="156" spans="1:12" s="56" customFormat="1" ht="24.75">
      <c r="A156" s="63">
        <f>报舱数据!I68</f>
        <v>0</v>
      </c>
      <c r="B156" s="80" t="str">
        <f t="shared" si="2"/>
        <v/>
      </c>
      <c r="C156" s="64"/>
      <c r="D156" s="65"/>
      <c r="E156" s="64"/>
      <c r="F156" s="66"/>
      <c r="G156" s="65"/>
      <c r="H156" s="65"/>
      <c r="I156" s="54"/>
      <c r="J156" s="55"/>
      <c r="K156" s="55"/>
      <c r="L156" s="55"/>
    </row>
    <row r="157" spans="1:12" s="56" customFormat="1" ht="24.75">
      <c r="A157" s="63">
        <f>报舱数据!I69</f>
        <v>0</v>
      </c>
      <c r="B157" s="80" t="str">
        <f t="shared" si="2"/>
        <v/>
      </c>
      <c r="C157" s="64"/>
      <c r="D157" s="65"/>
      <c r="E157" s="64"/>
      <c r="F157" s="66"/>
      <c r="G157" s="65"/>
      <c r="H157" s="65"/>
      <c r="I157" s="54"/>
      <c r="J157" s="55"/>
      <c r="K157" s="55"/>
      <c r="L157" s="55"/>
    </row>
    <row r="158" spans="1:12" s="56" customFormat="1" ht="24.75">
      <c r="A158" s="63">
        <f>报舱数据!I70</f>
        <v>0</v>
      </c>
      <c r="B158" s="80" t="str">
        <f t="shared" si="2"/>
        <v/>
      </c>
      <c r="C158" s="64"/>
      <c r="D158" s="65"/>
      <c r="E158" s="64"/>
      <c r="F158" s="66"/>
      <c r="G158" s="65"/>
      <c r="H158" s="65"/>
      <c r="I158" s="54"/>
      <c r="J158" s="55"/>
      <c r="K158" s="55"/>
      <c r="L158" s="55"/>
    </row>
    <row r="159" spans="1:12" s="56" customFormat="1" ht="24.75">
      <c r="A159" s="63">
        <f>报舱数据!I71</f>
        <v>0</v>
      </c>
      <c r="B159" s="80" t="str">
        <f t="shared" si="2"/>
        <v/>
      </c>
      <c r="C159" s="64"/>
      <c r="D159" s="65"/>
      <c r="E159" s="64"/>
      <c r="F159" s="66"/>
      <c r="G159" s="65"/>
      <c r="H159" s="65"/>
      <c r="I159" s="54"/>
      <c r="J159" s="55"/>
      <c r="K159" s="55"/>
      <c r="L159" s="55"/>
    </row>
    <row r="160" spans="1:12" s="56" customFormat="1" ht="24.75">
      <c r="A160" s="63">
        <f>报舱数据!I72</f>
        <v>0</v>
      </c>
      <c r="B160" s="80" t="str">
        <f t="shared" si="2"/>
        <v/>
      </c>
      <c r="C160" s="64"/>
      <c r="D160" s="65"/>
      <c r="E160" s="64"/>
      <c r="F160" s="66"/>
      <c r="G160" s="65"/>
      <c r="H160" s="65"/>
      <c r="I160" s="54"/>
      <c r="J160" s="55"/>
      <c r="K160" s="55"/>
      <c r="L160" s="55"/>
    </row>
    <row r="161" spans="1:12" s="56" customFormat="1" ht="24.75">
      <c r="A161" s="63">
        <f>报舱数据!I73</f>
        <v>0</v>
      </c>
      <c r="B161" s="80" t="str">
        <f t="shared" si="2"/>
        <v/>
      </c>
      <c r="C161" s="64"/>
      <c r="D161" s="65"/>
      <c r="E161" s="64"/>
      <c r="F161" s="66"/>
      <c r="G161" s="65"/>
      <c r="H161" s="65"/>
      <c r="I161" s="54"/>
      <c r="J161" s="55"/>
      <c r="K161" s="55"/>
      <c r="L161" s="55"/>
    </row>
    <row r="162" spans="1:12" s="56" customFormat="1" ht="24.75">
      <c r="A162" s="63">
        <f>报舱数据!I74</f>
        <v>0</v>
      </c>
      <c r="B162" s="80" t="str">
        <f t="shared" si="2"/>
        <v/>
      </c>
      <c r="C162" s="64"/>
      <c r="D162" s="65"/>
      <c r="E162" s="64"/>
      <c r="F162" s="66"/>
      <c r="G162" s="65"/>
      <c r="H162" s="65"/>
      <c r="I162" s="54"/>
      <c r="J162" s="55"/>
      <c r="K162" s="55"/>
      <c r="L162" s="55"/>
    </row>
    <row r="163" spans="1:12" s="56" customFormat="1" ht="24.75">
      <c r="A163" s="63">
        <f>报舱数据!I75</f>
        <v>0</v>
      </c>
      <c r="B163" s="80" t="str">
        <f t="shared" si="2"/>
        <v/>
      </c>
      <c r="C163" s="64"/>
      <c r="D163" s="65"/>
      <c r="E163" s="64"/>
      <c r="F163" s="66"/>
      <c r="G163" s="65"/>
      <c r="H163" s="65"/>
      <c r="I163" s="54"/>
      <c r="J163" s="55"/>
      <c r="K163" s="55"/>
      <c r="L163" s="55"/>
    </row>
    <row r="164" spans="1:12" s="56" customFormat="1" ht="24.75">
      <c r="A164" s="63">
        <f>报舱数据!I76</f>
        <v>0</v>
      </c>
      <c r="B164" s="80" t="str">
        <f t="shared" si="2"/>
        <v/>
      </c>
      <c r="C164" s="64"/>
      <c r="D164" s="65"/>
      <c r="E164" s="64"/>
      <c r="F164" s="66"/>
      <c r="G164" s="65"/>
      <c r="H164" s="65"/>
      <c r="I164" s="54"/>
      <c r="J164" s="55"/>
      <c r="K164" s="55"/>
      <c r="L164" s="55"/>
    </row>
    <row r="165" spans="1:12" s="56" customFormat="1" ht="24.75">
      <c r="A165" s="63">
        <f>报舱数据!I77</f>
        <v>0</v>
      </c>
      <c r="B165" s="80" t="str">
        <f t="shared" si="2"/>
        <v/>
      </c>
      <c r="C165" s="64"/>
      <c r="D165" s="65"/>
      <c r="E165" s="64"/>
      <c r="F165" s="66"/>
      <c r="G165" s="65"/>
      <c r="H165" s="65"/>
      <c r="I165" s="54"/>
      <c r="J165" s="55"/>
      <c r="K165" s="55"/>
      <c r="L165" s="55"/>
    </row>
    <row r="166" spans="1:12" s="56" customFormat="1" ht="24.75">
      <c r="A166" s="63">
        <f>报舱数据!I78</f>
        <v>0</v>
      </c>
      <c r="B166" s="80" t="str">
        <f t="shared" si="2"/>
        <v/>
      </c>
      <c r="C166" s="64"/>
      <c r="D166" s="65"/>
      <c r="E166" s="64"/>
      <c r="F166" s="66"/>
      <c r="G166" s="65"/>
      <c r="H166" s="65"/>
      <c r="I166" s="54"/>
      <c r="J166" s="55"/>
      <c r="K166" s="55"/>
      <c r="L166" s="55"/>
    </row>
    <row r="167" spans="1:12" s="56" customFormat="1" ht="24.75">
      <c r="A167" s="63">
        <f>报舱数据!I79</f>
        <v>0</v>
      </c>
      <c r="B167" s="80" t="str">
        <f t="shared" si="2"/>
        <v/>
      </c>
      <c r="C167" s="64"/>
      <c r="D167" s="65"/>
      <c r="E167" s="64"/>
      <c r="F167" s="66"/>
      <c r="G167" s="65"/>
      <c r="H167" s="65"/>
      <c r="I167" s="54"/>
      <c r="J167" s="55"/>
      <c r="K167" s="55"/>
      <c r="L167" s="55"/>
    </row>
    <row r="168" spans="1:12" s="56" customFormat="1" ht="24.75">
      <c r="A168" s="63">
        <f>报舱数据!I80</f>
        <v>0</v>
      </c>
      <c r="B168" s="80" t="str">
        <f t="shared" si="2"/>
        <v/>
      </c>
      <c r="C168" s="64"/>
      <c r="D168" s="65"/>
      <c r="E168" s="64"/>
      <c r="F168" s="66"/>
      <c r="G168" s="65"/>
      <c r="H168" s="65"/>
      <c r="I168" s="54"/>
      <c r="J168" s="55"/>
      <c r="K168" s="55"/>
      <c r="L168" s="55"/>
    </row>
    <row r="169" spans="1:12" s="56" customFormat="1" ht="24.75">
      <c r="A169" s="63">
        <f>报舱数据!I81</f>
        <v>0</v>
      </c>
      <c r="B169" s="80" t="str">
        <f t="shared" si="2"/>
        <v/>
      </c>
      <c r="C169" s="64"/>
      <c r="D169" s="65"/>
      <c r="E169" s="64"/>
      <c r="F169" s="66"/>
      <c r="G169" s="65"/>
      <c r="H169" s="65"/>
      <c r="I169" s="54"/>
      <c r="J169" s="55"/>
      <c r="K169" s="55"/>
      <c r="L169" s="55"/>
    </row>
    <row r="170" spans="1:12" s="56" customFormat="1" ht="24.75">
      <c r="A170" s="63">
        <f>报舱数据!I82</f>
        <v>0</v>
      </c>
      <c r="B170" s="80" t="str">
        <f t="shared" si="2"/>
        <v/>
      </c>
      <c r="C170" s="64"/>
      <c r="D170" s="65"/>
      <c r="E170" s="64"/>
      <c r="F170" s="66"/>
      <c r="G170" s="65"/>
      <c r="H170" s="65"/>
      <c r="I170" s="54"/>
      <c r="J170" s="55"/>
      <c r="K170" s="55"/>
      <c r="L170" s="55"/>
    </row>
    <row r="171" spans="1:12" ht="16.5">
      <c r="A171" s="67" t="s">
        <v>3759</v>
      </c>
      <c r="B171" s="60"/>
      <c r="C171" s="60"/>
      <c r="D171" s="60"/>
      <c r="E171" s="60"/>
      <c r="F171" s="60"/>
      <c r="G171" s="60"/>
      <c r="H171" s="60"/>
      <c r="I171" s="28"/>
      <c r="J171" s="29"/>
      <c r="K171" s="29"/>
      <c r="L171" s="29"/>
    </row>
    <row r="172" spans="1:12" ht="16.5">
      <c r="A172" s="41" t="s">
        <v>3758</v>
      </c>
      <c r="B172" s="68" t="s">
        <v>3756</v>
      </c>
      <c r="C172" s="41" t="s">
        <v>3755</v>
      </c>
      <c r="D172" s="41" t="s">
        <v>3754</v>
      </c>
      <c r="E172" s="41" t="s">
        <v>3753</v>
      </c>
      <c r="F172" s="41"/>
      <c r="G172" s="41"/>
      <c r="H172" s="41"/>
      <c r="I172" s="28"/>
      <c r="J172" s="29"/>
      <c r="K172" s="29"/>
      <c r="L172" s="29"/>
    </row>
    <row r="173" spans="1:12" s="56" customFormat="1" ht="22.5">
      <c r="A173" s="69">
        <f>报舱数据!I2</f>
        <v>0</v>
      </c>
      <c r="B173" s="70">
        <f>报舱数据!F2</f>
        <v>0</v>
      </c>
      <c r="C173" s="71">
        <f>报舱数据!C2</f>
        <v>0</v>
      </c>
      <c r="D173" s="72">
        <f>报舱数据!D2</f>
        <v>0</v>
      </c>
      <c r="E173" s="71" t="s">
        <v>8</v>
      </c>
      <c r="F173" s="65"/>
      <c r="G173" s="65"/>
      <c r="H173" s="73"/>
      <c r="I173" s="54"/>
      <c r="J173" s="55"/>
      <c r="K173" s="55"/>
      <c r="L173" s="55"/>
    </row>
    <row r="174" spans="1:12" s="56" customFormat="1" ht="22.5">
      <c r="A174" s="69">
        <f>报舱数据!I3</f>
        <v>0</v>
      </c>
      <c r="B174" s="70">
        <f>报舱数据!F3</f>
        <v>0</v>
      </c>
      <c r="C174" s="71">
        <f>报舱数据!C3</f>
        <v>0</v>
      </c>
      <c r="D174" s="72">
        <f>报舱数据!D3</f>
        <v>0</v>
      </c>
      <c r="E174" s="71" t="s">
        <v>8</v>
      </c>
      <c r="F174" s="65"/>
      <c r="G174" s="65"/>
      <c r="H174" s="73"/>
      <c r="I174" s="54"/>
      <c r="J174" s="55"/>
      <c r="K174" s="55"/>
      <c r="L174" s="55"/>
    </row>
    <row r="175" spans="1:12" s="56" customFormat="1" ht="22.5">
      <c r="A175" s="69">
        <f>报舱数据!I4</f>
        <v>0</v>
      </c>
      <c r="B175" s="70">
        <f>报舱数据!F4</f>
        <v>0</v>
      </c>
      <c r="C175" s="71">
        <f>报舱数据!C4</f>
        <v>0</v>
      </c>
      <c r="D175" s="72">
        <f>报舱数据!D4</f>
        <v>0</v>
      </c>
      <c r="E175" s="71" t="s">
        <v>8</v>
      </c>
      <c r="F175" s="65"/>
      <c r="G175" s="65"/>
      <c r="H175" s="73"/>
      <c r="I175" s="54"/>
      <c r="J175" s="55"/>
      <c r="K175" s="55"/>
      <c r="L175" s="55"/>
    </row>
    <row r="176" spans="1:12" s="56" customFormat="1" ht="22.5">
      <c r="A176" s="69">
        <f>报舱数据!I5</f>
        <v>0</v>
      </c>
      <c r="B176" s="70">
        <f>报舱数据!F5</f>
        <v>0</v>
      </c>
      <c r="C176" s="71">
        <f>报舱数据!C5</f>
        <v>0</v>
      </c>
      <c r="D176" s="72">
        <f>报舱数据!D5</f>
        <v>0</v>
      </c>
      <c r="E176" s="71" t="s">
        <v>8</v>
      </c>
      <c r="F176" s="65"/>
      <c r="G176" s="65"/>
      <c r="H176" s="73"/>
      <c r="I176" s="54"/>
      <c r="J176" s="55"/>
      <c r="K176" s="55"/>
      <c r="L176" s="55"/>
    </row>
    <row r="177" spans="1:12" s="56" customFormat="1" ht="22.5">
      <c r="A177" s="69">
        <f>报舱数据!I6</f>
        <v>0</v>
      </c>
      <c r="B177" s="70">
        <f>报舱数据!F6</f>
        <v>0</v>
      </c>
      <c r="C177" s="71">
        <f>报舱数据!C6</f>
        <v>0</v>
      </c>
      <c r="D177" s="72">
        <f>报舱数据!D6</f>
        <v>0</v>
      </c>
      <c r="E177" s="71" t="s">
        <v>8</v>
      </c>
      <c r="F177" s="65"/>
      <c r="G177" s="65"/>
      <c r="H177" s="73"/>
      <c r="I177" s="54"/>
      <c r="J177" s="55"/>
      <c r="K177" s="55"/>
      <c r="L177" s="55"/>
    </row>
    <row r="178" spans="1:12" s="56" customFormat="1" ht="22.5">
      <c r="A178" s="69">
        <f>报舱数据!I7</f>
        <v>0</v>
      </c>
      <c r="B178" s="70">
        <f>报舱数据!F7</f>
        <v>0</v>
      </c>
      <c r="C178" s="71">
        <f>报舱数据!C7</f>
        <v>0</v>
      </c>
      <c r="D178" s="72">
        <f>报舱数据!D7</f>
        <v>0</v>
      </c>
      <c r="E178" s="71" t="s">
        <v>8</v>
      </c>
      <c r="F178" s="65"/>
      <c r="G178" s="65"/>
      <c r="H178" s="73"/>
      <c r="I178" s="54"/>
      <c r="J178" s="55"/>
      <c r="K178" s="55"/>
      <c r="L178" s="55"/>
    </row>
    <row r="179" spans="1:12" s="56" customFormat="1" ht="22.5">
      <c r="A179" s="69">
        <f>报舱数据!I8</f>
        <v>0</v>
      </c>
      <c r="B179" s="70">
        <f>报舱数据!F8</f>
        <v>0</v>
      </c>
      <c r="C179" s="71">
        <f>报舱数据!C8</f>
        <v>0</v>
      </c>
      <c r="D179" s="72">
        <f>报舱数据!D8</f>
        <v>0</v>
      </c>
      <c r="E179" s="71" t="s">
        <v>8</v>
      </c>
      <c r="F179" s="65"/>
      <c r="G179" s="65"/>
      <c r="H179" s="73"/>
      <c r="I179" s="54"/>
      <c r="J179" s="55"/>
      <c r="K179" s="55"/>
      <c r="L179" s="55"/>
    </row>
    <row r="180" spans="1:12" s="56" customFormat="1" ht="22.5">
      <c r="A180" s="69">
        <f>报舱数据!I9</f>
        <v>0</v>
      </c>
      <c r="B180" s="70">
        <f>报舱数据!F9</f>
        <v>0</v>
      </c>
      <c r="C180" s="71">
        <f>报舱数据!C9</f>
        <v>0</v>
      </c>
      <c r="D180" s="72">
        <f>报舱数据!D9</f>
        <v>0</v>
      </c>
      <c r="E180" s="71" t="s">
        <v>8</v>
      </c>
      <c r="F180" s="65"/>
      <c r="G180" s="65"/>
      <c r="H180" s="73"/>
      <c r="I180" s="54"/>
      <c r="J180" s="55"/>
      <c r="K180" s="55"/>
      <c r="L180" s="55"/>
    </row>
    <row r="181" spans="1:12" s="56" customFormat="1" ht="22.5">
      <c r="A181" s="69">
        <f>报舱数据!I10</f>
        <v>0</v>
      </c>
      <c r="B181" s="70">
        <f>报舱数据!F10</f>
        <v>0</v>
      </c>
      <c r="C181" s="71">
        <f>报舱数据!C10</f>
        <v>0</v>
      </c>
      <c r="D181" s="72">
        <f>报舱数据!D10</f>
        <v>0</v>
      </c>
      <c r="E181" s="71" t="s">
        <v>8</v>
      </c>
      <c r="F181" s="65"/>
      <c r="G181" s="65"/>
      <c r="H181" s="73"/>
      <c r="I181" s="54"/>
      <c r="J181" s="55"/>
      <c r="K181" s="55"/>
      <c r="L181" s="55"/>
    </row>
    <row r="182" spans="1:12" s="56" customFormat="1" ht="22.5">
      <c r="A182" s="69">
        <f>报舱数据!I11</f>
        <v>0</v>
      </c>
      <c r="B182" s="70">
        <f>报舱数据!F11</f>
        <v>0</v>
      </c>
      <c r="C182" s="71">
        <f>报舱数据!C11</f>
        <v>0</v>
      </c>
      <c r="D182" s="72">
        <f>报舱数据!D11</f>
        <v>0</v>
      </c>
      <c r="E182" s="71" t="s">
        <v>8</v>
      </c>
      <c r="F182" s="65"/>
      <c r="G182" s="65"/>
      <c r="H182" s="73"/>
      <c r="I182" s="54"/>
      <c r="J182" s="55"/>
      <c r="K182" s="55"/>
      <c r="L182" s="55"/>
    </row>
    <row r="183" spans="1:12" s="56" customFormat="1" ht="22.5">
      <c r="A183" s="69">
        <f>报舱数据!I12</f>
        <v>0</v>
      </c>
      <c r="B183" s="70">
        <f>报舱数据!F12</f>
        <v>0</v>
      </c>
      <c r="C183" s="71">
        <f>报舱数据!C12</f>
        <v>0</v>
      </c>
      <c r="D183" s="72">
        <f>报舱数据!D12</f>
        <v>0</v>
      </c>
      <c r="E183" s="71" t="s">
        <v>8</v>
      </c>
      <c r="F183" s="65"/>
      <c r="G183" s="65"/>
      <c r="H183" s="73"/>
      <c r="I183" s="54"/>
      <c r="J183" s="55"/>
      <c r="K183" s="55"/>
      <c r="L183" s="55"/>
    </row>
    <row r="184" spans="1:12" s="56" customFormat="1" ht="22.5">
      <c r="A184" s="69">
        <f>报舱数据!I13</f>
        <v>0</v>
      </c>
      <c r="B184" s="70">
        <f>报舱数据!F13</f>
        <v>0</v>
      </c>
      <c r="C184" s="71">
        <f>报舱数据!C13</f>
        <v>0</v>
      </c>
      <c r="D184" s="72">
        <f>报舱数据!D13</f>
        <v>0</v>
      </c>
      <c r="E184" s="71" t="s">
        <v>8</v>
      </c>
      <c r="F184" s="65"/>
      <c r="G184" s="65"/>
      <c r="H184" s="73"/>
      <c r="I184" s="54"/>
      <c r="J184" s="55"/>
      <c r="K184" s="55"/>
      <c r="L184" s="55"/>
    </row>
    <row r="185" spans="1:12" s="56" customFormat="1" ht="22.5">
      <c r="A185" s="69">
        <f>报舱数据!I14</f>
        <v>0</v>
      </c>
      <c r="B185" s="70">
        <f>报舱数据!F14</f>
        <v>0</v>
      </c>
      <c r="C185" s="71">
        <f>报舱数据!C14</f>
        <v>0</v>
      </c>
      <c r="D185" s="72">
        <f>报舱数据!D14</f>
        <v>0</v>
      </c>
      <c r="E185" s="71" t="s">
        <v>8</v>
      </c>
      <c r="F185" s="65"/>
      <c r="G185" s="65"/>
      <c r="H185" s="73"/>
      <c r="I185" s="54"/>
      <c r="J185" s="55"/>
      <c r="K185" s="55"/>
      <c r="L185" s="55"/>
    </row>
    <row r="186" spans="1:12" s="56" customFormat="1" ht="22.5">
      <c r="A186" s="69">
        <f>报舱数据!I15</f>
        <v>0</v>
      </c>
      <c r="B186" s="70">
        <f>报舱数据!F15</f>
        <v>0</v>
      </c>
      <c r="C186" s="71">
        <f>报舱数据!C15</f>
        <v>0</v>
      </c>
      <c r="D186" s="72">
        <f>报舱数据!D15</f>
        <v>0</v>
      </c>
      <c r="E186" s="71" t="s">
        <v>8</v>
      </c>
      <c r="F186" s="65"/>
      <c r="G186" s="65"/>
      <c r="H186" s="73"/>
      <c r="I186" s="54"/>
      <c r="J186" s="55"/>
      <c r="K186" s="55"/>
      <c r="L186" s="55"/>
    </row>
    <row r="187" spans="1:12" s="56" customFormat="1" ht="22.5">
      <c r="A187" s="69">
        <f>报舱数据!I16</f>
        <v>0</v>
      </c>
      <c r="B187" s="70">
        <f>报舱数据!F16</f>
        <v>0</v>
      </c>
      <c r="C187" s="71">
        <f>报舱数据!C16</f>
        <v>0</v>
      </c>
      <c r="D187" s="72">
        <f>报舱数据!D16</f>
        <v>0</v>
      </c>
      <c r="E187" s="71" t="s">
        <v>8</v>
      </c>
      <c r="F187" s="65"/>
      <c r="G187" s="65"/>
      <c r="H187" s="73"/>
      <c r="I187" s="54"/>
      <c r="J187" s="55"/>
      <c r="K187" s="55"/>
      <c r="L187" s="55"/>
    </row>
    <row r="188" spans="1:12" s="56" customFormat="1" ht="22.5">
      <c r="A188" s="69">
        <f>报舱数据!I17</f>
        <v>0</v>
      </c>
      <c r="B188" s="70">
        <f>报舱数据!F17</f>
        <v>0</v>
      </c>
      <c r="C188" s="71">
        <f>报舱数据!C17</f>
        <v>0</v>
      </c>
      <c r="D188" s="72">
        <f>报舱数据!D17</f>
        <v>0</v>
      </c>
      <c r="E188" s="71" t="s">
        <v>8</v>
      </c>
      <c r="F188" s="65"/>
      <c r="G188" s="65"/>
      <c r="H188" s="73"/>
      <c r="I188" s="54"/>
      <c r="J188" s="55"/>
      <c r="K188" s="55"/>
      <c r="L188" s="55"/>
    </row>
    <row r="189" spans="1:12" s="56" customFormat="1" ht="22.5">
      <c r="A189" s="69">
        <f>报舱数据!I18</f>
        <v>0</v>
      </c>
      <c r="B189" s="70">
        <f>报舱数据!F18</f>
        <v>0</v>
      </c>
      <c r="C189" s="71">
        <f>报舱数据!C18</f>
        <v>0</v>
      </c>
      <c r="D189" s="72">
        <f>报舱数据!D18</f>
        <v>0</v>
      </c>
      <c r="E189" s="71" t="s">
        <v>8</v>
      </c>
      <c r="F189" s="65"/>
      <c r="G189" s="65"/>
      <c r="H189" s="73"/>
      <c r="I189" s="54"/>
      <c r="J189" s="55"/>
      <c r="K189" s="55"/>
      <c r="L189" s="55"/>
    </row>
    <row r="190" spans="1:12" s="56" customFormat="1" ht="22.5">
      <c r="A190" s="69">
        <f>报舱数据!I19</f>
        <v>0</v>
      </c>
      <c r="B190" s="70">
        <f>报舱数据!F19</f>
        <v>0</v>
      </c>
      <c r="C190" s="71">
        <f>报舱数据!C19</f>
        <v>0</v>
      </c>
      <c r="D190" s="72">
        <f>报舱数据!D19</f>
        <v>0</v>
      </c>
      <c r="E190" s="71" t="s">
        <v>8</v>
      </c>
      <c r="F190" s="65"/>
      <c r="G190" s="65"/>
      <c r="H190" s="73"/>
      <c r="I190" s="54"/>
      <c r="J190" s="55"/>
      <c r="K190" s="55"/>
      <c r="L190" s="55"/>
    </row>
    <row r="191" spans="1:12" s="56" customFormat="1" ht="22.5">
      <c r="A191" s="69">
        <f>报舱数据!I20</f>
        <v>0</v>
      </c>
      <c r="B191" s="70">
        <f>报舱数据!F20</f>
        <v>0</v>
      </c>
      <c r="C191" s="71">
        <f>报舱数据!C20</f>
        <v>0</v>
      </c>
      <c r="D191" s="72">
        <f>报舱数据!D20</f>
        <v>0</v>
      </c>
      <c r="E191" s="71" t="s">
        <v>8</v>
      </c>
      <c r="F191" s="65"/>
      <c r="G191" s="65"/>
      <c r="H191" s="73"/>
      <c r="I191" s="54"/>
      <c r="J191" s="55"/>
      <c r="K191" s="55"/>
      <c r="L191" s="55"/>
    </row>
    <row r="192" spans="1:12" s="56" customFormat="1" ht="22.5">
      <c r="A192" s="69">
        <f>报舱数据!I21</f>
        <v>0</v>
      </c>
      <c r="B192" s="70">
        <f>报舱数据!F21</f>
        <v>0</v>
      </c>
      <c r="C192" s="71">
        <f>报舱数据!C21</f>
        <v>0</v>
      </c>
      <c r="D192" s="72">
        <f>报舱数据!D21</f>
        <v>0</v>
      </c>
      <c r="E192" s="71" t="s">
        <v>8</v>
      </c>
      <c r="F192" s="65"/>
      <c r="G192" s="65"/>
      <c r="H192" s="73"/>
      <c r="I192" s="54"/>
      <c r="J192" s="55"/>
      <c r="K192" s="55"/>
      <c r="L192" s="55"/>
    </row>
    <row r="193" spans="1:12" s="56" customFormat="1" ht="22.5">
      <c r="A193" s="69">
        <f>报舱数据!I22</f>
        <v>0</v>
      </c>
      <c r="B193" s="70">
        <f>报舱数据!F22</f>
        <v>0</v>
      </c>
      <c r="C193" s="71">
        <f>报舱数据!C22</f>
        <v>0</v>
      </c>
      <c r="D193" s="72">
        <f>报舱数据!D22</f>
        <v>0</v>
      </c>
      <c r="E193" s="71" t="s">
        <v>8</v>
      </c>
      <c r="F193" s="65"/>
      <c r="G193" s="65"/>
      <c r="H193" s="73"/>
      <c r="I193" s="54"/>
      <c r="J193" s="55"/>
      <c r="K193" s="55"/>
      <c r="L193" s="55"/>
    </row>
    <row r="194" spans="1:12" s="56" customFormat="1" ht="22.5">
      <c r="A194" s="69">
        <f>报舱数据!I23</f>
        <v>0</v>
      </c>
      <c r="B194" s="70">
        <f>报舱数据!F23</f>
        <v>0</v>
      </c>
      <c r="C194" s="71">
        <f>报舱数据!C23</f>
        <v>0</v>
      </c>
      <c r="D194" s="72">
        <f>报舱数据!D23</f>
        <v>0</v>
      </c>
      <c r="E194" s="71" t="s">
        <v>8</v>
      </c>
      <c r="F194" s="65"/>
      <c r="G194" s="65"/>
      <c r="H194" s="73"/>
      <c r="I194" s="54"/>
      <c r="J194" s="55"/>
      <c r="K194" s="55"/>
      <c r="L194" s="55"/>
    </row>
    <row r="195" spans="1:12" s="56" customFormat="1" ht="22.5">
      <c r="A195" s="69">
        <f>报舱数据!I24</f>
        <v>0</v>
      </c>
      <c r="B195" s="70">
        <f>报舱数据!F24</f>
        <v>0</v>
      </c>
      <c r="C195" s="71">
        <f>报舱数据!C24</f>
        <v>0</v>
      </c>
      <c r="D195" s="72">
        <f>报舱数据!D24</f>
        <v>0</v>
      </c>
      <c r="E195" s="71" t="s">
        <v>8</v>
      </c>
      <c r="F195" s="65"/>
      <c r="G195" s="65"/>
      <c r="H195" s="73"/>
      <c r="I195" s="54"/>
      <c r="J195" s="55"/>
      <c r="K195" s="55"/>
      <c r="L195" s="55"/>
    </row>
    <row r="196" spans="1:12" s="56" customFormat="1" ht="22.5">
      <c r="A196" s="69">
        <f>报舱数据!I25</f>
        <v>0</v>
      </c>
      <c r="B196" s="70">
        <f>报舱数据!F25</f>
        <v>0</v>
      </c>
      <c r="C196" s="71">
        <f>报舱数据!C25</f>
        <v>0</v>
      </c>
      <c r="D196" s="72">
        <f>报舱数据!D25</f>
        <v>0</v>
      </c>
      <c r="E196" s="71" t="s">
        <v>8</v>
      </c>
      <c r="F196" s="65"/>
      <c r="G196" s="65"/>
      <c r="H196" s="73"/>
      <c r="I196" s="54"/>
      <c r="J196" s="55"/>
      <c r="K196" s="55"/>
      <c r="L196" s="55"/>
    </row>
    <row r="197" spans="1:12" s="56" customFormat="1" ht="22.5">
      <c r="A197" s="69">
        <f>报舱数据!I26</f>
        <v>0</v>
      </c>
      <c r="B197" s="70">
        <f>报舱数据!F26</f>
        <v>0</v>
      </c>
      <c r="C197" s="71">
        <f>报舱数据!C26</f>
        <v>0</v>
      </c>
      <c r="D197" s="72">
        <f>报舱数据!D26</f>
        <v>0</v>
      </c>
      <c r="E197" s="71" t="s">
        <v>8</v>
      </c>
      <c r="F197" s="65"/>
      <c r="G197" s="65"/>
      <c r="H197" s="73"/>
      <c r="I197" s="54"/>
      <c r="J197" s="55"/>
      <c r="K197" s="55"/>
      <c r="L197" s="55"/>
    </row>
    <row r="198" spans="1:12" s="56" customFormat="1" ht="22.5">
      <c r="A198" s="69">
        <f>报舱数据!I27</f>
        <v>0</v>
      </c>
      <c r="B198" s="70">
        <f>报舱数据!F27</f>
        <v>0</v>
      </c>
      <c r="C198" s="71">
        <f>报舱数据!C27</f>
        <v>0</v>
      </c>
      <c r="D198" s="72">
        <f>报舱数据!D27</f>
        <v>0</v>
      </c>
      <c r="E198" s="71" t="s">
        <v>8</v>
      </c>
      <c r="F198" s="65"/>
      <c r="G198" s="65"/>
      <c r="H198" s="73"/>
      <c r="I198" s="54"/>
      <c r="J198" s="55"/>
      <c r="K198" s="55"/>
      <c r="L198" s="55"/>
    </row>
    <row r="199" spans="1:12" s="56" customFormat="1" ht="22.5">
      <c r="A199" s="69">
        <f>报舱数据!I28</f>
        <v>0</v>
      </c>
      <c r="B199" s="70">
        <f>报舱数据!F28</f>
        <v>0</v>
      </c>
      <c r="C199" s="71">
        <f>报舱数据!C28</f>
        <v>0</v>
      </c>
      <c r="D199" s="72">
        <f>报舱数据!D28</f>
        <v>0</v>
      </c>
      <c r="E199" s="71" t="s">
        <v>8</v>
      </c>
      <c r="F199" s="65"/>
      <c r="G199" s="65"/>
      <c r="H199" s="73"/>
      <c r="I199" s="54"/>
      <c r="J199" s="55"/>
      <c r="K199" s="55"/>
      <c r="L199" s="55"/>
    </row>
    <row r="200" spans="1:12" s="56" customFormat="1" ht="22.5">
      <c r="A200" s="69">
        <f>报舱数据!I29</f>
        <v>0</v>
      </c>
      <c r="B200" s="70">
        <f>报舱数据!F29</f>
        <v>0</v>
      </c>
      <c r="C200" s="71">
        <f>报舱数据!C29</f>
        <v>0</v>
      </c>
      <c r="D200" s="72">
        <f>报舱数据!D29</f>
        <v>0</v>
      </c>
      <c r="E200" s="71" t="s">
        <v>8</v>
      </c>
      <c r="F200" s="65"/>
      <c r="G200" s="65"/>
      <c r="H200" s="73"/>
      <c r="I200" s="54"/>
      <c r="J200" s="55"/>
      <c r="K200" s="55"/>
      <c r="L200" s="55"/>
    </row>
    <row r="201" spans="1:12" s="56" customFormat="1" ht="22.5">
      <c r="A201" s="69">
        <f>报舱数据!I30</f>
        <v>0</v>
      </c>
      <c r="B201" s="70">
        <f>报舱数据!F30</f>
        <v>0</v>
      </c>
      <c r="C201" s="71">
        <f>报舱数据!C30</f>
        <v>0</v>
      </c>
      <c r="D201" s="72">
        <f>报舱数据!D30</f>
        <v>0</v>
      </c>
      <c r="E201" s="71" t="s">
        <v>8</v>
      </c>
      <c r="F201" s="65"/>
      <c r="G201" s="65"/>
      <c r="H201" s="73"/>
      <c r="I201" s="54"/>
      <c r="J201" s="55"/>
      <c r="K201" s="55"/>
      <c r="L201" s="55"/>
    </row>
    <row r="202" spans="1:12" s="56" customFormat="1" ht="22.5">
      <c r="A202" s="69">
        <f>报舱数据!I31</f>
        <v>0</v>
      </c>
      <c r="B202" s="70">
        <f>报舱数据!F31</f>
        <v>0</v>
      </c>
      <c r="C202" s="71">
        <f>报舱数据!C31</f>
        <v>0</v>
      </c>
      <c r="D202" s="72">
        <f>报舱数据!D31</f>
        <v>0</v>
      </c>
      <c r="E202" s="71" t="s">
        <v>8</v>
      </c>
      <c r="F202" s="65"/>
      <c r="G202" s="65"/>
      <c r="H202" s="73"/>
      <c r="I202" s="54"/>
      <c r="J202" s="55"/>
      <c r="K202" s="55"/>
      <c r="L202" s="55"/>
    </row>
    <row r="203" spans="1:12" s="56" customFormat="1" ht="22.5">
      <c r="A203" s="69">
        <f>报舱数据!I32</f>
        <v>0</v>
      </c>
      <c r="B203" s="70">
        <f>报舱数据!F32</f>
        <v>0</v>
      </c>
      <c r="C203" s="71">
        <f>报舱数据!C32</f>
        <v>0</v>
      </c>
      <c r="D203" s="72">
        <f>报舱数据!D32</f>
        <v>0</v>
      </c>
      <c r="E203" s="71" t="s">
        <v>8</v>
      </c>
      <c r="F203" s="65"/>
      <c r="G203" s="65"/>
      <c r="H203" s="73"/>
      <c r="I203" s="54"/>
      <c r="J203" s="55"/>
      <c r="K203" s="55"/>
      <c r="L203" s="55"/>
    </row>
    <row r="204" spans="1:12" s="56" customFormat="1" ht="22.5">
      <c r="A204" s="69">
        <f>报舱数据!I33</f>
        <v>0</v>
      </c>
      <c r="B204" s="70">
        <f>报舱数据!F33</f>
        <v>0</v>
      </c>
      <c r="C204" s="71">
        <f>报舱数据!C33</f>
        <v>0</v>
      </c>
      <c r="D204" s="72">
        <f>报舱数据!D33</f>
        <v>0</v>
      </c>
      <c r="E204" s="71" t="s">
        <v>8</v>
      </c>
      <c r="F204" s="65"/>
      <c r="G204" s="65"/>
      <c r="H204" s="73"/>
      <c r="I204" s="54"/>
      <c r="J204" s="55"/>
      <c r="K204" s="55"/>
      <c r="L204" s="55"/>
    </row>
    <row r="205" spans="1:12" s="56" customFormat="1" ht="22.5">
      <c r="A205" s="69">
        <f>报舱数据!I34</f>
        <v>0</v>
      </c>
      <c r="B205" s="70">
        <f>报舱数据!F34</f>
        <v>0</v>
      </c>
      <c r="C205" s="71">
        <f>报舱数据!C34</f>
        <v>0</v>
      </c>
      <c r="D205" s="72">
        <f>报舱数据!D34</f>
        <v>0</v>
      </c>
      <c r="E205" s="71" t="s">
        <v>8</v>
      </c>
      <c r="F205" s="65"/>
      <c r="G205" s="65"/>
      <c r="H205" s="73"/>
      <c r="I205" s="54"/>
      <c r="J205" s="55"/>
      <c r="K205" s="55"/>
      <c r="L205" s="55"/>
    </row>
    <row r="206" spans="1:12" s="56" customFormat="1" ht="22.5">
      <c r="A206" s="69">
        <f>报舱数据!I35</f>
        <v>0</v>
      </c>
      <c r="B206" s="70">
        <f>报舱数据!F35</f>
        <v>0</v>
      </c>
      <c r="C206" s="71">
        <f>报舱数据!C35</f>
        <v>0</v>
      </c>
      <c r="D206" s="72">
        <f>报舱数据!D35</f>
        <v>0</v>
      </c>
      <c r="E206" s="71" t="s">
        <v>8</v>
      </c>
      <c r="F206" s="65"/>
      <c r="G206" s="65"/>
      <c r="H206" s="73"/>
      <c r="I206" s="54"/>
      <c r="J206" s="55"/>
      <c r="K206" s="55"/>
      <c r="L206" s="55"/>
    </row>
    <row r="207" spans="1:12" s="56" customFormat="1" ht="22.5">
      <c r="A207" s="69">
        <f>报舱数据!I36</f>
        <v>0</v>
      </c>
      <c r="B207" s="70">
        <f>报舱数据!F36</f>
        <v>0</v>
      </c>
      <c r="C207" s="71">
        <f>报舱数据!C36</f>
        <v>0</v>
      </c>
      <c r="D207" s="72">
        <f>报舱数据!D36</f>
        <v>0</v>
      </c>
      <c r="E207" s="71" t="s">
        <v>8</v>
      </c>
      <c r="F207" s="65"/>
      <c r="G207" s="65"/>
      <c r="H207" s="73"/>
      <c r="I207" s="54"/>
      <c r="J207" s="55"/>
      <c r="K207" s="55"/>
      <c r="L207" s="55"/>
    </row>
    <row r="208" spans="1:12" s="56" customFormat="1" ht="22.5">
      <c r="A208" s="69">
        <f>报舱数据!I37</f>
        <v>0</v>
      </c>
      <c r="B208" s="70">
        <f>报舱数据!F37</f>
        <v>0</v>
      </c>
      <c r="C208" s="71">
        <f>报舱数据!C37</f>
        <v>0</v>
      </c>
      <c r="D208" s="72">
        <f>报舱数据!D37</f>
        <v>0</v>
      </c>
      <c r="E208" s="71" t="s">
        <v>8</v>
      </c>
      <c r="F208" s="65"/>
      <c r="G208" s="65"/>
      <c r="H208" s="73"/>
      <c r="I208" s="54"/>
      <c r="J208" s="55"/>
      <c r="K208" s="55"/>
      <c r="L208" s="55"/>
    </row>
    <row r="209" spans="1:12" s="56" customFormat="1" ht="22.5">
      <c r="A209" s="69">
        <f>报舱数据!I38</f>
        <v>0</v>
      </c>
      <c r="B209" s="70">
        <f>报舱数据!F38</f>
        <v>0</v>
      </c>
      <c r="C209" s="71">
        <f>报舱数据!C38</f>
        <v>0</v>
      </c>
      <c r="D209" s="72">
        <f>报舱数据!D38</f>
        <v>0</v>
      </c>
      <c r="E209" s="71" t="s">
        <v>8</v>
      </c>
      <c r="F209" s="65"/>
      <c r="G209" s="65"/>
      <c r="H209" s="73"/>
      <c r="I209" s="54"/>
      <c r="J209" s="55"/>
      <c r="K209" s="55"/>
      <c r="L209" s="55"/>
    </row>
    <row r="210" spans="1:12" s="56" customFormat="1" ht="22.5">
      <c r="A210" s="69">
        <f>报舱数据!I39</f>
        <v>0</v>
      </c>
      <c r="B210" s="70">
        <f>报舱数据!F39</f>
        <v>0</v>
      </c>
      <c r="C210" s="71">
        <f>报舱数据!C39</f>
        <v>0</v>
      </c>
      <c r="D210" s="72">
        <f>报舱数据!D39</f>
        <v>0</v>
      </c>
      <c r="E210" s="71" t="s">
        <v>8</v>
      </c>
      <c r="F210" s="65"/>
      <c r="G210" s="65"/>
      <c r="H210" s="73"/>
      <c r="I210" s="54"/>
      <c r="J210" s="55"/>
      <c r="K210" s="55"/>
      <c r="L210" s="55"/>
    </row>
    <row r="211" spans="1:12" s="56" customFormat="1" ht="22.5">
      <c r="A211" s="69">
        <f>报舱数据!I40</f>
        <v>0</v>
      </c>
      <c r="B211" s="70">
        <f>报舱数据!F40</f>
        <v>0</v>
      </c>
      <c r="C211" s="71">
        <f>报舱数据!C40</f>
        <v>0</v>
      </c>
      <c r="D211" s="72">
        <f>报舱数据!D40</f>
        <v>0</v>
      </c>
      <c r="E211" s="71" t="s">
        <v>8</v>
      </c>
      <c r="F211" s="65"/>
      <c r="G211" s="65"/>
      <c r="H211" s="73"/>
      <c r="I211" s="54"/>
      <c r="J211" s="55"/>
      <c r="K211" s="55"/>
      <c r="L211" s="55"/>
    </row>
    <row r="212" spans="1:12" s="56" customFormat="1" ht="22.5">
      <c r="A212" s="69">
        <f>报舱数据!I41</f>
        <v>0</v>
      </c>
      <c r="B212" s="70">
        <f>报舱数据!F41</f>
        <v>0</v>
      </c>
      <c r="C212" s="71">
        <f>报舱数据!C41</f>
        <v>0</v>
      </c>
      <c r="D212" s="72">
        <f>报舱数据!D41</f>
        <v>0</v>
      </c>
      <c r="E212" s="71" t="s">
        <v>8</v>
      </c>
      <c r="F212" s="65"/>
      <c r="G212" s="65"/>
      <c r="H212" s="73"/>
      <c r="I212" s="54"/>
      <c r="J212" s="55"/>
      <c r="K212" s="55"/>
      <c r="L212" s="55"/>
    </row>
    <row r="213" spans="1:12" s="56" customFormat="1" ht="22.5">
      <c r="A213" s="69">
        <f>报舱数据!I42</f>
        <v>0</v>
      </c>
      <c r="B213" s="70">
        <f>报舱数据!F42</f>
        <v>0</v>
      </c>
      <c r="C213" s="71">
        <f>报舱数据!C42</f>
        <v>0</v>
      </c>
      <c r="D213" s="72">
        <f>报舱数据!D42</f>
        <v>0</v>
      </c>
      <c r="E213" s="71" t="s">
        <v>8</v>
      </c>
      <c r="F213" s="65"/>
      <c r="G213" s="65"/>
      <c r="H213" s="73"/>
      <c r="I213" s="54"/>
      <c r="J213" s="55"/>
      <c r="K213" s="55"/>
      <c r="L213" s="55"/>
    </row>
    <row r="214" spans="1:12" s="56" customFormat="1" ht="22.5">
      <c r="A214" s="69">
        <f>报舱数据!I43</f>
        <v>0</v>
      </c>
      <c r="B214" s="70">
        <f>报舱数据!F43</f>
        <v>0</v>
      </c>
      <c r="C214" s="71">
        <f>报舱数据!C43</f>
        <v>0</v>
      </c>
      <c r="D214" s="72">
        <f>报舱数据!D43</f>
        <v>0</v>
      </c>
      <c r="E214" s="71" t="s">
        <v>8</v>
      </c>
      <c r="F214" s="65"/>
      <c r="G214" s="65"/>
      <c r="H214" s="73"/>
      <c r="I214" s="54"/>
      <c r="J214" s="55"/>
      <c r="K214" s="55"/>
      <c r="L214" s="55"/>
    </row>
    <row r="215" spans="1:12" s="56" customFormat="1" ht="22.5">
      <c r="A215" s="69">
        <f>报舱数据!I44</f>
        <v>0</v>
      </c>
      <c r="B215" s="70">
        <f>报舱数据!F44</f>
        <v>0</v>
      </c>
      <c r="C215" s="71">
        <f>报舱数据!C44</f>
        <v>0</v>
      </c>
      <c r="D215" s="72">
        <f>报舱数据!D44</f>
        <v>0</v>
      </c>
      <c r="E215" s="71" t="s">
        <v>8</v>
      </c>
      <c r="F215" s="65"/>
      <c r="G215" s="65"/>
      <c r="H215" s="73"/>
      <c r="I215" s="54"/>
      <c r="J215" s="55"/>
      <c r="K215" s="55"/>
      <c r="L215" s="55"/>
    </row>
    <row r="216" spans="1:12" s="56" customFormat="1" ht="22.5">
      <c r="A216" s="69">
        <f>报舱数据!I45</f>
        <v>0</v>
      </c>
      <c r="B216" s="70">
        <f>报舱数据!F45</f>
        <v>0</v>
      </c>
      <c r="C216" s="71">
        <f>报舱数据!C45</f>
        <v>0</v>
      </c>
      <c r="D216" s="72">
        <f>报舱数据!D45</f>
        <v>0</v>
      </c>
      <c r="E216" s="71" t="s">
        <v>8</v>
      </c>
      <c r="F216" s="65"/>
      <c r="G216" s="65"/>
      <c r="H216" s="73"/>
      <c r="I216" s="54"/>
      <c r="J216" s="55"/>
      <c r="K216" s="55"/>
      <c r="L216" s="55"/>
    </row>
    <row r="217" spans="1:12" s="56" customFormat="1" ht="22.5">
      <c r="A217" s="69">
        <f>报舱数据!I46</f>
        <v>0</v>
      </c>
      <c r="B217" s="70">
        <f>报舱数据!F46</f>
        <v>0</v>
      </c>
      <c r="C217" s="71">
        <f>报舱数据!C46</f>
        <v>0</v>
      </c>
      <c r="D217" s="72">
        <f>报舱数据!D46</f>
        <v>0</v>
      </c>
      <c r="E217" s="71" t="s">
        <v>8</v>
      </c>
      <c r="F217" s="65"/>
      <c r="G217" s="65"/>
      <c r="H217" s="73"/>
      <c r="I217" s="54"/>
      <c r="J217" s="55"/>
      <c r="K217" s="55"/>
      <c r="L217" s="55"/>
    </row>
    <row r="218" spans="1:12" s="56" customFormat="1" ht="22.5">
      <c r="A218" s="69">
        <f>报舱数据!I47</f>
        <v>0</v>
      </c>
      <c r="B218" s="70">
        <f>报舱数据!F47</f>
        <v>0</v>
      </c>
      <c r="C218" s="71">
        <f>报舱数据!C47</f>
        <v>0</v>
      </c>
      <c r="D218" s="72">
        <f>报舱数据!D47</f>
        <v>0</v>
      </c>
      <c r="E218" s="71" t="s">
        <v>8</v>
      </c>
      <c r="F218" s="65"/>
      <c r="G218" s="65"/>
      <c r="H218" s="73"/>
      <c r="I218" s="54"/>
      <c r="J218" s="55"/>
      <c r="K218" s="55"/>
      <c r="L218" s="55"/>
    </row>
    <row r="219" spans="1:12" s="56" customFormat="1" ht="22.5">
      <c r="A219" s="69">
        <f>报舱数据!I48</f>
        <v>0</v>
      </c>
      <c r="B219" s="70">
        <f>报舱数据!F48</f>
        <v>0</v>
      </c>
      <c r="C219" s="71">
        <f>报舱数据!C48</f>
        <v>0</v>
      </c>
      <c r="D219" s="72">
        <f>报舱数据!D48</f>
        <v>0</v>
      </c>
      <c r="E219" s="71" t="s">
        <v>8</v>
      </c>
      <c r="F219" s="65"/>
      <c r="G219" s="65"/>
      <c r="H219" s="73"/>
      <c r="I219" s="54"/>
      <c r="J219" s="55"/>
      <c r="K219" s="55"/>
      <c r="L219" s="55"/>
    </row>
    <row r="220" spans="1:12" s="56" customFormat="1" ht="22.5">
      <c r="A220" s="69">
        <f>报舱数据!I49</f>
        <v>0</v>
      </c>
      <c r="B220" s="70">
        <f>报舱数据!F49</f>
        <v>0</v>
      </c>
      <c r="C220" s="71">
        <f>报舱数据!C49</f>
        <v>0</v>
      </c>
      <c r="D220" s="72">
        <f>报舱数据!D49</f>
        <v>0</v>
      </c>
      <c r="E220" s="71" t="s">
        <v>8</v>
      </c>
      <c r="F220" s="65"/>
      <c r="G220" s="65"/>
      <c r="H220" s="73"/>
      <c r="I220" s="54"/>
      <c r="J220" s="55"/>
      <c r="K220" s="55"/>
      <c r="L220" s="55"/>
    </row>
    <row r="221" spans="1:12" s="56" customFormat="1" ht="22.5">
      <c r="A221" s="69">
        <f>报舱数据!I50</f>
        <v>0</v>
      </c>
      <c r="B221" s="70">
        <f>报舱数据!F50</f>
        <v>0</v>
      </c>
      <c r="C221" s="71">
        <f>报舱数据!C50</f>
        <v>0</v>
      </c>
      <c r="D221" s="72">
        <f>报舱数据!D50</f>
        <v>0</v>
      </c>
      <c r="E221" s="71" t="s">
        <v>8</v>
      </c>
      <c r="F221" s="65"/>
      <c r="G221" s="65"/>
      <c r="H221" s="73"/>
      <c r="I221" s="54"/>
      <c r="J221" s="55"/>
      <c r="K221" s="55"/>
      <c r="L221" s="55"/>
    </row>
    <row r="222" spans="1:12" s="56" customFormat="1" ht="22.5">
      <c r="A222" s="69">
        <f>报舱数据!I51</f>
        <v>0</v>
      </c>
      <c r="B222" s="70">
        <f>报舱数据!F51</f>
        <v>0</v>
      </c>
      <c r="C222" s="71">
        <f>报舱数据!C51</f>
        <v>0</v>
      </c>
      <c r="D222" s="72">
        <f>报舱数据!D51</f>
        <v>0</v>
      </c>
      <c r="E222" s="71" t="s">
        <v>8</v>
      </c>
      <c r="F222" s="65"/>
      <c r="G222" s="65"/>
      <c r="H222" s="73"/>
      <c r="I222" s="54"/>
      <c r="J222" s="55"/>
      <c r="K222" s="55"/>
      <c r="L222" s="55"/>
    </row>
    <row r="223" spans="1:12" s="56" customFormat="1" ht="22.5">
      <c r="A223" s="69">
        <f>报舱数据!I52</f>
        <v>0</v>
      </c>
      <c r="B223" s="70">
        <f>报舱数据!F52</f>
        <v>0</v>
      </c>
      <c r="C223" s="71">
        <f>报舱数据!C52</f>
        <v>0</v>
      </c>
      <c r="D223" s="72">
        <f>报舱数据!D52</f>
        <v>0</v>
      </c>
      <c r="E223" s="71" t="s">
        <v>8</v>
      </c>
      <c r="F223" s="65"/>
      <c r="G223" s="65"/>
      <c r="H223" s="73"/>
      <c r="I223" s="54"/>
      <c r="J223" s="55"/>
      <c r="K223" s="55"/>
      <c r="L223" s="55"/>
    </row>
    <row r="224" spans="1:12" s="56" customFormat="1" ht="22.5">
      <c r="A224" s="69">
        <f>报舱数据!I53</f>
        <v>0</v>
      </c>
      <c r="B224" s="70">
        <f>报舱数据!F53</f>
        <v>0</v>
      </c>
      <c r="C224" s="71">
        <f>报舱数据!C53</f>
        <v>0</v>
      </c>
      <c r="D224" s="72">
        <f>报舱数据!D53</f>
        <v>0</v>
      </c>
      <c r="E224" s="71" t="s">
        <v>8</v>
      </c>
      <c r="F224" s="65"/>
      <c r="G224" s="65"/>
      <c r="H224" s="73"/>
      <c r="I224" s="54"/>
      <c r="J224" s="55"/>
      <c r="K224" s="55"/>
      <c r="L224" s="55"/>
    </row>
    <row r="225" spans="1:12" s="56" customFormat="1" ht="22.5">
      <c r="A225" s="69">
        <f>报舱数据!I54</f>
        <v>0</v>
      </c>
      <c r="B225" s="70">
        <f>报舱数据!F54</f>
        <v>0</v>
      </c>
      <c r="C225" s="71">
        <f>报舱数据!C54</f>
        <v>0</v>
      </c>
      <c r="D225" s="72">
        <f>报舱数据!D54</f>
        <v>0</v>
      </c>
      <c r="E225" s="71" t="s">
        <v>8</v>
      </c>
      <c r="F225" s="65"/>
      <c r="G225" s="65"/>
      <c r="H225" s="73"/>
      <c r="I225" s="54"/>
      <c r="J225" s="55"/>
      <c r="K225" s="55"/>
      <c r="L225" s="55"/>
    </row>
    <row r="226" spans="1:12" s="56" customFormat="1" ht="22.5">
      <c r="A226" s="69">
        <f>报舱数据!I55</f>
        <v>0</v>
      </c>
      <c r="B226" s="70">
        <f>报舱数据!F55</f>
        <v>0</v>
      </c>
      <c r="C226" s="71">
        <f>报舱数据!C55</f>
        <v>0</v>
      </c>
      <c r="D226" s="72">
        <f>报舱数据!D55</f>
        <v>0</v>
      </c>
      <c r="E226" s="71" t="s">
        <v>8</v>
      </c>
      <c r="F226" s="65"/>
      <c r="G226" s="65"/>
      <c r="H226" s="73"/>
      <c r="I226" s="54"/>
      <c r="J226" s="55"/>
      <c r="K226" s="55"/>
      <c r="L226" s="55"/>
    </row>
    <row r="227" spans="1:12" s="56" customFormat="1" ht="22.5">
      <c r="A227" s="69">
        <f>报舱数据!I56</f>
        <v>0</v>
      </c>
      <c r="B227" s="70">
        <f>报舱数据!F56</f>
        <v>0</v>
      </c>
      <c r="C227" s="71">
        <f>报舱数据!C56</f>
        <v>0</v>
      </c>
      <c r="D227" s="72">
        <f>报舱数据!D56</f>
        <v>0</v>
      </c>
      <c r="E227" s="71" t="s">
        <v>8</v>
      </c>
      <c r="F227" s="65"/>
      <c r="G227" s="65"/>
      <c r="H227" s="73"/>
      <c r="I227" s="54"/>
      <c r="J227" s="55"/>
      <c r="K227" s="55"/>
      <c r="L227" s="55"/>
    </row>
    <row r="228" spans="1:12" s="56" customFormat="1" ht="22.5">
      <c r="A228" s="69">
        <f>报舱数据!I57</f>
        <v>0</v>
      </c>
      <c r="B228" s="70">
        <f>报舱数据!F57</f>
        <v>0</v>
      </c>
      <c r="C228" s="71">
        <f>报舱数据!C57</f>
        <v>0</v>
      </c>
      <c r="D228" s="72">
        <f>报舱数据!D57</f>
        <v>0</v>
      </c>
      <c r="E228" s="71" t="s">
        <v>8</v>
      </c>
      <c r="F228" s="65"/>
      <c r="G228" s="65"/>
      <c r="H228" s="73"/>
      <c r="I228" s="54"/>
      <c r="J228" s="55"/>
      <c r="K228" s="55"/>
      <c r="L228" s="55"/>
    </row>
    <row r="229" spans="1:12" s="56" customFormat="1" ht="22.5">
      <c r="A229" s="69">
        <f>报舱数据!I58</f>
        <v>0</v>
      </c>
      <c r="B229" s="70">
        <f>报舱数据!F58</f>
        <v>0</v>
      </c>
      <c r="C229" s="71">
        <f>报舱数据!C58</f>
        <v>0</v>
      </c>
      <c r="D229" s="72">
        <f>报舱数据!D58</f>
        <v>0</v>
      </c>
      <c r="E229" s="71" t="s">
        <v>8</v>
      </c>
      <c r="F229" s="65"/>
      <c r="G229" s="65"/>
      <c r="H229" s="73"/>
      <c r="I229" s="54"/>
      <c r="J229" s="55"/>
      <c r="K229" s="55"/>
      <c r="L229" s="55"/>
    </row>
    <row r="230" spans="1:12" s="56" customFormat="1" ht="22.5">
      <c r="A230" s="69">
        <f>报舱数据!I59</f>
        <v>0</v>
      </c>
      <c r="B230" s="70">
        <f>报舱数据!F59</f>
        <v>0</v>
      </c>
      <c r="C230" s="71">
        <f>报舱数据!C59</f>
        <v>0</v>
      </c>
      <c r="D230" s="72">
        <f>报舱数据!D59</f>
        <v>0</v>
      </c>
      <c r="E230" s="71" t="s">
        <v>8</v>
      </c>
      <c r="F230" s="65"/>
      <c r="G230" s="65"/>
      <c r="H230" s="73"/>
      <c r="I230" s="54"/>
      <c r="J230" s="55"/>
      <c r="K230" s="55"/>
      <c r="L230" s="55"/>
    </row>
    <row r="231" spans="1:12" s="56" customFormat="1" ht="22.5">
      <c r="A231" s="69">
        <f>报舱数据!I60</f>
        <v>0</v>
      </c>
      <c r="B231" s="70">
        <f>报舱数据!F60</f>
        <v>0</v>
      </c>
      <c r="C231" s="71">
        <f>报舱数据!C60</f>
        <v>0</v>
      </c>
      <c r="D231" s="72">
        <f>报舱数据!D60</f>
        <v>0</v>
      </c>
      <c r="E231" s="71" t="s">
        <v>8</v>
      </c>
      <c r="F231" s="65"/>
      <c r="G231" s="65"/>
      <c r="H231" s="73"/>
      <c r="I231" s="54"/>
      <c r="J231" s="55"/>
      <c r="K231" s="55"/>
      <c r="L231" s="55"/>
    </row>
    <row r="232" spans="1:12" s="56" customFormat="1" ht="22.5">
      <c r="A232" s="69">
        <f>报舱数据!I61</f>
        <v>0</v>
      </c>
      <c r="B232" s="70">
        <f>报舱数据!F61</f>
        <v>0</v>
      </c>
      <c r="C232" s="71">
        <f>报舱数据!C61</f>
        <v>0</v>
      </c>
      <c r="D232" s="72">
        <f>报舱数据!D61</f>
        <v>0</v>
      </c>
      <c r="E232" s="71" t="s">
        <v>8</v>
      </c>
      <c r="F232" s="65"/>
      <c r="G232" s="65"/>
      <c r="H232" s="73"/>
      <c r="I232" s="54"/>
      <c r="J232" s="55"/>
      <c r="K232" s="55"/>
      <c r="L232" s="55"/>
    </row>
    <row r="233" spans="1:12" s="56" customFormat="1" ht="22.5">
      <c r="A233" s="69">
        <f>报舱数据!I62</f>
        <v>0</v>
      </c>
      <c r="B233" s="70">
        <f>报舱数据!F62</f>
        <v>0</v>
      </c>
      <c r="C233" s="71">
        <f>报舱数据!C62</f>
        <v>0</v>
      </c>
      <c r="D233" s="72">
        <f>报舱数据!D62</f>
        <v>0</v>
      </c>
      <c r="E233" s="71" t="s">
        <v>8</v>
      </c>
      <c r="F233" s="65"/>
      <c r="G233" s="65"/>
      <c r="H233" s="73"/>
      <c r="I233" s="54"/>
      <c r="J233" s="55"/>
      <c r="K233" s="55"/>
      <c r="L233" s="55"/>
    </row>
    <row r="234" spans="1:12" s="56" customFormat="1" ht="22.5">
      <c r="A234" s="69">
        <f>报舱数据!I63</f>
        <v>0</v>
      </c>
      <c r="B234" s="70">
        <f>报舱数据!F63</f>
        <v>0</v>
      </c>
      <c r="C234" s="71">
        <f>报舱数据!C63</f>
        <v>0</v>
      </c>
      <c r="D234" s="72">
        <f>报舱数据!D63</f>
        <v>0</v>
      </c>
      <c r="E234" s="71" t="s">
        <v>8</v>
      </c>
      <c r="F234" s="65"/>
      <c r="G234" s="65"/>
      <c r="H234" s="73"/>
      <c r="I234" s="54"/>
      <c r="J234" s="55"/>
      <c r="K234" s="55"/>
      <c r="L234" s="55"/>
    </row>
    <row r="235" spans="1:12" s="56" customFormat="1" ht="22.5">
      <c r="A235" s="69">
        <f>报舱数据!I64</f>
        <v>0</v>
      </c>
      <c r="B235" s="70">
        <f>报舱数据!F64</f>
        <v>0</v>
      </c>
      <c r="C235" s="71">
        <f>报舱数据!C64</f>
        <v>0</v>
      </c>
      <c r="D235" s="72">
        <f>报舱数据!D64</f>
        <v>0</v>
      </c>
      <c r="E235" s="71" t="s">
        <v>8</v>
      </c>
      <c r="F235" s="65"/>
      <c r="G235" s="65"/>
      <c r="H235" s="73"/>
      <c r="I235" s="54"/>
      <c r="J235" s="55"/>
      <c r="K235" s="55"/>
      <c r="L235" s="55"/>
    </row>
    <row r="236" spans="1:12" s="56" customFormat="1" ht="22.5">
      <c r="A236" s="69">
        <f>报舱数据!I65</f>
        <v>0</v>
      </c>
      <c r="B236" s="70">
        <f>报舱数据!F65</f>
        <v>0</v>
      </c>
      <c r="C236" s="71">
        <f>报舱数据!C65</f>
        <v>0</v>
      </c>
      <c r="D236" s="72">
        <f>报舱数据!D65</f>
        <v>0</v>
      </c>
      <c r="E236" s="71" t="s">
        <v>8</v>
      </c>
      <c r="F236" s="65"/>
      <c r="G236" s="65"/>
      <c r="H236" s="73"/>
      <c r="I236" s="54"/>
      <c r="J236" s="55"/>
      <c r="K236" s="55"/>
      <c r="L236" s="55"/>
    </row>
    <row r="237" spans="1:12" s="56" customFormat="1" ht="22.5">
      <c r="A237" s="69">
        <f>报舱数据!I66</f>
        <v>0</v>
      </c>
      <c r="B237" s="70">
        <f>报舱数据!F66</f>
        <v>0</v>
      </c>
      <c r="C237" s="71">
        <f>报舱数据!C66</f>
        <v>0</v>
      </c>
      <c r="D237" s="72">
        <f>报舱数据!D66</f>
        <v>0</v>
      </c>
      <c r="E237" s="71" t="s">
        <v>8</v>
      </c>
      <c r="F237" s="65"/>
      <c r="G237" s="65"/>
      <c r="H237" s="73"/>
      <c r="I237" s="54"/>
      <c r="J237" s="55"/>
      <c r="K237" s="55"/>
      <c r="L237" s="55"/>
    </row>
    <row r="238" spans="1:12" s="56" customFormat="1" ht="22.5">
      <c r="A238" s="69">
        <f>报舱数据!I67</f>
        <v>0</v>
      </c>
      <c r="B238" s="70">
        <f>报舱数据!F67</f>
        <v>0</v>
      </c>
      <c r="C238" s="71">
        <f>报舱数据!C67</f>
        <v>0</v>
      </c>
      <c r="D238" s="72">
        <f>报舱数据!D67</f>
        <v>0</v>
      </c>
      <c r="E238" s="71" t="s">
        <v>8</v>
      </c>
      <c r="F238" s="65"/>
      <c r="G238" s="65"/>
      <c r="H238" s="73"/>
      <c r="I238" s="54"/>
      <c r="J238" s="55"/>
      <c r="K238" s="55"/>
      <c r="L238" s="55"/>
    </row>
    <row r="239" spans="1:12" s="56" customFormat="1" ht="22.5">
      <c r="A239" s="69">
        <f>报舱数据!I68</f>
        <v>0</v>
      </c>
      <c r="B239" s="70">
        <f>报舱数据!F68</f>
        <v>0</v>
      </c>
      <c r="C239" s="71">
        <f>报舱数据!C68</f>
        <v>0</v>
      </c>
      <c r="D239" s="72">
        <f>报舱数据!D68</f>
        <v>0</v>
      </c>
      <c r="E239" s="71" t="s">
        <v>8</v>
      </c>
      <c r="F239" s="65"/>
      <c r="G239" s="65"/>
      <c r="H239" s="73"/>
      <c r="I239" s="54"/>
      <c r="J239" s="55"/>
      <c r="K239" s="55"/>
      <c r="L239" s="55"/>
    </row>
    <row r="240" spans="1:12" s="56" customFormat="1" ht="22.5">
      <c r="A240" s="69">
        <f>报舱数据!I69</f>
        <v>0</v>
      </c>
      <c r="B240" s="70">
        <f>报舱数据!F69</f>
        <v>0</v>
      </c>
      <c r="C240" s="71">
        <f>报舱数据!C69</f>
        <v>0</v>
      </c>
      <c r="D240" s="72">
        <f>报舱数据!D69</f>
        <v>0</v>
      </c>
      <c r="E240" s="71" t="s">
        <v>8</v>
      </c>
      <c r="F240" s="65"/>
      <c r="G240" s="65"/>
      <c r="H240" s="73"/>
      <c r="I240" s="54"/>
      <c r="J240" s="55"/>
      <c r="K240" s="55"/>
      <c r="L240" s="55"/>
    </row>
    <row r="241" spans="1:12" s="56" customFormat="1" ht="22.5">
      <c r="A241" s="69">
        <f>报舱数据!I70</f>
        <v>0</v>
      </c>
      <c r="B241" s="70">
        <f>报舱数据!F70</f>
        <v>0</v>
      </c>
      <c r="C241" s="71">
        <f>报舱数据!C70</f>
        <v>0</v>
      </c>
      <c r="D241" s="72">
        <f>报舱数据!D70</f>
        <v>0</v>
      </c>
      <c r="E241" s="71" t="s">
        <v>8</v>
      </c>
      <c r="F241" s="65"/>
      <c r="G241" s="65"/>
      <c r="H241" s="73"/>
      <c r="I241" s="54"/>
      <c r="J241" s="55"/>
      <c r="K241" s="55"/>
      <c r="L241" s="55"/>
    </row>
    <row r="242" spans="1:12" s="56" customFormat="1" ht="22.5">
      <c r="A242" s="69">
        <f>报舱数据!I71</f>
        <v>0</v>
      </c>
      <c r="B242" s="70">
        <f>报舱数据!F71</f>
        <v>0</v>
      </c>
      <c r="C242" s="71">
        <f>报舱数据!C71</f>
        <v>0</v>
      </c>
      <c r="D242" s="72">
        <f>报舱数据!D71</f>
        <v>0</v>
      </c>
      <c r="E242" s="71" t="s">
        <v>8</v>
      </c>
      <c r="F242" s="65"/>
      <c r="G242" s="65"/>
      <c r="H242" s="73"/>
      <c r="I242" s="54"/>
      <c r="J242" s="55"/>
      <c r="K242" s="55"/>
      <c r="L242" s="55"/>
    </row>
    <row r="243" spans="1:12" s="56" customFormat="1" ht="22.5">
      <c r="A243" s="69">
        <f>报舱数据!I72</f>
        <v>0</v>
      </c>
      <c r="B243" s="70">
        <f>报舱数据!F72</f>
        <v>0</v>
      </c>
      <c r="C243" s="71">
        <f>报舱数据!C72</f>
        <v>0</v>
      </c>
      <c r="D243" s="72">
        <f>报舱数据!D72</f>
        <v>0</v>
      </c>
      <c r="E243" s="71" t="s">
        <v>8</v>
      </c>
      <c r="F243" s="65"/>
      <c r="G243" s="65"/>
      <c r="H243" s="73"/>
      <c r="I243" s="54"/>
      <c r="J243" s="55"/>
      <c r="K243" s="55"/>
      <c r="L243" s="55"/>
    </row>
    <row r="244" spans="1:12" s="56" customFormat="1" ht="22.5">
      <c r="A244" s="69">
        <f>报舱数据!I73</f>
        <v>0</v>
      </c>
      <c r="B244" s="70">
        <f>报舱数据!F73</f>
        <v>0</v>
      </c>
      <c r="C244" s="71">
        <f>报舱数据!C73</f>
        <v>0</v>
      </c>
      <c r="D244" s="72">
        <f>报舱数据!D73</f>
        <v>0</v>
      </c>
      <c r="E244" s="71" t="s">
        <v>8</v>
      </c>
      <c r="F244" s="65"/>
      <c r="G244" s="65"/>
      <c r="H244" s="73"/>
      <c r="I244" s="54"/>
      <c r="J244" s="55"/>
      <c r="K244" s="55"/>
      <c r="L244" s="55"/>
    </row>
    <row r="245" spans="1:12" s="56" customFormat="1" ht="22.5">
      <c r="A245" s="69">
        <f>报舱数据!I74</f>
        <v>0</v>
      </c>
      <c r="B245" s="70">
        <f>报舱数据!F74</f>
        <v>0</v>
      </c>
      <c r="C245" s="71">
        <f>报舱数据!C74</f>
        <v>0</v>
      </c>
      <c r="D245" s="72">
        <f>报舱数据!D74</f>
        <v>0</v>
      </c>
      <c r="E245" s="71" t="s">
        <v>8</v>
      </c>
      <c r="F245" s="65"/>
      <c r="G245" s="65"/>
      <c r="H245" s="73"/>
      <c r="I245" s="54"/>
      <c r="J245" s="55"/>
      <c r="K245" s="55"/>
      <c r="L245" s="55"/>
    </row>
    <row r="246" spans="1:12" s="56" customFormat="1" ht="22.5">
      <c r="A246" s="69">
        <f>报舱数据!I75</f>
        <v>0</v>
      </c>
      <c r="B246" s="70">
        <f>报舱数据!F75</f>
        <v>0</v>
      </c>
      <c r="C246" s="71">
        <f>报舱数据!C75</f>
        <v>0</v>
      </c>
      <c r="D246" s="72">
        <f>报舱数据!D75</f>
        <v>0</v>
      </c>
      <c r="E246" s="71" t="s">
        <v>8</v>
      </c>
      <c r="F246" s="65"/>
      <c r="G246" s="65"/>
      <c r="H246" s="73"/>
      <c r="I246" s="54"/>
      <c r="J246" s="55"/>
      <c r="K246" s="55"/>
      <c r="L246" s="55"/>
    </row>
    <row r="247" spans="1:12" s="56" customFormat="1" ht="22.5">
      <c r="A247" s="69">
        <f>报舱数据!I76</f>
        <v>0</v>
      </c>
      <c r="B247" s="70">
        <f>报舱数据!F76</f>
        <v>0</v>
      </c>
      <c r="C247" s="71">
        <f>报舱数据!C76</f>
        <v>0</v>
      </c>
      <c r="D247" s="72">
        <f>报舱数据!D76</f>
        <v>0</v>
      </c>
      <c r="E247" s="71" t="s">
        <v>8</v>
      </c>
      <c r="F247" s="65"/>
      <c r="G247" s="65"/>
      <c r="H247" s="73"/>
      <c r="I247" s="54"/>
      <c r="J247" s="55"/>
      <c r="K247" s="55"/>
      <c r="L247" s="55"/>
    </row>
    <row r="248" spans="1:12" s="56" customFormat="1" ht="22.5">
      <c r="A248" s="69">
        <f>报舱数据!I77</f>
        <v>0</v>
      </c>
      <c r="B248" s="70">
        <f>报舱数据!F77</f>
        <v>0</v>
      </c>
      <c r="C248" s="71">
        <f>报舱数据!C77</f>
        <v>0</v>
      </c>
      <c r="D248" s="72">
        <f>报舱数据!D77</f>
        <v>0</v>
      </c>
      <c r="E248" s="71" t="s">
        <v>8</v>
      </c>
      <c r="F248" s="65"/>
      <c r="G248" s="65"/>
      <c r="H248" s="73"/>
      <c r="I248" s="54"/>
      <c r="J248" s="55"/>
      <c r="K248" s="55"/>
      <c r="L248" s="55"/>
    </row>
    <row r="249" spans="1:12" s="56" customFormat="1" ht="22.5">
      <c r="A249" s="69">
        <f>报舱数据!I78</f>
        <v>0</v>
      </c>
      <c r="B249" s="70">
        <f>报舱数据!F78</f>
        <v>0</v>
      </c>
      <c r="C249" s="71">
        <f>报舱数据!C78</f>
        <v>0</v>
      </c>
      <c r="D249" s="72">
        <f>报舱数据!D78</f>
        <v>0</v>
      </c>
      <c r="E249" s="71" t="s">
        <v>8</v>
      </c>
      <c r="F249" s="65"/>
      <c r="G249" s="65"/>
      <c r="H249" s="73"/>
      <c r="I249" s="54"/>
      <c r="J249" s="55"/>
      <c r="K249" s="55"/>
      <c r="L249" s="55"/>
    </row>
    <row r="250" spans="1:12" s="56" customFormat="1" ht="22.5">
      <c r="A250" s="69">
        <f>报舱数据!I79</f>
        <v>0</v>
      </c>
      <c r="B250" s="70">
        <f>报舱数据!F79</f>
        <v>0</v>
      </c>
      <c r="C250" s="71">
        <f>报舱数据!C79</f>
        <v>0</v>
      </c>
      <c r="D250" s="72">
        <f>报舱数据!D79</f>
        <v>0</v>
      </c>
      <c r="E250" s="71" t="s">
        <v>8</v>
      </c>
      <c r="F250" s="65"/>
      <c r="G250" s="65"/>
      <c r="H250" s="73"/>
      <c r="I250" s="54"/>
      <c r="J250" s="55"/>
      <c r="K250" s="55"/>
      <c r="L250" s="55"/>
    </row>
    <row r="251" spans="1:12" s="56" customFormat="1" ht="22.5">
      <c r="A251" s="69">
        <f>报舱数据!I80</f>
        <v>0</v>
      </c>
      <c r="B251" s="70">
        <f>报舱数据!F80</f>
        <v>0</v>
      </c>
      <c r="C251" s="71">
        <f>报舱数据!C80</f>
        <v>0</v>
      </c>
      <c r="D251" s="72">
        <f>报舱数据!D80</f>
        <v>0</v>
      </c>
      <c r="E251" s="71" t="s">
        <v>8</v>
      </c>
      <c r="F251" s="65"/>
      <c r="G251" s="65"/>
      <c r="H251" s="73"/>
      <c r="I251" s="54"/>
      <c r="J251" s="55"/>
      <c r="K251" s="55"/>
      <c r="L251" s="55"/>
    </row>
    <row r="252" spans="1:12" s="56" customFormat="1" ht="22.5">
      <c r="A252" s="69">
        <f>报舱数据!I81</f>
        <v>0</v>
      </c>
      <c r="B252" s="70">
        <f>报舱数据!F81</f>
        <v>0</v>
      </c>
      <c r="C252" s="71">
        <f>报舱数据!C81</f>
        <v>0</v>
      </c>
      <c r="D252" s="72">
        <f>报舱数据!D81</f>
        <v>0</v>
      </c>
      <c r="E252" s="71" t="s">
        <v>8</v>
      </c>
      <c r="F252" s="65"/>
      <c r="G252" s="65"/>
      <c r="H252" s="73"/>
      <c r="I252" s="54"/>
      <c r="J252" s="55"/>
      <c r="K252" s="55"/>
      <c r="L252" s="55"/>
    </row>
    <row r="253" spans="1:12" s="56" customFormat="1" ht="22.5">
      <c r="A253" s="69">
        <f>报舱数据!I82</f>
        <v>0</v>
      </c>
      <c r="B253" s="70">
        <f>报舱数据!F82</f>
        <v>0</v>
      </c>
      <c r="C253" s="71">
        <f>报舱数据!C82</f>
        <v>0</v>
      </c>
      <c r="D253" s="72">
        <f>报舱数据!D82</f>
        <v>0</v>
      </c>
      <c r="E253" s="71" t="s">
        <v>8</v>
      </c>
      <c r="F253" s="65"/>
      <c r="G253" s="65"/>
      <c r="H253" s="73"/>
      <c r="I253" s="54"/>
      <c r="J253" s="55"/>
      <c r="K253" s="55"/>
      <c r="L253" s="55"/>
    </row>
    <row r="254" spans="1:12" s="56" customFormat="1" ht="16.5">
      <c r="A254" s="74"/>
      <c r="B254" s="65"/>
      <c r="C254" s="65"/>
      <c r="D254" s="65"/>
      <c r="E254" s="65"/>
      <c r="F254" s="65"/>
      <c r="G254" s="65"/>
      <c r="H254" s="73"/>
      <c r="I254" s="54"/>
      <c r="J254" s="55"/>
      <c r="K254" s="55"/>
      <c r="L254" s="55"/>
    </row>
    <row r="255" spans="1:12" s="78" customFormat="1" ht="16.5">
      <c r="A255" s="75"/>
      <c r="B255" s="32"/>
      <c r="C255" s="32"/>
      <c r="D255" s="32"/>
      <c r="E255" s="32"/>
      <c r="F255" s="32"/>
      <c r="G255" s="32"/>
      <c r="H255" s="76"/>
      <c r="I255" s="77"/>
    </row>
    <row r="256" spans="1:12" s="78" customFormat="1" ht="16.5">
      <c r="A256" s="75"/>
      <c r="B256" s="32"/>
      <c r="C256" s="32"/>
      <c r="D256" s="32"/>
      <c r="E256" s="32"/>
      <c r="F256" s="32"/>
      <c r="G256" s="32"/>
      <c r="H256" s="76"/>
      <c r="I256" s="77"/>
    </row>
    <row r="257" spans="1:9" s="78" customFormat="1" ht="16.5">
      <c r="A257" s="75"/>
      <c r="B257" s="32"/>
      <c r="C257" s="32"/>
      <c r="D257" s="32"/>
      <c r="E257" s="32"/>
      <c r="F257" s="32"/>
      <c r="G257" s="32"/>
      <c r="H257" s="76"/>
      <c r="I257" s="77"/>
    </row>
    <row r="258" spans="1:9" s="78" customFormat="1" ht="16.5">
      <c r="A258" s="75"/>
      <c r="B258" s="32"/>
      <c r="C258" s="32"/>
      <c r="D258" s="32"/>
      <c r="E258" s="32"/>
      <c r="F258" s="32"/>
      <c r="G258" s="32"/>
      <c r="H258" s="76"/>
      <c r="I258" s="77"/>
    </row>
    <row r="259" spans="1:9" s="78" customFormat="1" ht="16.5">
      <c r="A259" s="75"/>
      <c r="B259" s="32"/>
      <c r="C259" s="32"/>
      <c r="D259" s="32"/>
      <c r="E259" s="32"/>
      <c r="F259" s="32"/>
      <c r="G259" s="32"/>
      <c r="H259" s="76"/>
      <c r="I259" s="77"/>
    </row>
    <row r="260" spans="1:9" s="78" customFormat="1" ht="16.5">
      <c r="A260" s="75"/>
      <c r="B260" s="32"/>
      <c r="C260" s="32"/>
      <c r="D260" s="32"/>
      <c r="E260" s="32"/>
      <c r="F260" s="32"/>
      <c r="G260" s="32"/>
      <c r="H260" s="76"/>
      <c r="I260" s="77"/>
    </row>
    <row r="261" spans="1:9" s="78" customFormat="1" ht="16.5">
      <c r="A261" s="75"/>
      <c r="B261" s="32"/>
      <c r="C261" s="32"/>
      <c r="D261" s="32"/>
      <c r="E261" s="32"/>
      <c r="F261" s="32"/>
      <c r="G261" s="32"/>
      <c r="H261" s="76"/>
      <c r="I261" s="77"/>
    </row>
    <row r="262" spans="1:9" s="78" customFormat="1" ht="16.5">
      <c r="A262" s="75"/>
      <c r="B262" s="32"/>
      <c r="C262" s="32"/>
      <c r="D262" s="32"/>
      <c r="E262" s="32"/>
      <c r="F262" s="32"/>
      <c r="G262" s="32"/>
      <c r="H262" s="76"/>
      <c r="I262" s="77"/>
    </row>
    <row r="263" spans="1:9" s="78" customFormat="1" ht="16.5">
      <c r="A263" s="75"/>
      <c r="B263" s="32"/>
      <c r="C263" s="32"/>
      <c r="D263" s="32"/>
      <c r="E263" s="32"/>
      <c r="F263" s="32"/>
      <c r="G263" s="32"/>
      <c r="H263" s="76"/>
      <c r="I263" s="77"/>
    </row>
    <row r="264" spans="1:9" s="78" customFormat="1" ht="16.5">
      <c r="A264" s="75"/>
      <c r="B264" s="32"/>
      <c r="C264" s="32"/>
      <c r="D264" s="32"/>
      <c r="E264" s="32"/>
      <c r="F264" s="32"/>
      <c r="G264" s="32"/>
      <c r="H264" s="76"/>
      <c r="I264" s="77"/>
    </row>
    <row r="265" spans="1:9" s="78" customFormat="1" ht="16.5">
      <c r="A265" s="75"/>
      <c r="B265" s="32"/>
      <c r="C265" s="32"/>
      <c r="D265" s="32"/>
      <c r="E265" s="32"/>
      <c r="F265" s="32"/>
      <c r="G265" s="32"/>
      <c r="H265" s="76"/>
      <c r="I265" s="77"/>
    </row>
    <row r="266" spans="1:9" s="78" customFormat="1" ht="16.5">
      <c r="A266" s="75"/>
      <c r="B266" s="32"/>
      <c r="C266" s="32"/>
      <c r="D266" s="32"/>
      <c r="E266" s="32"/>
      <c r="F266" s="32"/>
      <c r="G266" s="32"/>
      <c r="H266" s="76"/>
      <c r="I266" s="77"/>
    </row>
    <row r="267" spans="1:9" s="78" customFormat="1" ht="16.5">
      <c r="A267" s="75"/>
      <c r="B267" s="32"/>
      <c r="C267" s="32"/>
      <c r="D267" s="32"/>
      <c r="E267" s="32"/>
      <c r="F267" s="32"/>
      <c r="G267" s="32"/>
      <c r="H267" s="76"/>
      <c r="I267" s="77"/>
    </row>
    <row r="268" spans="1:9" s="78" customFormat="1" ht="16.5">
      <c r="A268" s="75"/>
      <c r="B268" s="32"/>
      <c r="C268" s="32"/>
      <c r="D268" s="32"/>
      <c r="E268" s="32"/>
      <c r="F268" s="32"/>
      <c r="G268" s="32"/>
      <c r="H268" s="76"/>
      <c r="I268" s="77"/>
    </row>
    <row r="269" spans="1:9" s="78" customFormat="1" ht="16.5">
      <c r="A269" s="75"/>
      <c r="B269" s="32"/>
      <c r="C269" s="32"/>
      <c r="D269" s="32"/>
      <c r="E269" s="32"/>
      <c r="F269" s="32"/>
      <c r="G269" s="32"/>
      <c r="H269" s="76"/>
      <c r="I269" s="77"/>
    </row>
    <row r="270" spans="1:9" s="78" customFormat="1" ht="16.5">
      <c r="A270" s="75"/>
      <c r="B270" s="32"/>
      <c r="C270" s="32"/>
      <c r="D270" s="32"/>
      <c r="E270" s="32"/>
      <c r="F270" s="32"/>
      <c r="G270" s="32"/>
      <c r="H270" s="76"/>
      <c r="I270" s="77"/>
    </row>
    <row r="271" spans="1:9" s="78" customFormat="1" ht="16.5">
      <c r="A271" s="75"/>
      <c r="B271" s="32"/>
      <c r="C271" s="32"/>
      <c r="D271" s="32"/>
      <c r="E271" s="32"/>
      <c r="F271" s="32"/>
      <c r="G271" s="32"/>
      <c r="H271" s="76"/>
      <c r="I271" s="77"/>
    </row>
    <row r="272" spans="1:9" s="78" customFormat="1" ht="16.5">
      <c r="A272" s="75"/>
      <c r="B272" s="32"/>
      <c r="C272" s="32"/>
      <c r="D272" s="32"/>
      <c r="E272" s="32"/>
      <c r="F272" s="32"/>
      <c r="G272" s="32"/>
      <c r="H272" s="76"/>
      <c r="I272" s="77"/>
    </row>
    <row r="273" spans="1:9" s="78" customFormat="1" ht="16.5">
      <c r="A273" s="75"/>
      <c r="B273" s="32"/>
      <c r="C273" s="32"/>
      <c r="D273" s="32"/>
      <c r="E273" s="32"/>
      <c r="F273" s="32"/>
      <c r="G273" s="32"/>
      <c r="H273" s="76"/>
      <c r="I273" s="77"/>
    </row>
    <row r="274" spans="1:9" s="78" customFormat="1" ht="16.5">
      <c r="A274" s="75"/>
      <c r="B274" s="32"/>
      <c r="C274" s="32"/>
      <c r="D274" s="32"/>
      <c r="E274" s="32"/>
      <c r="F274" s="32"/>
      <c r="G274" s="32"/>
      <c r="H274" s="76"/>
      <c r="I274" s="77"/>
    </row>
    <row r="275" spans="1:9" s="78" customFormat="1" ht="16.5">
      <c r="A275" s="75"/>
      <c r="B275" s="32"/>
      <c r="C275" s="32"/>
      <c r="D275" s="32"/>
      <c r="E275" s="32"/>
      <c r="F275" s="32"/>
      <c r="G275" s="32"/>
      <c r="H275" s="76"/>
      <c r="I275" s="77"/>
    </row>
    <row r="276" spans="1:9" s="78" customFormat="1" ht="16.5">
      <c r="A276" s="75"/>
      <c r="B276" s="32"/>
      <c r="C276" s="32"/>
      <c r="D276" s="32"/>
      <c r="E276" s="32"/>
      <c r="F276" s="32"/>
      <c r="G276" s="32"/>
      <c r="H276" s="76"/>
      <c r="I276" s="77"/>
    </row>
    <row r="277" spans="1:9" s="78" customFormat="1" ht="16.5">
      <c r="A277" s="75"/>
      <c r="B277" s="32"/>
      <c r="C277" s="32"/>
      <c r="D277" s="32"/>
      <c r="E277" s="32"/>
      <c r="F277" s="32"/>
      <c r="G277" s="32"/>
      <c r="H277" s="76"/>
      <c r="I277" s="77"/>
    </row>
    <row r="278" spans="1:9" s="78" customFormat="1" ht="16.5">
      <c r="A278" s="75"/>
      <c r="B278" s="32"/>
      <c r="C278" s="32"/>
      <c r="D278" s="32"/>
      <c r="E278" s="32"/>
      <c r="F278" s="32"/>
      <c r="G278" s="32"/>
      <c r="H278" s="76"/>
      <c r="I278" s="77"/>
    </row>
    <row r="279" spans="1:9" s="78" customFormat="1" ht="16.5">
      <c r="A279" s="75"/>
      <c r="B279" s="32"/>
      <c r="C279" s="32"/>
      <c r="D279" s="32"/>
      <c r="E279" s="32"/>
      <c r="F279" s="32"/>
      <c r="G279" s="32"/>
      <c r="H279" s="76"/>
      <c r="I279" s="77"/>
    </row>
    <row r="280" spans="1:9" s="78" customFormat="1" ht="16.5">
      <c r="A280" s="75"/>
      <c r="B280" s="32"/>
      <c r="C280" s="32"/>
      <c r="D280" s="32"/>
      <c r="E280" s="32"/>
      <c r="F280" s="32"/>
      <c r="G280" s="32"/>
      <c r="H280" s="76"/>
      <c r="I280" s="77"/>
    </row>
    <row r="281" spans="1:9" s="78" customFormat="1" ht="16.5">
      <c r="A281" s="75"/>
      <c r="B281" s="32"/>
      <c r="C281" s="32"/>
      <c r="D281" s="32"/>
      <c r="E281" s="32"/>
      <c r="F281" s="32"/>
      <c r="G281" s="32"/>
      <c r="H281" s="76"/>
      <c r="I281" s="77"/>
    </row>
    <row r="282" spans="1:9" s="78" customFormat="1" ht="16.5">
      <c r="A282" s="75"/>
      <c r="B282" s="32"/>
      <c r="C282" s="32"/>
      <c r="D282" s="32"/>
      <c r="E282" s="32"/>
      <c r="F282" s="32"/>
      <c r="G282" s="32"/>
      <c r="H282" s="76"/>
      <c r="I282" s="77"/>
    </row>
    <row r="283" spans="1:9" s="78" customFormat="1" ht="16.5">
      <c r="A283" s="75"/>
      <c r="B283" s="32"/>
      <c r="C283" s="32"/>
      <c r="D283" s="32"/>
      <c r="E283" s="32"/>
      <c r="F283" s="32"/>
      <c r="G283" s="32"/>
      <c r="H283" s="76"/>
      <c r="I283" s="77"/>
    </row>
    <row r="284" spans="1:9" s="78" customFormat="1" ht="16.5">
      <c r="A284" s="75"/>
      <c r="B284" s="32"/>
      <c r="C284" s="32"/>
      <c r="D284" s="32"/>
      <c r="E284" s="32"/>
      <c r="F284" s="32"/>
      <c r="G284" s="32"/>
      <c r="H284" s="76"/>
      <c r="I284" s="77"/>
    </row>
    <row r="285" spans="1:9" s="78" customFormat="1" ht="16.5">
      <c r="A285" s="75"/>
      <c r="B285" s="32"/>
      <c r="C285" s="32"/>
      <c r="D285" s="32"/>
      <c r="E285" s="32"/>
      <c r="F285" s="32"/>
      <c r="G285" s="32"/>
      <c r="H285" s="76"/>
      <c r="I285" s="77"/>
    </row>
    <row r="286" spans="1:9" s="78" customFormat="1" ht="16.5">
      <c r="A286" s="75"/>
      <c r="B286" s="32"/>
      <c r="C286" s="32"/>
      <c r="D286" s="32"/>
      <c r="E286" s="32"/>
      <c r="F286" s="32"/>
      <c r="G286" s="32"/>
      <c r="H286" s="76"/>
      <c r="I286" s="77"/>
    </row>
    <row r="287" spans="1:9" s="78" customFormat="1" ht="16.5">
      <c r="A287" s="75"/>
      <c r="B287" s="32"/>
      <c r="C287" s="32"/>
      <c r="D287" s="32"/>
      <c r="E287" s="32"/>
      <c r="F287" s="32"/>
      <c r="G287" s="32"/>
      <c r="H287" s="76"/>
      <c r="I287" s="77"/>
    </row>
    <row r="288" spans="1:9" s="78" customFormat="1" ht="16.5">
      <c r="A288" s="75"/>
      <c r="B288" s="32"/>
      <c r="C288" s="32"/>
      <c r="D288" s="32"/>
      <c r="E288" s="32"/>
      <c r="F288" s="32"/>
      <c r="G288" s="32"/>
      <c r="H288" s="76"/>
      <c r="I288" s="77"/>
    </row>
    <row r="289" spans="1:9" s="78" customFormat="1" ht="16.5">
      <c r="A289" s="75"/>
      <c r="B289" s="32"/>
      <c r="C289" s="32"/>
      <c r="D289" s="32"/>
      <c r="E289" s="32"/>
      <c r="F289" s="32"/>
      <c r="G289" s="32"/>
      <c r="H289" s="76"/>
      <c r="I289" s="77"/>
    </row>
    <row r="290" spans="1:9" s="78" customFormat="1" ht="16.5">
      <c r="A290" s="75"/>
      <c r="B290" s="32"/>
      <c r="C290" s="32"/>
      <c r="D290" s="32"/>
      <c r="E290" s="32"/>
      <c r="F290" s="32"/>
      <c r="G290" s="32"/>
      <c r="H290" s="76"/>
      <c r="I290" s="77"/>
    </row>
    <row r="291" spans="1:9" s="78" customFormat="1" ht="16.5">
      <c r="A291" s="75"/>
      <c r="B291" s="32"/>
      <c r="C291" s="32"/>
      <c r="D291" s="32"/>
      <c r="E291" s="32"/>
      <c r="F291" s="32"/>
      <c r="G291" s="32"/>
      <c r="H291" s="76"/>
      <c r="I291" s="77"/>
    </row>
    <row r="292" spans="1:9" s="78" customFormat="1" ht="16.5">
      <c r="A292" s="75"/>
      <c r="B292" s="32"/>
      <c r="C292" s="32"/>
      <c r="D292" s="32"/>
      <c r="E292" s="32"/>
      <c r="F292" s="32"/>
      <c r="G292" s="32"/>
      <c r="H292" s="76"/>
      <c r="I292" s="77"/>
    </row>
    <row r="293" spans="1:9" s="78" customFormat="1" ht="16.5">
      <c r="A293" s="75"/>
      <c r="B293" s="32"/>
      <c r="C293" s="32"/>
      <c r="D293" s="32"/>
      <c r="E293" s="32"/>
      <c r="F293" s="32"/>
      <c r="G293" s="32"/>
      <c r="H293" s="76"/>
      <c r="I293" s="77"/>
    </row>
    <row r="294" spans="1:9" s="78" customFormat="1" ht="16.5">
      <c r="A294" s="75"/>
      <c r="B294" s="32"/>
      <c r="C294" s="32"/>
      <c r="D294" s="32"/>
      <c r="E294" s="32"/>
      <c r="F294" s="32"/>
      <c r="G294" s="32"/>
      <c r="H294" s="76"/>
      <c r="I294" s="77"/>
    </row>
    <row r="295" spans="1:9" s="78" customFormat="1" ht="16.5">
      <c r="A295" s="75"/>
      <c r="B295" s="32"/>
      <c r="C295" s="32"/>
      <c r="D295" s="32"/>
      <c r="E295" s="32"/>
      <c r="F295" s="32"/>
      <c r="G295" s="32"/>
      <c r="H295" s="76"/>
      <c r="I295" s="77"/>
    </row>
    <row r="296" spans="1:9" s="78" customFormat="1" ht="16.5">
      <c r="A296" s="75"/>
      <c r="B296" s="32"/>
      <c r="C296" s="32"/>
      <c r="D296" s="32"/>
      <c r="E296" s="32"/>
      <c r="F296" s="32"/>
      <c r="G296" s="32"/>
      <c r="H296" s="76"/>
      <c r="I296" s="77"/>
    </row>
    <row r="297" spans="1:9" s="78" customFormat="1" ht="16.5">
      <c r="A297" s="75"/>
      <c r="B297" s="32"/>
      <c r="C297" s="32"/>
      <c r="D297" s="32"/>
      <c r="E297" s="32"/>
      <c r="F297" s="32"/>
      <c r="G297" s="32"/>
      <c r="H297" s="76"/>
      <c r="I297" s="77"/>
    </row>
    <row r="298" spans="1:9" s="78" customFormat="1" ht="16.5">
      <c r="A298" s="75"/>
      <c r="B298" s="32"/>
      <c r="C298" s="32"/>
      <c r="D298" s="32"/>
      <c r="E298" s="32"/>
      <c r="F298" s="32"/>
      <c r="G298" s="32"/>
      <c r="H298" s="76"/>
      <c r="I298" s="77"/>
    </row>
    <row r="299" spans="1:9" s="78" customFormat="1" ht="16.5">
      <c r="A299" s="75"/>
      <c r="B299" s="32"/>
      <c r="C299" s="32"/>
      <c r="D299" s="32"/>
      <c r="E299" s="32"/>
      <c r="F299" s="32"/>
      <c r="G299" s="32"/>
      <c r="H299" s="76"/>
      <c r="I299" s="77"/>
    </row>
    <row r="300" spans="1:9" s="78" customFormat="1" ht="16.5">
      <c r="A300" s="75"/>
      <c r="B300" s="32"/>
      <c r="C300" s="32"/>
      <c r="D300" s="32"/>
      <c r="E300" s="32"/>
      <c r="F300" s="32"/>
      <c r="G300" s="32"/>
      <c r="H300" s="76"/>
      <c r="I300" s="77"/>
    </row>
    <row r="301" spans="1:9" s="78" customFormat="1" ht="16.5">
      <c r="A301" s="75"/>
      <c r="B301" s="32"/>
      <c r="C301" s="32"/>
      <c r="D301" s="32"/>
      <c r="E301" s="32"/>
      <c r="F301" s="32"/>
      <c r="G301" s="32"/>
      <c r="H301" s="76"/>
      <c r="I301" s="77"/>
    </row>
    <row r="302" spans="1:9" s="78" customFormat="1" ht="16.5">
      <c r="A302" s="75"/>
      <c r="B302" s="32"/>
      <c r="C302" s="32"/>
      <c r="D302" s="32"/>
      <c r="E302" s="32"/>
      <c r="F302" s="32"/>
      <c r="G302" s="32"/>
      <c r="H302" s="76"/>
      <c r="I302" s="77"/>
    </row>
    <row r="303" spans="1:9" s="78" customFormat="1" ht="16.5">
      <c r="A303" s="75"/>
      <c r="B303" s="32"/>
      <c r="C303" s="32"/>
      <c r="D303" s="32"/>
      <c r="E303" s="32"/>
      <c r="F303" s="32"/>
      <c r="G303" s="32"/>
      <c r="H303" s="76"/>
      <c r="I303" s="77"/>
    </row>
    <row r="304" spans="1:9" s="78" customFormat="1" ht="16.5">
      <c r="A304" s="75"/>
      <c r="B304" s="32"/>
      <c r="C304" s="32"/>
      <c r="D304" s="32"/>
      <c r="E304" s="32"/>
      <c r="F304" s="32"/>
      <c r="G304" s="32"/>
      <c r="H304" s="76"/>
      <c r="I304" s="77"/>
    </row>
    <row r="305" spans="1:9" s="78" customFormat="1" ht="16.5">
      <c r="A305" s="75"/>
      <c r="B305" s="32"/>
      <c r="C305" s="32"/>
      <c r="D305" s="32"/>
      <c r="E305" s="32"/>
      <c r="F305" s="32"/>
      <c r="G305" s="32"/>
      <c r="H305" s="76"/>
      <c r="I305" s="77"/>
    </row>
    <row r="306" spans="1:9" s="78" customFormat="1" ht="16.5">
      <c r="A306" s="75"/>
      <c r="B306" s="32"/>
      <c r="C306" s="32"/>
      <c r="D306" s="32"/>
      <c r="E306" s="32"/>
      <c r="F306" s="32"/>
      <c r="G306" s="32"/>
      <c r="H306" s="76"/>
      <c r="I306" s="77"/>
    </row>
    <row r="307" spans="1:9" s="78" customFormat="1" ht="16.5">
      <c r="A307" s="75"/>
      <c r="B307" s="32"/>
      <c r="C307" s="32"/>
      <c r="D307" s="32"/>
      <c r="E307" s="32"/>
      <c r="F307" s="32"/>
      <c r="G307" s="32"/>
      <c r="H307" s="76"/>
      <c r="I307" s="77"/>
    </row>
    <row r="308" spans="1:9" s="78" customFormat="1" ht="16.5">
      <c r="A308" s="75"/>
      <c r="B308" s="32"/>
      <c r="C308" s="32"/>
      <c r="D308" s="32"/>
      <c r="E308" s="32"/>
      <c r="F308" s="32"/>
      <c r="G308" s="32"/>
      <c r="H308" s="76"/>
      <c r="I308" s="77"/>
    </row>
    <row r="309" spans="1:9" s="78" customFormat="1" ht="16.5">
      <c r="A309" s="75"/>
      <c r="B309" s="32"/>
      <c r="C309" s="32"/>
      <c r="D309" s="32"/>
      <c r="E309" s="32"/>
      <c r="F309" s="32"/>
      <c r="G309" s="32"/>
      <c r="H309" s="76"/>
      <c r="I309" s="77"/>
    </row>
    <row r="310" spans="1:9" s="78" customFormat="1" ht="16.5">
      <c r="A310" s="75"/>
      <c r="B310" s="32"/>
      <c r="C310" s="32"/>
      <c r="D310" s="32"/>
      <c r="E310" s="32"/>
      <c r="F310" s="32"/>
      <c r="G310" s="32"/>
      <c r="H310" s="76"/>
      <c r="I310" s="77"/>
    </row>
    <row r="311" spans="1:9" s="78" customFormat="1" ht="16.5">
      <c r="A311" s="75"/>
      <c r="B311" s="32"/>
      <c r="C311" s="32"/>
      <c r="D311" s="32"/>
      <c r="E311" s="32"/>
      <c r="F311" s="32"/>
      <c r="G311" s="32"/>
      <c r="H311" s="76"/>
      <c r="I311" s="77"/>
    </row>
    <row r="312" spans="1:9" s="78" customFormat="1" ht="16.5">
      <c r="A312" s="75"/>
      <c r="B312" s="32"/>
      <c r="C312" s="32"/>
      <c r="D312" s="32"/>
      <c r="E312" s="32"/>
      <c r="F312" s="32"/>
      <c r="G312" s="32"/>
      <c r="H312" s="76"/>
      <c r="I312" s="77"/>
    </row>
    <row r="313" spans="1:9" s="78" customFormat="1" ht="16.5">
      <c r="A313" s="75"/>
      <c r="B313" s="32"/>
      <c r="C313" s="32"/>
      <c r="D313" s="32"/>
      <c r="E313" s="32"/>
      <c r="F313" s="32"/>
      <c r="G313" s="32"/>
      <c r="H313" s="76"/>
      <c r="I313" s="77"/>
    </row>
    <row r="314" spans="1:9" s="78" customFormat="1" ht="16.5">
      <c r="A314" s="75"/>
      <c r="B314" s="32"/>
      <c r="C314" s="32"/>
      <c r="D314" s="32"/>
      <c r="E314" s="32"/>
      <c r="F314" s="32"/>
      <c r="G314" s="32"/>
      <c r="H314" s="76"/>
      <c r="I314" s="77"/>
    </row>
    <row r="315" spans="1:9" s="78" customFormat="1" ht="16.5">
      <c r="A315" s="75"/>
      <c r="B315" s="32"/>
      <c r="C315" s="32"/>
      <c r="D315" s="32"/>
      <c r="E315" s="32"/>
      <c r="F315" s="32"/>
      <c r="G315" s="32"/>
      <c r="H315" s="76"/>
      <c r="I315" s="77"/>
    </row>
    <row r="316" spans="1:9" s="78" customFormat="1" ht="16.5">
      <c r="A316" s="75"/>
      <c r="B316" s="32"/>
      <c r="C316" s="32"/>
      <c r="D316" s="32"/>
      <c r="E316" s="32"/>
      <c r="F316" s="32"/>
      <c r="G316" s="32"/>
      <c r="H316" s="76"/>
      <c r="I316" s="77"/>
    </row>
    <row r="317" spans="1:9" s="78" customFormat="1" ht="16.5">
      <c r="A317" s="75"/>
      <c r="B317" s="32"/>
      <c r="C317" s="32"/>
      <c r="D317" s="32"/>
      <c r="E317" s="32"/>
      <c r="F317" s="32"/>
      <c r="G317" s="32"/>
      <c r="H317" s="76"/>
      <c r="I317" s="77"/>
    </row>
    <row r="318" spans="1:9" s="78" customFormat="1" ht="16.5">
      <c r="A318" s="75"/>
      <c r="B318" s="32"/>
      <c r="C318" s="32"/>
      <c r="D318" s="32"/>
      <c r="E318" s="32"/>
      <c r="F318" s="32"/>
      <c r="G318" s="32"/>
      <c r="H318" s="76"/>
      <c r="I318" s="77"/>
    </row>
    <row r="319" spans="1:9" s="78" customFormat="1" ht="16.5">
      <c r="A319" s="75"/>
      <c r="B319" s="32"/>
      <c r="C319" s="32"/>
      <c r="D319" s="32"/>
      <c r="E319" s="32"/>
      <c r="F319" s="32"/>
      <c r="G319" s="32"/>
      <c r="H319" s="76"/>
      <c r="I319" s="77"/>
    </row>
    <row r="320" spans="1:9" s="78" customFormat="1" ht="16.5">
      <c r="A320" s="75"/>
      <c r="B320" s="32"/>
      <c r="C320" s="32"/>
      <c r="D320" s="32"/>
      <c r="E320" s="32"/>
      <c r="F320" s="32"/>
      <c r="G320" s="32"/>
      <c r="H320" s="76"/>
      <c r="I320" s="77"/>
    </row>
    <row r="321" spans="1:9" s="78" customFormat="1" ht="16.5">
      <c r="A321" s="75"/>
      <c r="B321" s="32"/>
      <c r="C321" s="32"/>
      <c r="D321" s="32"/>
      <c r="E321" s="32"/>
      <c r="F321" s="32"/>
      <c r="G321" s="32"/>
      <c r="H321" s="76"/>
      <c r="I321" s="77"/>
    </row>
    <row r="322" spans="1:9" s="78" customFormat="1" ht="16.5">
      <c r="A322" s="75"/>
      <c r="B322" s="32"/>
      <c r="C322" s="32"/>
      <c r="D322" s="32"/>
      <c r="E322" s="32"/>
      <c r="F322" s="32"/>
      <c r="G322" s="32"/>
      <c r="H322" s="76"/>
      <c r="I322" s="77"/>
    </row>
    <row r="323" spans="1:9" s="78" customFormat="1" ht="16.5">
      <c r="A323" s="75"/>
      <c r="B323" s="32"/>
      <c r="C323" s="32"/>
      <c r="D323" s="32"/>
      <c r="E323" s="32"/>
      <c r="F323" s="32"/>
      <c r="G323" s="32"/>
      <c r="H323" s="76"/>
      <c r="I323" s="77"/>
    </row>
    <row r="324" spans="1:9" s="78" customFormat="1" ht="16.5">
      <c r="A324" s="75"/>
      <c r="B324" s="32"/>
      <c r="C324" s="32"/>
      <c r="D324" s="32"/>
      <c r="E324" s="32"/>
      <c r="F324" s="32"/>
      <c r="G324" s="32"/>
      <c r="H324" s="76"/>
      <c r="I324" s="77"/>
    </row>
    <row r="325" spans="1:9" s="78" customFormat="1" ht="16.5">
      <c r="A325" s="75"/>
      <c r="B325" s="32"/>
      <c r="C325" s="32"/>
      <c r="D325" s="32"/>
      <c r="E325" s="32"/>
      <c r="F325" s="32"/>
      <c r="G325" s="32"/>
      <c r="H325" s="76"/>
      <c r="I325" s="77"/>
    </row>
    <row r="326" spans="1:9" s="78" customFormat="1" ht="16.5">
      <c r="A326" s="75"/>
      <c r="B326" s="32"/>
      <c r="C326" s="32"/>
      <c r="D326" s="32"/>
      <c r="E326" s="32"/>
      <c r="F326" s="32"/>
      <c r="G326" s="32"/>
      <c r="H326" s="76"/>
      <c r="I326" s="77"/>
    </row>
    <row r="327" spans="1:9" s="78" customFormat="1" ht="16.5">
      <c r="A327" s="75"/>
      <c r="B327" s="32"/>
      <c r="C327" s="32"/>
      <c r="D327" s="32"/>
      <c r="E327" s="32"/>
      <c r="F327" s="32"/>
      <c r="G327" s="32"/>
      <c r="H327" s="76"/>
      <c r="I327" s="77"/>
    </row>
    <row r="328" spans="1:9" s="78" customFormat="1" ht="16.5">
      <c r="A328" s="75"/>
      <c r="B328" s="32"/>
      <c r="C328" s="32"/>
      <c r="D328" s="32"/>
      <c r="E328" s="32"/>
      <c r="F328" s="32"/>
      <c r="G328" s="32"/>
      <c r="H328" s="76"/>
      <c r="I328" s="77"/>
    </row>
    <row r="329" spans="1:9" s="78" customFormat="1" ht="16.5">
      <c r="A329" s="75"/>
      <c r="B329" s="32"/>
      <c r="C329" s="32"/>
      <c r="D329" s="32"/>
      <c r="E329" s="32"/>
      <c r="F329" s="32"/>
      <c r="G329" s="32"/>
      <c r="H329" s="76"/>
      <c r="I329" s="77"/>
    </row>
    <row r="330" spans="1:9" s="78" customFormat="1" ht="16.5">
      <c r="A330" s="75"/>
      <c r="B330" s="32"/>
      <c r="C330" s="32"/>
      <c r="D330" s="32"/>
      <c r="E330" s="32"/>
      <c r="F330" s="32"/>
      <c r="G330" s="32"/>
      <c r="H330" s="76"/>
      <c r="I330" s="77"/>
    </row>
    <row r="331" spans="1:9" s="78" customFormat="1" ht="16.5">
      <c r="A331" s="75"/>
      <c r="B331" s="32"/>
      <c r="C331" s="32"/>
      <c r="D331" s="32"/>
      <c r="E331" s="32"/>
      <c r="F331" s="32"/>
      <c r="G331" s="32"/>
      <c r="H331" s="76"/>
      <c r="I331" s="77"/>
    </row>
    <row r="332" spans="1:9" s="78" customFormat="1" ht="16.5">
      <c r="A332" s="75"/>
      <c r="B332" s="32"/>
      <c r="C332" s="32"/>
      <c r="D332" s="32"/>
      <c r="E332" s="32"/>
      <c r="F332" s="32"/>
      <c r="G332" s="32"/>
      <c r="H332" s="76"/>
      <c r="I332" s="77"/>
    </row>
    <row r="333" spans="1:9" s="78" customFormat="1" ht="16.5">
      <c r="A333" s="75"/>
      <c r="B333" s="32"/>
      <c r="C333" s="32"/>
      <c r="D333" s="32"/>
      <c r="E333" s="32"/>
      <c r="F333" s="32"/>
      <c r="G333" s="32"/>
      <c r="H333" s="76"/>
      <c r="I333" s="77"/>
    </row>
    <row r="334" spans="1:9" s="78" customFormat="1" ht="16.5">
      <c r="A334" s="75"/>
      <c r="B334" s="32"/>
      <c r="C334" s="32"/>
      <c r="D334" s="32"/>
      <c r="E334" s="32"/>
      <c r="F334" s="32"/>
      <c r="G334" s="32"/>
      <c r="H334" s="76"/>
      <c r="I334" s="77"/>
    </row>
    <row r="335" spans="1:9" s="78" customFormat="1" ht="16.5">
      <c r="A335" s="75"/>
      <c r="B335" s="32"/>
      <c r="C335" s="32"/>
      <c r="D335" s="32"/>
      <c r="E335" s="32"/>
      <c r="F335" s="32"/>
      <c r="G335" s="32"/>
      <c r="H335" s="76"/>
      <c r="I335" s="77"/>
    </row>
    <row r="336" spans="1:9" s="78" customFormat="1" ht="16.5">
      <c r="A336" s="75"/>
      <c r="B336" s="32"/>
      <c r="C336" s="32"/>
      <c r="D336" s="32"/>
      <c r="E336" s="32"/>
      <c r="F336" s="32"/>
      <c r="G336" s="32"/>
      <c r="H336" s="76"/>
      <c r="I336" s="77"/>
    </row>
    <row r="337" spans="1:9" s="78" customFormat="1" ht="16.5">
      <c r="A337" s="75"/>
      <c r="B337" s="32"/>
      <c r="C337" s="32"/>
      <c r="D337" s="32"/>
      <c r="E337" s="32"/>
      <c r="F337" s="32"/>
      <c r="G337" s="32"/>
      <c r="H337" s="76"/>
      <c r="I337" s="77"/>
    </row>
    <row r="338" spans="1:9" s="78" customFormat="1" ht="16.5">
      <c r="A338" s="75"/>
      <c r="B338" s="32"/>
      <c r="C338" s="32"/>
      <c r="D338" s="32"/>
      <c r="E338" s="32"/>
      <c r="F338" s="32"/>
      <c r="G338" s="32"/>
      <c r="H338" s="76"/>
      <c r="I338" s="77"/>
    </row>
    <row r="339" spans="1:9" s="78" customFormat="1" ht="16.5">
      <c r="A339" s="75"/>
      <c r="B339" s="32"/>
      <c r="C339" s="32"/>
      <c r="D339" s="32"/>
      <c r="E339" s="32"/>
      <c r="F339" s="32"/>
      <c r="G339" s="32"/>
      <c r="H339" s="76"/>
      <c r="I339" s="77"/>
    </row>
    <row r="340" spans="1:9" s="78" customFormat="1" ht="16.5">
      <c r="A340" s="75"/>
      <c r="B340" s="32"/>
      <c r="C340" s="32"/>
      <c r="D340" s="32"/>
      <c r="E340" s="32"/>
      <c r="F340" s="32"/>
      <c r="G340" s="32"/>
      <c r="H340" s="76"/>
      <c r="I340" s="77"/>
    </row>
    <row r="341" spans="1:9" s="78" customFormat="1" ht="16.5">
      <c r="A341" s="75"/>
      <c r="B341" s="32"/>
      <c r="C341" s="32"/>
      <c r="D341" s="32"/>
      <c r="E341" s="32"/>
      <c r="F341" s="32"/>
      <c r="G341" s="32"/>
      <c r="H341" s="76"/>
      <c r="I341" s="77"/>
    </row>
    <row r="342" spans="1:9" s="78" customFormat="1" ht="16.5">
      <c r="A342" s="75"/>
      <c r="B342" s="32"/>
      <c r="C342" s="32"/>
      <c r="D342" s="32"/>
      <c r="E342" s="32"/>
      <c r="F342" s="32"/>
      <c r="G342" s="32"/>
      <c r="H342" s="76"/>
      <c r="I342" s="77"/>
    </row>
    <row r="343" spans="1:9" s="78" customFormat="1" ht="16.5">
      <c r="A343" s="75"/>
      <c r="B343" s="32"/>
      <c r="C343" s="32"/>
      <c r="D343" s="32"/>
      <c r="E343" s="32"/>
      <c r="F343" s="32"/>
      <c r="G343" s="32"/>
      <c r="H343" s="76"/>
      <c r="I343" s="77"/>
    </row>
    <row r="344" spans="1:9" s="78" customFormat="1" ht="16.5">
      <c r="A344" s="75"/>
      <c r="B344" s="32"/>
      <c r="C344" s="32"/>
      <c r="D344" s="32"/>
      <c r="E344" s="32"/>
      <c r="F344" s="32"/>
      <c r="G344" s="32"/>
      <c r="H344" s="76"/>
      <c r="I344" s="77"/>
    </row>
    <row r="345" spans="1:9" s="78" customFormat="1" ht="16.5">
      <c r="A345" s="75"/>
      <c r="B345" s="32"/>
      <c r="C345" s="32"/>
      <c r="D345" s="32"/>
      <c r="E345" s="32"/>
      <c r="F345" s="32"/>
      <c r="G345" s="32"/>
      <c r="H345" s="76"/>
      <c r="I345" s="77"/>
    </row>
    <row r="346" spans="1:9" s="78" customFormat="1" ht="16.5">
      <c r="A346" s="75"/>
      <c r="B346" s="32"/>
      <c r="C346" s="32"/>
      <c r="D346" s="32"/>
      <c r="E346" s="32"/>
      <c r="F346" s="32"/>
      <c r="G346" s="32"/>
      <c r="H346" s="76"/>
      <c r="I346" s="77"/>
    </row>
    <row r="347" spans="1:9" s="78" customFormat="1" ht="16.5">
      <c r="A347" s="75"/>
      <c r="B347" s="32"/>
      <c r="C347" s="32"/>
      <c r="D347" s="32"/>
      <c r="E347" s="32"/>
      <c r="F347" s="32"/>
      <c r="G347" s="32"/>
      <c r="H347" s="76"/>
      <c r="I347" s="77"/>
    </row>
    <row r="348" spans="1:9" s="78" customFormat="1" ht="16.5">
      <c r="A348" s="75"/>
      <c r="B348" s="32"/>
      <c r="C348" s="32"/>
      <c r="D348" s="32"/>
      <c r="E348" s="32"/>
      <c r="F348" s="32"/>
      <c r="G348" s="32"/>
      <c r="H348" s="76"/>
      <c r="I348" s="77"/>
    </row>
    <row r="349" spans="1:9" s="78" customFormat="1" ht="16.5">
      <c r="A349" s="75"/>
      <c r="B349" s="32"/>
      <c r="C349" s="32"/>
      <c r="D349" s="32"/>
      <c r="E349" s="32"/>
      <c r="F349" s="32"/>
      <c r="G349" s="32"/>
      <c r="H349" s="76"/>
      <c r="I349" s="77"/>
    </row>
    <row r="350" spans="1:9" s="78" customFormat="1" ht="16.5">
      <c r="A350" s="75"/>
      <c r="B350" s="32"/>
      <c r="C350" s="32"/>
      <c r="D350" s="32"/>
      <c r="E350" s="32"/>
      <c r="F350" s="32"/>
      <c r="G350" s="32"/>
      <c r="H350" s="76"/>
      <c r="I350" s="77"/>
    </row>
    <row r="351" spans="1:9" s="78" customFormat="1" ht="16.5">
      <c r="A351" s="75"/>
      <c r="B351" s="32"/>
      <c r="C351" s="32"/>
      <c r="D351" s="32"/>
      <c r="E351" s="32"/>
      <c r="F351" s="32"/>
      <c r="G351" s="32"/>
      <c r="H351" s="76"/>
      <c r="I351" s="77"/>
    </row>
    <row r="352" spans="1:9" s="78" customFormat="1" ht="16.5">
      <c r="A352" s="75"/>
      <c r="B352" s="32"/>
      <c r="C352" s="32"/>
      <c r="D352" s="32"/>
      <c r="E352" s="32"/>
      <c r="F352" s="32"/>
      <c r="G352" s="32"/>
      <c r="H352" s="76"/>
      <c r="I352" s="77"/>
    </row>
    <row r="353" spans="1:9" s="78" customFormat="1" ht="16.5">
      <c r="A353" s="75"/>
      <c r="B353" s="32"/>
      <c r="C353" s="32"/>
      <c r="D353" s="32"/>
      <c r="E353" s="32"/>
      <c r="F353" s="32"/>
      <c r="G353" s="32"/>
      <c r="H353" s="76"/>
      <c r="I353" s="77"/>
    </row>
    <row r="354" spans="1:9" s="78" customFormat="1" ht="16.5">
      <c r="A354" s="75"/>
      <c r="B354" s="32"/>
      <c r="C354" s="32"/>
      <c r="D354" s="32"/>
      <c r="E354" s="32"/>
      <c r="F354" s="32"/>
      <c r="G354" s="32"/>
      <c r="H354" s="76"/>
      <c r="I354" s="77"/>
    </row>
    <row r="355" spans="1:9" s="78" customFormat="1" ht="16.5">
      <c r="A355" s="75"/>
      <c r="B355" s="32"/>
      <c r="C355" s="32"/>
      <c r="D355" s="32"/>
      <c r="E355" s="32"/>
      <c r="F355" s="32"/>
      <c r="G355" s="32"/>
      <c r="H355" s="76"/>
      <c r="I355" s="77"/>
    </row>
    <row r="356" spans="1:9" s="78" customFormat="1" ht="16.5">
      <c r="A356" s="75"/>
      <c r="B356" s="32"/>
      <c r="C356" s="32"/>
      <c r="D356" s="32"/>
      <c r="E356" s="32"/>
      <c r="F356" s="32"/>
      <c r="G356" s="32"/>
      <c r="H356" s="76"/>
      <c r="I356" s="77"/>
    </row>
    <row r="357" spans="1:9" s="78" customFormat="1" ht="16.5">
      <c r="A357" s="75"/>
      <c r="B357" s="32"/>
      <c r="C357" s="32"/>
      <c r="D357" s="32"/>
      <c r="E357" s="32"/>
      <c r="F357" s="32"/>
      <c r="G357" s="32"/>
      <c r="H357" s="76"/>
      <c r="I357" s="77"/>
    </row>
    <row r="358" spans="1:9" s="78" customFormat="1" ht="16.5">
      <c r="A358" s="75"/>
      <c r="B358" s="32"/>
      <c r="C358" s="32"/>
      <c r="D358" s="32"/>
      <c r="E358" s="32"/>
      <c r="F358" s="32"/>
      <c r="G358" s="32"/>
      <c r="H358" s="76"/>
      <c r="I358" s="77"/>
    </row>
    <row r="359" spans="1:9" s="78" customFormat="1" ht="16.5">
      <c r="A359" s="75"/>
      <c r="B359" s="32"/>
      <c r="C359" s="32"/>
      <c r="D359" s="32"/>
      <c r="E359" s="32"/>
      <c r="F359" s="32"/>
      <c r="G359" s="32"/>
      <c r="H359" s="76"/>
      <c r="I359" s="77"/>
    </row>
    <row r="360" spans="1:9" s="78" customFormat="1" ht="16.5">
      <c r="A360" s="75"/>
      <c r="B360" s="32"/>
      <c r="C360" s="32"/>
      <c r="D360" s="32"/>
      <c r="E360" s="32"/>
      <c r="F360" s="32"/>
      <c r="G360" s="32"/>
      <c r="H360" s="76"/>
      <c r="I360" s="77"/>
    </row>
    <row r="361" spans="1:9" s="78" customFormat="1" ht="16.5">
      <c r="A361" s="75"/>
      <c r="B361" s="32"/>
      <c r="C361" s="32"/>
      <c r="D361" s="32"/>
      <c r="E361" s="32"/>
      <c r="F361" s="32"/>
      <c r="G361" s="32"/>
      <c r="H361" s="76"/>
      <c r="I361" s="77"/>
    </row>
    <row r="362" spans="1:9" s="78" customFormat="1" ht="16.5">
      <c r="A362" s="75"/>
      <c r="B362" s="32"/>
      <c r="C362" s="32"/>
      <c r="D362" s="32"/>
      <c r="E362" s="32"/>
      <c r="F362" s="32"/>
      <c r="G362" s="32"/>
      <c r="H362" s="76"/>
      <c r="I362" s="77"/>
    </row>
    <row r="363" spans="1:9" s="78" customFormat="1" ht="16.5">
      <c r="A363" s="75"/>
      <c r="B363" s="32"/>
      <c r="C363" s="32"/>
      <c r="D363" s="32"/>
      <c r="E363" s="32"/>
      <c r="F363" s="32"/>
      <c r="G363" s="32"/>
      <c r="H363" s="76"/>
      <c r="I363" s="77"/>
    </row>
    <row r="364" spans="1:9" s="78" customFormat="1" ht="16.5">
      <c r="A364" s="75"/>
      <c r="B364" s="32"/>
      <c r="C364" s="32"/>
      <c r="D364" s="32"/>
      <c r="E364" s="32"/>
      <c r="F364" s="32"/>
      <c r="G364" s="32"/>
      <c r="H364" s="76"/>
      <c r="I364" s="77"/>
    </row>
    <row r="365" spans="1:9" s="78" customFormat="1" ht="16.5">
      <c r="A365" s="75"/>
      <c r="B365" s="32"/>
      <c r="C365" s="32"/>
      <c r="D365" s="32"/>
      <c r="E365" s="32"/>
      <c r="F365" s="32"/>
      <c r="G365" s="32"/>
      <c r="H365" s="76"/>
      <c r="I365" s="77"/>
    </row>
    <row r="366" spans="1:9" s="78" customFormat="1" ht="16.5">
      <c r="A366" s="75"/>
      <c r="B366" s="32"/>
      <c r="C366" s="32"/>
      <c r="D366" s="32"/>
      <c r="E366" s="32"/>
      <c r="F366" s="32"/>
      <c r="G366" s="32"/>
      <c r="H366" s="76"/>
      <c r="I366" s="77"/>
    </row>
    <row r="367" spans="1:9" s="78" customFormat="1" ht="16.5">
      <c r="A367" s="75"/>
      <c r="B367" s="32"/>
      <c r="C367" s="32"/>
      <c r="D367" s="32"/>
      <c r="E367" s="32"/>
      <c r="F367" s="32"/>
      <c r="G367" s="32"/>
      <c r="H367" s="76"/>
      <c r="I367" s="77"/>
    </row>
    <row r="368" spans="1:9" s="78" customFormat="1" ht="16.5">
      <c r="A368" s="75"/>
      <c r="B368" s="32"/>
      <c r="C368" s="32"/>
      <c r="D368" s="32"/>
      <c r="E368" s="32"/>
      <c r="F368" s="32"/>
      <c r="G368" s="32"/>
      <c r="H368" s="76"/>
      <c r="I368" s="77"/>
    </row>
    <row r="369" spans="1:9" s="78" customFormat="1" ht="16.5">
      <c r="A369" s="75"/>
      <c r="B369" s="32"/>
      <c r="C369" s="32"/>
      <c r="D369" s="32"/>
      <c r="E369" s="32"/>
      <c r="F369" s="32"/>
      <c r="G369" s="32"/>
      <c r="H369" s="76"/>
      <c r="I369" s="77"/>
    </row>
    <row r="370" spans="1:9" s="78" customFormat="1" ht="16.5">
      <c r="A370" s="75"/>
      <c r="B370" s="32"/>
      <c r="C370" s="32"/>
      <c r="D370" s="32"/>
      <c r="E370" s="32"/>
      <c r="F370" s="32"/>
      <c r="G370" s="32"/>
      <c r="H370" s="76"/>
      <c r="I370" s="77"/>
    </row>
    <row r="371" spans="1:9" s="78" customFormat="1" ht="16.5">
      <c r="A371" s="75"/>
      <c r="B371" s="32"/>
      <c r="C371" s="32"/>
      <c r="D371" s="32"/>
      <c r="E371" s="32"/>
      <c r="F371" s="32"/>
      <c r="G371" s="32"/>
      <c r="H371" s="76"/>
      <c r="I371" s="77"/>
    </row>
    <row r="372" spans="1:9" s="78" customFormat="1" ht="16.5">
      <c r="A372" s="75"/>
      <c r="B372" s="32"/>
      <c r="C372" s="32"/>
      <c r="D372" s="32"/>
      <c r="E372" s="32"/>
      <c r="F372" s="32"/>
      <c r="G372" s="32"/>
      <c r="H372" s="76"/>
      <c r="I372" s="77"/>
    </row>
    <row r="373" spans="1:9" s="78" customFormat="1" ht="16.5">
      <c r="A373" s="75"/>
      <c r="B373" s="32"/>
      <c r="C373" s="32"/>
      <c r="D373" s="32"/>
      <c r="E373" s="32"/>
      <c r="F373" s="32"/>
      <c r="G373" s="32"/>
      <c r="H373" s="76"/>
      <c r="I373" s="77"/>
    </row>
    <row r="374" spans="1:9" s="78" customFormat="1" ht="16.5">
      <c r="A374" s="75"/>
      <c r="B374" s="32"/>
      <c r="C374" s="32"/>
      <c r="D374" s="32"/>
      <c r="E374" s="32"/>
      <c r="F374" s="32"/>
      <c r="G374" s="32"/>
      <c r="H374" s="76"/>
      <c r="I374" s="77"/>
    </row>
    <row r="375" spans="1:9" s="78" customFormat="1" ht="16.5">
      <c r="A375" s="75"/>
      <c r="B375" s="32"/>
      <c r="C375" s="32"/>
      <c r="D375" s="32"/>
      <c r="E375" s="32"/>
      <c r="F375" s="32"/>
      <c r="G375" s="32"/>
      <c r="H375" s="76"/>
      <c r="I375" s="77"/>
    </row>
    <row r="376" spans="1:9" s="78" customFormat="1" ht="16.5">
      <c r="A376" s="75"/>
      <c r="B376" s="32"/>
      <c r="C376" s="32"/>
      <c r="D376" s="32"/>
      <c r="E376" s="32"/>
      <c r="F376" s="32"/>
      <c r="G376" s="32"/>
      <c r="H376" s="76"/>
      <c r="I376" s="77"/>
    </row>
    <row r="377" spans="1:9" s="78" customFormat="1" ht="16.5">
      <c r="A377" s="75"/>
      <c r="B377" s="32"/>
      <c r="C377" s="32"/>
      <c r="D377" s="32"/>
      <c r="E377" s="32"/>
      <c r="F377" s="32"/>
      <c r="G377" s="32"/>
      <c r="H377" s="76"/>
      <c r="I377" s="77"/>
    </row>
    <row r="378" spans="1:9" s="78" customFormat="1" ht="16.5">
      <c r="A378" s="75"/>
      <c r="B378" s="32"/>
      <c r="C378" s="32"/>
      <c r="D378" s="32"/>
      <c r="E378" s="32"/>
      <c r="F378" s="32"/>
      <c r="G378" s="32"/>
      <c r="H378" s="76"/>
      <c r="I378" s="77"/>
    </row>
    <row r="379" spans="1:9" s="78" customFormat="1" ht="16.5">
      <c r="A379" s="75"/>
      <c r="B379" s="32"/>
      <c r="C379" s="32"/>
      <c r="D379" s="32"/>
      <c r="E379" s="32"/>
      <c r="F379" s="32"/>
      <c r="G379" s="32"/>
      <c r="H379" s="76"/>
      <c r="I379" s="77"/>
    </row>
    <row r="380" spans="1:9" s="78" customFormat="1" ht="16.5">
      <c r="A380" s="75"/>
      <c r="B380" s="32"/>
      <c r="C380" s="32"/>
      <c r="D380" s="32"/>
      <c r="E380" s="32"/>
      <c r="F380" s="32"/>
      <c r="G380" s="32"/>
      <c r="H380" s="76"/>
      <c r="I380" s="77"/>
    </row>
    <row r="381" spans="1:9" s="78" customFormat="1" ht="16.5">
      <c r="A381" s="75"/>
      <c r="B381" s="32"/>
      <c r="C381" s="32"/>
      <c r="D381" s="32"/>
      <c r="E381" s="32"/>
      <c r="F381" s="32"/>
      <c r="G381" s="32"/>
      <c r="H381" s="76"/>
      <c r="I381" s="77"/>
    </row>
    <row r="382" spans="1:9" s="78" customFormat="1" ht="16.5">
      <c r="A382" s="75"/>
      <c r="B382" s="32"/>
      <c r="C382" s="32"/>
      <c r="D382" s="32"/>
      <c r="E382" s="32"/>
      <c r="F382" s="32"/>
      <c r="G382" s="32"/>
      <c r="H382" s="76"/>
      <c r="I382" s="77"/>
    </row>
    <row r="383" spans="1:9" s="78" customFormat="1" ht="16.5">
      <c r="A383" s="75"/>
      <c r="B383" s="32"/>
      <c r="C383" s="32"/>
      <c r="D383" s="32"/>
      <c r="E383" s="32"/>
      <c r="F383" s="32"/>
      <c r="G383" s="32"/>
      <c r="H383" s="76"/>
      <c r="I383" s="77"/>
    </row>
    <row r="384" spans="1:9" s="78" customFormat="1" ht="16.5">
      <c r="A384" s="75"/>
      <c r="B384" s="32"/>
      <c r="C384" s="32"/>
      <c r="D384" s="32"/>
      <c r="E384" s="32"/>
      <c r="F384" s="32"/>
      <c r="G384" s="32"/>
      <c r="H384" s="76"/>
      <c r="I384" s="77"/>
    </row>
    <row r="385" spans="1:9" s="78" customFormat="1" ht="16.5">
      <c r="A385" s="75"/>
      <c r="B385" s="32"/>
      <c r="C385" s="32"/>
      <c r="D385" s="32"/>
      <c r="E385" s="32"/>
      <c r="F385" s="32"/>
      <c r="G385" s="32"/>
      <c r="H385" s="76"/>
      <c r="I385" s="77"/>
    </row>
    <row r="386" spans="1:9" s="78" customFormat="1" ht="16.5">
      <c r="A386" s="75"/>
      <c r="B386" s="32"/>
      <c r="C386" s="32"/>
      <c r="D386" s="32"/>
      <c r="E386" s="32"/>
      <c r="F386" s="32"/>
      <c r="G386" s="32"/>
      <c r="H386" s="76"/>
      <c r="I386" s="77"/>
    </row>
    <row r="387" spans="1:9" s="78" customFormat="1" ht="16.5">
      <c r="A387" s="75"/>
      <c r="B387" s="32"/>
      <c r="C387" s="32"/>
      <c r="D387" s="32"/>
      <c r="E387" s="32"/>
      <c r="F387" s="32"/>
      <c r="G387" s="32"/>
      <c r="H387" s="76"/>
      <c r="I387" s="77"/>
    </row>
    <row r="388" spans="1:9" s="78" customFormat="1" ht="16.5">
      <c r="A388" s="75"/>
      <c r="B388" s="32"/>
      <c r="C388" s="32"/>
      <c r="D388" s="32"/>
      <c r="E388" s="32"/>
      <c r="F388" s="32"/>
      <c r="G388" s="32"/>
      <c r="H388" s="76"/>
      <c r="I388" s="77"/>
    </row>
    <row r="389" spans="1:9" s="78" customFormat="1" ht="16.5">
      <c r="A389" s="75"/>
      <c r="B389" s="32"/>
      <c r="C389" s="32"/>
      <c r="D389" s="32"/>
      <c r="E389" s="32"/>
      <c r="F389" s="32"/>
      <c r="G389" s="32"/>
      <c r="H389" s="76"/>
      <c r="I389" s="77"/>
    </row>
    <row r="390" spans="1:9" s="78" customFormat="1" ht="16.5">
      <c r="A390" s="75"/>
      <c r="B390" s="32"/>
      <c r="C390" s="32"/>
      <c r="D390" s="32"/>
      <c r="E390" s="32"/>
      <c r="F390" s="32"/>
      <c r="G390" s="32"/>
      <c r="H390" s="76"/>
      <c r="I390" s="77"/>
    </row>
    <row r="391" spans="1:9" s="78" customFormat="1" ht="16.5">
      <c r="A391" s="75"/>
      <c r="B391" s="32"/>
      <c r="C391" s="32"/>
      <c r="D391" s="32"/>
      <c r="E391" s="32"/>
      <c r="F391" s="32"/>
      <c r="G391" s="32"/>
      <c r="H391" s="76"/>
      <c r="I391" s="77"/>
    </row>
    <row r="392" spans="1:9" s="78" customFormat="1" ht="16.5">
      <c r="A392" s="75"/>
      <c r="B392" s="32"/>
      <c r="C392" s="32"/>
      <c r="D392" s="32"/>
      <c r="E392" s="32"/>
      <c r="F392" s="32"/>
      <c r="G392" s="32"/>
      <c r="H392" s="76"/>
      <c r="I392" s="77"/>
    </row>
    <row r="393" spans="1:9" s="78" customFormat="1" ht="16.5">
      <c r="A393" s="75"/>
      <c r="B393" s="32"/>
      <c r="C393" s="32"/>
      <c r="D393" s="32"/>
      <c r="E393" s="32"/>
      <c r="F393" s="32"/>
      <c r="G393" s="32"/>
      <c r="H393" s="76"/>
      <c r="I393" s="77"/>
    </row>
    <row r="394" spans="1:9" s="78" customFormat="1" ht="16.5">
      <c r="A394" s="75"/>
      <c r="B394" s="32"/>
      <c r="C394" s="32"/>
      <c r="D394" s="32"/>
      <c r="E394" s="32"/>
      <c r="F394" s="32"/>
      <c r="G394" s="32"/>
      <c r="H394" s="76"/>
      <c r="I394" s="77"/>
    </row>
    <row r="395" spans="1:9" s="78" customFormat="1" ht="16.5">
      <c r="A395" s="75"/>
      <c r="B395" s="32"/>
      <c r="C395" s="32"/>
      <c r="D395" s="32"/>
      <c r="E395" s="32"/>
      <c r="F395" s="32"/>
      <c r="G395" s="32"/>
      <c r="H395" s="76"/>
      <c r="I395" s="77"/>
    </row>
    <row r="396" spans="1:9" s="78" customFormat="1" ht="16.5">
      <c r="A396" s="75"/>
      <c r="B396" s="32"/>
      <c r="C396" s="32"/>
      <c r="D396" s="32"/>
      <c r="E396" s="32"/>
      <c r="F396" s="32"/>
      <c r="G396" s="32"/>
      <c r="H396" s="76"/>
      <c r="I396" s="77"/>
    </row>
    <row r="397" spans="1:9" s="78" customFormat="1" ht="16.5">
      <c r="A397" s="75"/>
      <c r="B397" s="32"/>
      <c r="C397" s="32"/>
      <c r="D397" s="32"/>
      <c r="E397" s="32"/>
      <c r="F397" s="32"/>
      <c r="G397" s="32"/>
      <c r="H397" s="76"/>
      <c r="I397" s="77"/>
    </row>
    <row r="398" spans="1:9" s="78" customFormat="1" ht="16.5">
      <c r="A398" s="75"/>
      <c r="B398" s="32"/>
      <c r="C398" s="32"/>
      <c r="D398" s="32"/>
      <c r="E398" s="32"/>
      <c r="F398" s="32"/>
      <c r="G398" s="32"/>
      <c r="H398" s="76"/>
      <c r="I398" s="77"/>
    </row>
    <row r="399" spans="1:9" s="78" customFormat="1" ht="16.5">
      <c r="A399" s="75"/>
      <c r="B399" s="32"/>
      <c r="C399" s="32"/>
      <c r="D399" s="32"/>
      <c r="E399" s="32"/>
      <c r="F399" s="32"/>
      <c r="G399" s="32"/>
      <c r="H399" s="76"/>
      <c r="I399" s="77"/>
    </row>
    <row r="400" spans="1:9" s="78" customFormat="1" ht="16.5">
      <c r="A400" s="75"/>
      <c r="B400" s="32"/>
      <c r="C400" s="32"/>
      <c r="D400" s="32"/>
      <c r="E400" s="32"/>
      <c r="F400" s="32"/>
      <c r="G400" s="32"/>
      <c r="H400" s="76"/>
      <c r="I400" s="77"/>
    </row>
    <row r="401" spans="1:9" s="78" customFormat="1" ht="16.5">
      <c r="A401" s="75"/>
      <c r="B401" s="32"/>
      <c r="C401" s="32"/>
      <c r="D401" s="32"/>
      <c r="E401" s="32"/>
      <c r="F401" s="32"/>
      <c r="G401" s="32"/>
      <c r="H401" s="76"/>
      <c r="I401" s="77"/>
    </row>
    <row r="402" spans="1:9" s="78" customFormat="1" ht="16.5">
      <c r="A402" s="75"/>
      <c r="B402" s="32"/>
      <c r="C402" s="32"/>
      <c r="D402" s="32"/>
      <c r="E402" s="32"/>
      <c r="F402" s="32"/>
      <c r="G402" s="32"/>
      <c r="H402" s="76"/>
      <c r="I402" s="77"/>
    </row>
    <row r="403" spans="1:9" s="78" customFormat="1" ht="16.5">
      <c r="A403" s="75"/>
      <c r="B403" s="32"/>
      <c r="C403" s="32"/>
      <c r="D403" s="32"/>
      <c r="E403" s="32"/>
      <c r="F403" s="32"/>
      <c r="G403" s="32"/>
      <c r="H403" s="76"/>
      <c r="I403" s="77"/>
    </row>
    <row r="404" spans="1:9" s="78" customFormat="1" ht="16.5">
      <c r="A404" s="75"/>
      <c r="B404" s="32"/>
      <c r="C404" s="32"/>
      <c r="D404" s="32"/>
      <c r="E404" s="32"/>
      <c r="F404" s="32"/>
      <c r="G404" s="32"/>
      <c r="H404" s="76"/>
      <c r="I404" s="77"/>
    </row>
    <row r="405" spans="1:9" s="78" customFormat="1" ht="16.5">
      <c r="A405" s="75"/>
      <c r="B405" s="32"/>
      <c r="C405" s="32"/>
      <c r="D405" s="32"/>
      <c r="E405" s="32"/>
      <c r="F405" s="32"/>
      <c r="G405" s="32"/>
      <c r="H405" s="76"/>
      <c r="I405" s="77"/>
    </row>
    <row r="406" spans="1:9" s="78" customFormat="1" ht="16.5">
      <c r="A406" s="75"/>
      <c r="B406" s="32"/>
      <c r="C406" s="32"/>
      <c r="D406" s="32"/>
      <c r="E406" s="32"/>
      <c r="F406" s="32"/>
      <c r="G406" s="32"/>
      <c r="H406" s="76"/>
      <c r="I406" s="77"/>
    </row>
    <row r="407" spans="1:9" s="78" customFormat="1" ht="16.5">
      <c r="A407" s="75"/>
      <c r="B407" s="32"/>
      <c r="C407" s="32"/>
      <c r="D407" s="32"/>
      <c r="E407" s="32"/>
      <c r="F407" s="32"/>
      <c r="G407" s="32"/>
      <c r="H407" s="76"/>
      <c r="I407" s="77"/>
    </row>
    <row r="408" spans="1:9" s="78" customFormat="1" ht="16.5">
      <c r="A408" s="75"/>
      <c r="B408" s="32"/>
      <c r="C408" s="32"/>
      <c r="D408" s="32"/>
      <c r="E408" s="32"/>
      <c r="F408" s="32"/>
      <c r="G408" s="32"/>
      <c r="H408" s="76"/>
      <c r="I408" s="77"/>
    </row>
    <row r="409" spans="1:9" s="78" customFormat="1" ht="16.5">
      <c r="A409" s="75"/>
      <c r="B409" s="32"/>
      <c r="C409" s="32"/>
      <c r="D409" s="32"/>
      <c r="E409" s="32"/>
      <c r="F409" s="32"/>
      <c r="G409" s="32"/>
      <c r="H409" s="76"/>
      <c r="I409" s="77"/>
    </row>
    <row r="410" spans="1:9" s="78" customFormat="1" ht="16.5">
      <c r="A410" s="75"/>
      <c r="B410" s="32"/>
      <c r="C410" s="32"/>
      <c r="D410" s="32"/>
      <c r="E410" s="32"/>
      <c r="F410" s="32"/>
      <c r="G410" s="32"/>
      <c r="H410" s="76"/>
      <c r="I410" s="77"/>
    </row>
    <row r="411" spans="1:9" s="78" customFormat="1" ht="16.5">
      <c r="A411" s="75"/>
      <c r="B411" s="32"/>
      <c r="C411" s="32"/>
      <c r="D411" s="32"/>
      <c r="E411" s="32"/>
      <c r="F411" s="32"/>
      <c r="G411" s="32"/>
      <c r="H411" s="76"/>
      <c r="I411" s="77"/>
    </row>
    <row r="412" spans="1:9" s="78" customFormat="1" ht="16.5">
      <c r="A412" s="75"/>
      <c r="B412" s="32"/>
      <c r="C412" s="32"/>
      <c r="D412" s="32"/>
      <c r="E412" s="32"/>
      <c r="F412" s="32"/>
      <c r="G412" s="32"/>
      <c r="H412" s="76"/>
      <c r="I412" s="77"/>
    </row>
    <row r="413" spans="1:9" s="78" customFormat="1" ht="16.5">
      <c r="A413" s="75"/>
      <c r="B413" s="32"/>
      <c r="C413" s="32"/>
      <c r="D413" s="32"/>
      <c r="E413" s="32"/>
      <c r="F413" s="32"/>
      <c r="G413" s="32"/>
      <c r="H413" s="76"/>
      <c r="I413" s="77"/>
    </row>
    <row r="414" spans="1:9" s="78" customFormat="1" ht="16.5">
      <c r="A414" s="75"/>
      <c r="B414" s="32"/>
      <c r="C414" s="32"/>
      <c r="D414" s="32"/>
      <c r="E414" s="32"/>
      <c r="F414" s="32"/>
      <c r="G414" s="32"/>
      <c r="H414" s="76"/>
      <c r="I414" s="77"/>
    </row>
    <row r="415" spans="1:9" s="78" customFormat="1" ht="16.5">
      <c r="A415" s="75"/>
      <c r="B415" s="32"/>
      <c r="C415" s="32"/>
      <c r="D415" s="32"/>
      <c r="E415" s="32"/>
      <c r="F415" s="32"/>
      <c r="G415" s="32"/>
      <c r="H415" s="76"/>
      <c r="I415" s="77"/>
    </row>
    <row r="416" spans="1:9" s="78" customFormat="1" ht="16.5">
      <c r="A416" s="75"/>
      <c r="B416" s="32"/>
      <c r="C416" s="32"/>
      <c r="D416" s="32"/>
      <c r="E416" s="32"/>
      <c r="F416" s="32"/>
      <c r="G416" s="32"/>
      <c r="H416" s="76"/>
      <c r="I416" s="77"/>
    </row>
    <row r="417" spans="1:9" s="78" customFormat="1" ht="16.5">
      <c r="A417" s="75"/>
      <c r="B417" s="32"/>
      <c r="C417" s="32"/>
      <c r="D417" s="32"/>
      <c r="E417" s="32"/>
      <c r="F417" s="32"/>
      <c r="G417" s="32"/>
      <c r="H417" s="76"/>
      <c r="I417" s="77"/>
    </row>
    <row r="418" spans="1:9" s="78" customFormat="1" ht="16.5">
      <c r="A418" s="75"/>
      <c r="B418" s="32"/>
      <c r="C418" s="32"/>
      <c r="D418" s="32"/>
      <c r="E418" s="32"/>
      <c r="F418" s="32"/>
      <c r="G418" s="32"/>
      <c r="H418" s="76"/>
      <c r="I418" s="77"/>
    </row>
    <row r="419" spans="1:9" s="78" customFormat="1" ht="16.5">
      <c r="A419" s="75"/>
      <c r="B419" s="32"/>
      <c r="C419" s="32"/>
      <c r="D419" s="32"/>
      <c r="E419" s="32"/>
      <c r="F419" s="32"/>
      <c r="G419" s="32"/>
      <c r="H419" s="76"/>
      <c r="I419" s="77"/>
    </row>
    <row r="420" spans="1:9" s="78" customFormat="1" ht="16.5">
      <c r="A420" s="75"/>
      <c r="B420" s="32"/>
      <c r="C420" s="32"/>
      <c r="D420" s="32"/>
      <c r="E420" s="32"/>
      <c r="F420" s="32"/>
      <c r="G420" s="32"/>
      <c r="H420" s="76"/>
      <c r="I420" s="77"/>
    </row>
    <row r="421" spans="1:9" s="78" customFormat="1" ht="16.5">
      <c r="A421" s="75"/>
      <c r="B421" s="32"/>
      <c r="C421" s="32"/>
      <c r="D421" s="32"/>
      <c r="E421" s="32"/>
      <c r="F421" s="32"/>
      <c r="G421" s="32"/>
      <c r="H421" s="76"/>
      <c r="I421" s="77"/>
    </row>
    <row r="422" spans="1:9" s="78" customFormat="1" ht="16.5">
      <c r="A422" s="75"/>
      <c r="B422" s="32"/>
      <c r="C422" s="32"/>
      <c r="D422" s="32"/>
      <c r="E422" s="32"/>
      <c r="F422" s="32"/>
      <c r="G422" s="32"/>
      <c r="H422" s="76"/>
      <c r="I422" s="77"/>
    </row>
    <row r="423" spans="1:9" s="78" customFormat="1" ht="16.5">
      <c r="A423" s="75"/>
      <c r="B423" s="32"/>
      <c r="C423" s="32"/>
      <c r="D423" s="32"/>
      <c r="E423" s="32"/>
      <c r="F423" s="32"/>
      <c r="G423" s="32"/>
      <c r="H423" s="76"/>
      <c r="I423" s="77"/>
    </row>
    <row r="424" spans="1:9" s="78" customFormat="1" ht="16.5">
      <c r="A424" s="75"/>
      <c r="B424" s="32"/>
      <c r="C424" s="32"/>
      <c r="D424" s="32"/>
      <c r="E424" s="32"/>
      <c r="F424" s="32"/>
      <c r="G424" s="32"/>
      <c r="H424" s="76"/>
      <c r="I424" s="77"/>
    </row>
    <row r="425" spans="1:9" s="78" customFormat="1" ht="16.5">
      <c r="A425" s="75"/>
      <c r="B425" s="32"/>
      <c r="C425" s="32"/>
      <c r="D425" s="32"/>
      <c r="E425" s="32"/>
      <c r="F425" s="32"/>
      <c r="G425" s="32"/>
      <c r="H425" s="76"/>
      <c r="I425" s="77"/>
    </row>
    <row r="426" spans="1:9" s="78" customFormat="1" ht="16.5">
      <c r="A426" s="75"/>
      <c r="B426" s="32"/>
      <c r="C426" s="32"/>
      <c r="D426" s="32"/>
      <c r="E426" s="32"/>
      <c r="F426" s="32"/>
      <c r="G426" s="32"/>
      <c r="H426" s="76"/>
      <c r="I426" s="77"/>
    </row>
    <row r="427" spans="1:9" s="78" customFormat="1" ht="16.5">
      <c r="A427" s="75"/>
      <c r="B427" s="32"/>
      <c r="C427" s="32"/>
      <c r="D427" s="32"/>
      <c r="E427" s="32"/>
      <c r="F427" s="32"/>
      <c r="G427" s="32"/>
      <c r="H427" s="76"/>
      <c r="I427" s="77"/>
    </row>
    <row r="428" spans="1:9" s="78" customFormat="1" ht="16.5">
      <c r="A428" s="75"/>
      <c r="B428" s="32"/>
      <c r="C428" s="32"/>
      <c r="D428" s="32"/>
      <c r="E428" s="32"/>
      <c r="F428" s="32"/>
      <c r="G428" s="32"/>
      <c r="H428" s="76"/>
      <c r="I428" s="77"/>
    </row>
    <row r="429" spans="1:9" s="78" customFormat="1" ht="16.5">
      <c r="A429" s="75"/>
      <c r="B429" s="32"/>
      <c r="C429" s="32"/>
      <c r="D429" s="32"/>
      <c r="E429" s="32"/>
      <c r="F429" s="32"/>
      <c r="G429" s="32"/>
      <c r="H429" s="76"/>
      <c r="I429" s="77"/>
    </row>
    <row r="430" spans="1:9" s="78" customFormat="1" ht="16.5">
      <c r="A430" s="75"/>
      <c r="B430" s="32"/>
      <c r="C430" s="32"/>
      <c r="D430" s="32"/>
      <c r="E430" s="32"/>
      <c r="F430" s="32"/>
      <c r="G430" s="32"/>
      <c r="H430" s="76"/>
      <c r="I430" s="77"/>
    </row>
    <row r="431" spans="1:9" s="78" customFormat="1" ht="16.5">
      <c r="A431" s="75"/>
      <c r="B431" s="32"/>
      <c r="C431" s="32"/>
      <c r="D431" s="32"/>
      <c r="E431" s="32"/>
      <c r="F431" s="32"/>
      <c r="G431" s="32"/>
      <c r="H431" s="76"/>
      <c r="I431" s="77"/>
    </row>
    <row r="432" spans="1:9" s="78" customFormat="1" ht="16.5">
      <c r="A432" s="75"/>
      <c r="B432" s="32"/>
      <c r="C432" s="32"/>
      <c r="D432" s="32"/>
      <c r="E432" s="32"/>
      <c r="F432" s="32"/>
      <c r="G432" s="32"/>
      <c r="H432" s="76"/>
      <c r="I432" s="77"/>
    </row>
    <row r="433" spans="1:9" s="78" customFormat="1" ht="16.5">
      <c r="A433" s="75"/>
      <c r="B433" s="32"/>
      <c r="C433" s="32"/>
      <c r="D433" s="32"/>
      <c r="E433" s="32"/>
      <c r="F433" s="32"/>
      <c r="G433" s="32"/>
      <c r="H433" s="76"/>
      <c r="I433" s="77"/>
    </row>
    <row r="434" spans="1:9" s="78" customFormat="1" ht="16.5">
      <c r="A434" s="75"/>
      <c r="B434" s="32"/>
      <c r="C434" s="32"/>
      <c r="D434" s="32"/>
      <c r="E434" s="32"/>
      <c r="F434" s="32"/>
      <c r="G434" s="32"/>
      <c r="H434" s="76"/>
      <c r="I434" s="77"/>
    </row>
    <row r="435" spans="1:9" s="78" customFormat="1" ht="16.5">
      <c r="A435" s="75"/>
      <c r="B435" s="32"/>
      <c r="C435" s="32"/>
      <c r="D435" s="32"/>
      <c r="E435" s="32"/>
      <c r="F435" s="32"/>
      <c r="G435" s="32"/>
      <c r="H435" s="76"/>
      <c r="I435" s="77"/>
    </row>
    <row r="436" spans="1:9" s="78" customFormat="1" ht="16.5">
      <c r="A436" s="75"/>
      <c r="B436" s="32"/>
      <c r="C436" s="32"/>
      <c r="D436" s="32"/>
      <c r="E436" s="32"/>
      <c r="F436" s="32"/>
      <c r="G436" s="32"/>
      <c r="H436" s="76"/>
      <c r="I436" s="77"/>
    </row>
    <row r="437" spans="1:9" s="78" customFormat="1" ht="16.5">
      <c r="A437" s="75"/>
      <c r="B437" s="32"/>
      <c r="C437" s="32"/>
      <c r="D437" s="32"/>
      <c r="E437" s="32"/>
      <c r="F437" s="32"/>
      <c r="G437" s="32"/>
      <c r="H437" s="76"/>
      <c r="I437" s="77"/>
    </row>
    <row r="438" spans="1:9" s="78" customFormat="1" ht="16.5">
      <c r="A438" s="75"/>
      <c r="B438" s="32"/>
      <c r="C438" s="32"/>
      <c r="D438" s="32"/>
      <c r="E438" s="32"/>
      <c r="F438" s="32"/>
      <c r="G438" s="32"/>
      <c r="H438" s="76"/>
      <c r="I438" s="77"/>
    </row>
    <row r="439" spans="1:9" s="78" customFormat="1" ht="16.5">
      <c r="A439" s="75"/>
      <c r="B439" s="32"/>
      <c r="C439" s="32"/>
      <c r="D439" s="32"/>
      <c r="E439" s="32"/>
      <c r="F439" s="32"/>
      <c r="G439" s="32"/>
      <c r="H439" s="76"/>
      <c r="I439" s="77"/>
    </row>
    <row r="440" spans="1:9" s="78" customFormat="1" ht="16.5">
      <c r="A440" s="75"/>
      <c r="B440" s="32"/>
      <c r="C440" s="32"/>
      <c r="D440" s="32"/>
      <c r="E440" s="32"/>
      <c r="F440" s="32"/>
      <c r="G440" s="32"/>
      <c r="H440" s="76"/>
      <c r="I440" s="77"/>
    </row>
    <row r="441" spans="1:9" s="78" customFormat="1" ht="16.5">
      <c r="A441" s="75"/>
      <c r="B441" s="32"/>
      <c r="C441" s="32"/>
      <c r="D441" s="32"/>
      <c r="E441" s="32"/>
      <c r="F441" s="32"/>
      <c r="G441" s="32"/>
      <c r="H441" s="76"/>
      <c r="I441" s="77"/>
    </row>
    <row r="442" spans="1:9" s="78" customFormat="1" ht="16.5">
      <c r="A442" s="75"/>
      <c r="B442" s="32"/>
      <c r="C442" s="32"/>
      <c r="D442" s="32"/>
      <c r="E442" s="32"/>
      <c r="F442" s="32"/>
      <c r="G442" s="32"/>
      <c r="H442" s="76"/>
      <c r="I442" s="77"/>
    </row>
    <row r="443" spans="1:9" s="78" customFormat="1" ht="16.5">
      <c r="A443" s="75"/>
      <c r="B443" s="32"/>
      <c r="C443" s="32"/>
      <c r="D443" s="32"/>
      <c r="E443" s="32"/>
      <c r="F443" s="32"/>
      <c r="G443" s="32"/>
      <c r="H443" s="76"/>
      <c r="I443" s="77"/>
    </row>
    <row r="444" spans="1:9" s="78" customFormat="1" ht="16.5">
      <c r="A444" s="75"/>
      <c r="B444" s="32"/>
      <c r="C444" s="32"/>
      <c r="D444" s="32"/>
      <c r="E444" s="32"/>
      <c r="F444" s="32"/>
      <c r="G444" s="32"/>
      <c r="H444" s="76"/>
      <c r="I444" s="77"/>
    </row>
    <row r="445" spans="1:9" s="78" customFormat="1" ht="16.5">
      <c r="A445" s="75"/>
      <c r="B445" s="32"/>
      <c r="C445" s="32"/>
      <c r="D445" s="32"/>
      <c r="E445" s="32"/>
      <c r="F445" s="32"/>
      <c r="G445" s="32"/>
      <c r="H445" s="76"/>
      <c r="I445" s="77"/>
    </row>
    <row r="446" spans="1:9" s="78" customFormat="1" ht="16.5">
      <c r="A446" s="75"/>
      <c r="B446" s="32"/>
      <c r="C446" s="32"/>
      <c r="D446" s="32"/>
      <c r="E446" s="32"/>
      <c r="F446" s="32"/>
      <c r="G446" s="32"/>
      <c r="H446" s="76"/>
      <c r="I446" s="77"/>
    </row>
    <row r="447" spans="1:9" s="78" customFormat="1" ht="16.5">
      <c r="A447" s="75"/>
      <c r="B447" s="32"/>
      <c r="C447" s="32"/>
      <c r="D447" s="32"/>
      <c r="E447" s="32"/>
      <c r="F447" s="32"/>
      <c r="G447" s="32"/>
      <c r="H447" s="76"/>
      <c r="I447" s="77"/>
    </row>
    <row r="448" spans="1:9" s="78" customFormat="1" ht="16.5">
      <c r="A448" s="75"/>
      <c r="B448" s="32"/>
      <c r="C448" s="32"/>
      <c r="D448" s="32"/>
      <c r="E448" s="32"/>
      <c r="F448" s="32"/>
      <c r="G448" s="32"/>
      <c r="H448" s="76"/>
      <c r="I448" s="77"/>
    </row>
    <row r="449" spans="1:9" s="78" customFormat="1" ht="16.5">
      <c r="A449" s="75"/>
      <c r="B449" s="32"/>
      <c r="C449" s="32"/>
      <c r="D449" s="32"/>
      <c r="E449" s="32"/>
      <c r="F449" s="32"/>
      <c r="G449" s="32"/>
      <c r="H449" s="76"/>
      <c r="I449" s="77"/>
    </row>
    <row r="450" spans="1:9" s="78" customFormat="1" ht="16.5">
      <c r="A450" s="75"/>
      <c r="B450" s="32"/>
      <c r="C450" s="32"/>
      <c r="D450" s="32"/>
      <c r="E450" s="32"/>
      <c r="F450" s="32"/>
      <c r="G450" s="32"/>
      <c r="H450" s="76"/>
      <c r="I450" s="77"/>
    </row>
    <row r="451" spans="1:9" s="78" customFormat="1" ht="16.5">
      <c r="A451" s="75"/>
      <c r="B451" s="32"/>
      <c r="C451" s="32"/>
      <c r="D451" s="32"/>
      <c r="E451" s="32"/>
      <c r="F451" s="32"/>
      <c r="G451" s="32"/>
      <c r="H451" s="76"/>
      <c r="I451" s="77"/>
    </row>
    <row r="452" spans="1:9" s="78" customFormat="1" ht="16.5">
      <c r="A452" s="75"/>
      <c r="B452" s="32"/>
      <c r="C452" s="32"/>
      <c r="D452" s="32"/>
      <c r="E452" s="32"/>
      <c r="F452" s="32"/>
      <c r="G452" s="32"/>
      <c r="H452" s="76"/>
      <c r="I452" s="77"/>
    </row>
    <row r="453" spans="1:9" s="78" customFormat="1" ht="16.5">
      <c r="A453" s="75"/>
      <c r="B453" s="32"/>
      <c r="C453" s="32"/>
      <c r="D453" s="32"/>
      <c r="E453" s="32"/>
      <c r="F453" s="32"/>
      <c r="G453" s="32"/>
      <c r="H453" s="76"/>
      <c r="I453" s="77"/>
    </row>
    <row r="454" spans="1:9" s="78" customFormat="1" ht="16.5">
      <c r="A454" s="75"/>
      <c r="B454" s="32"/>
      <c r="C454" s="32"/>
      <c r="D454" s="32"/>
      <c r="E454" s="32"/>
      <c r="F454" s="32"/>
      <c r="G454" s="32"/>
      <c r="H454" s="76"/>
      <c r="I454" s="77"/>
    </row>
    <row r="455" spans="1:9" s="78" customFormat="1" ht="16.5">
      <c r="A455" s="75"/>
      <c r="B455" s="32"/>
      <c r="C455" s="32"/>
      <c r="D455" s="32"/>
      <c r="E455" s="32"/>
      <c r="F455" s="32"/>
      <c r="G455" s="32"/>
      <c r="H455" s="76"/>
      <c r="I455" s="77"/>
    </row>
    <row r="456" spans="1:9" s="78" customFormat="1" ht="16.5">
      <c r="A456" s="75"/>
      <c r="B456" s="32"/>
      <c r="C456" s="32"/>
      <c r="D456" s="32"/>
      <c r="E456" s="32"/>
      <c r="F456" s="32"/>
      <c r="G456" s="32"/>
      <c r="H456" s="76"/>
      <c r="I456" s="77"/>
    </row>
    <row r="457" spans="1:9" s="78" customFormat="1" ht="16.5">
      <c r="A457" s="75"/>
      <c r="B457" s="32"/>
      <c r="C457" s="32"/>
      <c r="D457" s="32"/>
      <c r="E457" s="32"/>
      <c r="F457" s="32"/>
      <c r="G457" s="32"/>
      <c r="H457" s="76"/>
      <c r="I457" s="77"/>
    </row>
    <row r="458" spans="1:9" s="78" customFormat="1" ht="16.5">
      <c r="A458" s="75"/>
      <c r="B458" s="32"/>
      <c r="C458" s="32"/>
      <c r="D458" s="32"/>
      <c r="E458" s="32"/>
      <c r="F458" s="32"/>
      <c r="G458" s="32"/>
      <c r="H458" s="76"/>
      <c r="I458" s="77"/>
    </row>
    <row r="459" spans="1:9" s="78" customFormat="1" ht="16.5">
      <c r="A459" s="75"/>
      <c r="B459" s="32"/>
      <c r="C459" s="32"/>
      <c r="D459" s="32"/>
      <c r="E459" s="32"/>
      <c r="F459" s="32"/>
      <c r="G459" s="32"/>
      <c r="H459" s="76"/>
      <c r="I459" s="77"/>
    </row>
    <row r="460" spans="1:9" s="78" customFormat="1" ht="16.5">
      <c r="A460" s="75"/>
      <c r="B460" s="32"/>
      <c r="C460" s="32"/>
      <c r="D460" s="32"/>
      <c r="E460" s="32"/>
      <c r="F460" s="32"/>
      <c r="G460" s="32"/>
      <c r="H460" s="76"/>
      <c r="I460" s="77"/>
    </row>
    <row r="461" spans="1:9" s="78" customFormat="1" ht="16.5">
      <c r="A461" s="75"/>
      <c r="B461" s="32"/>
      <c r="C461" s="32"/>
      <c r="D461" s="32"/>
      <c r="E461" s="32"/>
      <c r="F461" s="32"/>
      <c r="G461" s="32"/>
      <c r="H461" s="76"/>
      <c r="I461" s="77"/>
    </row>
    <row r="462" spans="1:9" s="78" customFormat="1" ht="16.5">
      <c r="A462" s="75"/>
      <c r="B462" s="32"/>
      <c r="C462" s="32"/>
      <c r="D462" s="32"/>
      <c r="E462" s="32"/>
      <c r="F462" s="32"/>
      <c r="G462" s="32"/>
      <c r="H462" s="76"/>
      <c r="I462" s="77"/>
    </row>
    <row r="463" spans="1:9" s="78" customFormat="1" ht="16.5">
      <c r="A463" s="75"/>
      <c r="B463" s="32"/>
      <c r="C463" s="32"/>
      <c r="D463" s="32"/>
      <c r="E463" s="32"/>
      <c r="F463" s="32"/>
      <c r="G463" s="32"/>
      <c r="H463" s="76"/>
      <c r="I463" s="77"/>
    </row>
    <row r="464" spans="1:9" s="78" customFormat="1" ht="16.5">
      <c r="A464" s="75"/>
      <c r="B464" s="32"/>
      <c r="C464" s="32"/>
      <c r="D464" s="32"/>
      <c r="E464" s="32"/>
      <c r="F464" s="32"/>
      <c r="G464" s="32"/>
      <c r="H464" s="76"/>
      <c r="I464" s="77"/>
    </row>
    <row r="465" spans="1:9" s="78" customFormat="1" ht="16.5">
      <c r="A465" s="75"/>
      <c r="B465" s="32"/>
      <c r="C465" s="32"/>
      <c r="D465" s="32"/>
      <c r="E465" s="32"/>
      <c r="F465" s="32"/>
      <c r="G465" s="32"/>
      <c r="H465" s="76"/>
      <c r="I465" s="77"/>
    </row>
    <row r="466" spans="1:9" s="78" customFormat="1" ht="16.5">
      <c r="A466" s="75"/>
      <c r="B466" s="32"/>
      <c r="C466" s="32"/>
      <c r="D466" s="32"/>
      <c r="E466" s="32"/>
      <c r="F466" s="32"/>
      <c r="G466" s="32"/>
      <c r="H466" s="76"/>
      <c r="I466" s="77"/>
    </row>
    <row r="467" spans="1:9" s="78" customFormat="1" ht="16.5">
      <c r="A467" s="75"/>
      <c r="B467" s="32"/>
      <c r="C467" s="32"/>
      <c r="D467" s="32"/>
      <c r="E467" s="32"/>
      <c r="F467" s="32"/>
      <c r="G467" s="32"/>
      <c r="H467" s="76"/>
      <c r="I467" s="77"/>
    </row>
    <row r="468" spans="1:9" s="78" customFormat="1" ht="16.5">
      <c r="A468" s="75"/>
      <c r="B468" s="32"/>
      <c r="C468" s="32"/>
      <c r="D468" s="32"/>
      <c r="E468" s="32"/>
      <c r="F468" s="32"/>
      <c r="G468" s="32"/>
      <c r="H468" s="76"/>
      <c r="I468" s="77"/>
    </row>
    <row r="469" spans="1:9" s="78" customFormat="1" ht="16.5">
      <c r="A469" s="75"/>
      <c r="B469" s="32"/>
      <c r="C469" s="32"/>
      <c r="D469" s="32"/>
      <c r="E469" s="32"/>
      <c r="F469" s="32"/>
      <c r="G469" s="32"/>
      <c r="H469" s="76"/>
      <c r="I469" s="77"/>
    </row>
    <row r="470" spans="1:9" s="78" customFormat="1" ht="16.5">
      <c r="A470" s="75"/>
      <c r="B470" s="32"/>
      <c r="C470" s="32"/>
      <c r="D470" s="32"/>
      <c r="E470" s="32"/>
      <c r="F470" s="32"/>
      <c r="G470" s="32"/>
      <c r="H470" s="76"/>
      <c r="I470" s="77"/>
    </row>
    <row r="471" spans="1:9" s="78" customFormat="1" ht="16.5">
      <c r="A471" s="75"/>
      <c r="B471" s="32"/>
      <c r="C471" s="32"/>
      <c r="D471" s="32"/>
      <c r="E471" s="32"/>
      <c r="F471" s="32"/>
      <c r="G471" s="32"/>
      <c r="H471" s="76"/>
      <c r="I471" s="77"/>
    </row>
    <row r="472" spans="1:9" s="78" customFormat="1" ht="16.5">
      <c r="A472" s="75"/>
      <c r="B472" s="32"/>
      <c r="C472" s="32"/>
      <c r="D472" s="32"/>
      <c r="E472" s="32"/>
      <c r="F472" s="32"/>
      <c r="G472" s="32"/>
      <c r="H472" s="76"/>
      <c r="I472" s="77"/>
    </row>
    <row r="473" spans="1:9" s="78" customFormat="1" ht="16.5">
      <c r="A473" s="75"/>
      <c r="B473" s="32"/>
      <c r="C473" s="32"/>
      <c r="D473" s="32"/>
      <c r="E473" s="32"/>
      <c r="F473" s="32"/>
      <c r="G473" s="32"/>
      <c r="H473" s="76"/>
      <c r="I473" s="77"/>
    </row>
    <row r="474" spans="1:9" s="78" customFormat="1" ht="16.5">
      <c r="A474" s="75"/>
      <c r="B474" s="32"/>
      <c r="C474" s="32"/>
      <c r="D474" s="32"/>
      <c r="E474" s="32"/>
      <c r="F474" s="32"/>
      <c r="G474" s="32"/>
      <c r="H474" s="76"/>
      <c r="I474" s="77"/>
    </row>
    <row r="475" spans="1:9" s="78" customFormat="1" ht="16.5">
      <c r="A475" s="75"/>
      <c r="B475" s="32"/>
      <c r="C475" s="32"/>
      <c r="D475" s="32"/>
      <c r="E475" s="32"/>
      <c r="F475" s="32"/>
      <c r="G475" s="32"/>
      <c r="H475" s="76"/>
      <c r="I475" s="77"/>
    </row>
    <row r="476" spans="1:9" s="78" customFormat="1" ht="16.5">
      <c r="A476" s="75"/>
      <c r="B476" s="32"/>
      <c r="C476" s="32"/>
      <c r="D476" s="32"/>
      <c r="E476" s="32"/>
      <c r="F476" s="32"/>
      <c r="G476" s="32"/>
      <c r="H476" s="76"/>
      <c r="I476" s="77"/>
    </row>
    <row r="477" spans="1:9" s="78" customFormat="1" ht="16.5">
      <c r="A477" s="75"/>
      <c r="B477" s="32"/>
      <c r="C477" s="32"/>
      <c r="D477" s="32"/>
      <c r="E477" s="32"/>
      <c r="F477" s="32"/>
      <c r="G477" s="32"/>
      <c r="H477" s="76"/>
      <c r="I477" s="77"/>
    </row>
    <row r="478" spans="1:9" s="78" customFormat="1" ht="16.5">
      <c r="A478" s="75"/>
      <c r="B478" s="32"/>
      <c r="C478" s="32"/>
      <c r="D478" s="32"/>
      <c r="E478" s="32"/>
      <c r="F478" s="32"/>
      <c r="G478" s="32"/>
      <c r="H478" s="76"/>
      <c r="I478" s="77"/>
    </row>
    <row r="479" spans="1:9" s="78" customFormat="1" ht="16.5">
      <c r="A479" s="75"/>
      <c r="B479" s="32"/>
      <c r="C479" s="32"/>
      <c r="D479" s="32"/>
      <c r="E479" s="32"/>
      <c r="F479" s="32"/>
      <c r="G479" s="32"/>
      <c r="H479" s="76"/>
      <c r="I479" s="77"/>
    </row>
    <row r="480" spans="1:9" s="78" customFormat="1" ht="16.5">
      <c r="A480" s="75"/>
      <c r="B480" s="32"/>
      <c r="C480" s="32"/>
      <c r="D480" s="32"/>
      <c r="E480" s="32"/>
      <c r="F480" s="32"/>
      <c r="G480" s="32"/>
      <c r="H480" s="76"/>
      <c r="I480" s="77"/>
    </row>
    <row r="481" spans="1:9" s="78" customFormat="1" ht="16.5">
      <c r="A481" s="75"/>
      <c r="B481" s="32"/>
      <c r="C481" s="32"/>
      <c r="D481" s="32"/>
      <c r="E481" s="32"/>
      <c r="F481" s="32"/>
      <c r="G481" s="32"/>
      <c r="H481" s="76"/>
      <c r="I481" s="77"/>
    </row>
    <row r="482" spans="1:9" s="78" customFormat="1" ht="16.5">
      <c r="A482" s="75"/>
      <c r="B482" s="32"/>
      <c r="C482" s="32"/>
      <c r="D482" s="32"/>
      <c r="E482" s="32"/>
      <c r="F482" s="32"/>
      <c r="G482" s="32"/>
      <c r="H482" s="76"/>
      <c r="I482" s="77"/>
    </row>
    <row r="483" spans="1:9" s="78" customFormat="1" ht="16.5">
      <c r="A483" s="75"/>
      <c r="B483" s="32"/>
      <c r="C483" s="32"/>
      <c r="D483" s="32"/>
      <c r="E483" s="32"/>
      <c r="F483" s="32"/>
      <c r="G483" s="32"/>
      <c r="H483" s="76"/>
      <c r="I483" s="77"/>
    </row>
    <row r="484" spans="1:9" s="78" customFormat="1" ht="16.5">
      <c r="A484" s="75"/>
      <c r="B484" s="32"/>
      <c r="C484" s="32"/>
      <c r="D484" s="32"/>
      <c r="E484" s="32"/>
      <c r="F484" s="32"/>
      <c r="G484" s="32"/>
      <c r="H484" s="76"/>
      <c r="I484" s="77"/>
    </row>
    <row r="485" spans="1:9" s="78" customFormat="1" ht="16.5">
      <c r="A485" s="75"/>
      <c r="B485" s="32"/>
      <c r="C485" s="32"/>
      <c r="D485" s="32"/>
      <c r="E485" s="32"/>
      <c r="F485" s="32"/>
      <c r="G485" s="32"/>
      <c r="H485" s="76"/>
      <c r="I485" s="77"/>
    </row>
    <row r="486" spans="1:9" s="78" customFormat="1" ht="16.5">
      <c r="A486" s="75"/>
      <c r="B486" s="32"/>
      <c r="C486" s="32"/>
      <c r="D486" s="32"/>
      <c r="E486" s="32"/>
      <c r="F486" s="32"/>
      <c r="G486" s="32"/>
      <c r="H486" s="76"/>
      <c r="I486" s="77"/>
    </row>
    <row r="487" spans="1:9" s="78" customFormat="1" ht="16.5">
      <c r="A487" s="75"/>
      <c r="B487" s="32"/>
      <c r="C487" s="32"/>
      <c r="D487" s="32"/>
      <c r="E487" s="32"/>
      <c r="F487" s="32"/>
      <c r="G487" s="32"/>
      <c r="H487" s="76"/>
      <c r="I487" s="77"/>
    </row>
    <row r="488" spans="1:9" s="78" customFormat="1" ht="16.5">
      <c r="A488" s="75"/>
      <c r="B488" s="32"/>
      <c r="C488" s="32"/>
      <c r="D488" s="32"/>
      <c r="E488" s="32"/>
      <c r="F488" s="32"/>
      <c r="G488" s="32"/>
      <c r="H488" s="76"/>
      <c r="I488" s="77"/>
    </row>
    <row r="489" spans="1:9" s="78" customFormat="1" ht="16.5">
      <c r="A489" s="75"/>
      <c r="B489" s="32"/>
      <c r="C489" s="32"/>
      <c r="D489" s="32"/>
      <c r="E489" s="32"/>
      <c r="F489" s="32"/>
      <c r="G489" s="32"/>
      <c r="H489" s="76"/>
      <c r="I489" s="77"/>
    </row>
    <row r="490" spans="1:9" s="78" customFormat="1" ht="16.5">
      <c r="A490" s="75"/>
      <c r="B490" s="32"/>
      <c r="C490" s="32"/>
      <c r="D490" s="32"/>
      <c r="E490" s="32"/>
      <c r="F490" s="32"/>
      <c r="G490" s="32"/>
      <c r="H490" s="76"/>
      <c r="I490" s="77"/>
    </row>
    <row r="491" spans="1:9" s="78" customFormat="1" ht="16.5">
      <c r="A491" s="75"/>
      <c r="B491" s="32"/>
      <c r="C491" s="32"/>
      <c r="D491" s="32"/>
      <c r="E491" s="32"/>
      <c r="F491" s="32"/>
      <c r="G491" s="32"/>
      <c r="H491" s="76"/>
      <c r="I491" s="77"/>
    </row>
    <row r="492" spans="1:9" s="78" customFormat="1" ht="16.5">
      <c r="A492" s="75"/>
      <c r="B492" s="32"/>
      <c r="C492" s="32"/>
      <c r="D492" s="32"/>
      <c r="E492" s="32"/>
      <c r="F492" s="32"/>
      <c r="G492" s="32"/>
      <c r="H492" s="76"/>
      <c r="I492" s="77"/>
    </row>
    <row r="493" spans="1:9" s="78" customFormat="1" ht="16.5">
      <c r="A493" s="75"/>
      <c r="B493" s="32"/>
      <c r="C493" s="32"/>
      <c r="D493" s="32"/>
      <c r="E493" s="32"/>
      <c r="F493" s="32"/>
      <c r="G493" s="32"/>
      <c r="H493" s="76"/>
      <c r="I493" s="77"/>
    </row>
    <row r="494" spans="1:9" s="78" customFormat="1" ht="16.5">
      <c r="A494" s="75"/>
      <c r="B494" s="32"/>
      <c r="C494" s="32"/>
      <c r="D494" s="32"/>
      <c r="E494" s="32"/>
      <c r="F494" s="32"/>
      <c r="G494" s="32"/>
      <c r="H494" s="76"/>
      <c r="I494" s="77"/>
    </row>
    <row r="495" spans="1:9" s="78" customFormat="1" ht="16.5">
      <c r="A495" s="75"/>
      <c r="B495" s="32"/>
      <c r="C495" s="32"/>
      <c r="D495" s="32"/>
      <c r="E495" s="32"/>
      <c r="F495" s="32"/>
      <c r="G495" s="32"/>
      <c r="H495" s="76"/>
      <c r="I495" s="77"/>
    </row>
    <row r="496" spans="1:9" s="78" customFormat="1" ht="16.5">
      <c r="A496" s="75"/>
      <c r="B496" s="32"/>
      <c r="C496" s="32"/>
      <c r="D496" s="32"/>
      <c r="E496" s="32"/>
      <c r="F496" s="32"/>
      <c r="G496" s="32"/>
      <c r="H496" s="76"/>
      <c r="I496" s="77"/>
    </row>
    <row r="497" spans="1:9" s="78" customFormat="1" ht="16.5">
      <c r="A497" s="75"/>
      <c r="B497" s="32"/>
      <c r="C497" s="32"/>
      <c r="D497" s="32"/>
      <c r="E497" s="32"/>
      <c r="F497" s="32"/>
      <c r="G497" s="32"/>
      <c r="H497" s="76"/>
      <c r="I497" s="77"/>
    </row>
    <row r="498" spans="1:9" s="78" customFormat="1" ht="16.5">
      <c r="A498" s="75"/>
      <c r="B498" s="32"/>
      <c r="C498" s="32"/>
      <c r="D498" s="32"/>
      <c r="E498" s="32"/>
      <c r="F498" s="32"/>
      <c r="G498" s="32"/>
      <c r="H498" s="76"/>
      <c r="I498" s="77"/>
    </row>
    <row r="499" spans="1:9" s="78" customFormat="1" ht="16.5">
      <c r="A499" s="75"/>
      <c r="B499" s="32"/>
      <c r="C499" s="32"/>
      <c r="D499" s="32"/>
      <c r="E499" s="32"/>
      <c r="F499" s="32"/>
      <c r="G499" s="32"/>
      <c r="H499" s="76"/>
      <c r="I499" s="77"/>
    </row>
    <row r="500" spans="1:9" s="78" customFormat="1" ht="16.5">
      <c r="A500" s="75"/>
      <c r="B500" s="32"/>
      <c r="C500" s="32"/>
      <c r="D500" s="32"/>
      <c r="E500" s="32"/>
      <c r="F500" s="32"/>
      <c r="G500" s="32"/>
      <c r="H500" s="76"/>
      <c r="I500" s="77"/>
    </row>
    <row r="501" spans="1:9" s="78" customFormat="1" ht="16.5">
      <c r="A501" s="75"/>
      <c r="B501" s="32"/>
      <c r="C501" s="32"/>
      <c r="D501" s="32"/>
      <c r="E501" s="32"/>
      <c r="F501" s="32"/>
      <c r="G501" s="32"/>
      <c r="H501" s="76"/>
      <c r="I501" s="77"/>
    </row>
    <row r="502" spans="1:9" s="78" customFormat="1" ht="16.5">
      <c r="A502" s="75"/>
      <c r="B502" s="32"/>
      <c r="C502" s="32"/>
      <c r="D502" s="32"/>
      <c r="E502" s="32"/>
      <c r="F502" s="32"/>
      <c r="G502" s="32"/>
      <c r="H502" s="76"/>
      <c r="I502" s="77"/>
    </row>
    <row r="503" spans="1:9" s="78" customFormat="1" ht="16.5">
      <c r="A503" s="75"/>
      <c r="B503" s="32"/>
      <c r="C503" s="32"/>
      <c r="D503" s="32"/>
      <c r="E503" s="32"/>
      <c r="F503" s="32"/>
      <c r="G503" s="32"/>
      <c r="H503" s="76"/>
      <c r="I503" s="77"/>
    </row>
    <row r="504" spans="1:9" s="78" customFormat="1" ht="16.5">
      <c r="A504" s="75"/>
      <c r="B504" s="32"/>
      <c r="C504" s="32"/>
      <c r="D504" s="32"/>
      <c r="E504" s="32"/>
      <c r="F504" s="32"/>
      <c r="G504" s="32"/>
      <c r="H504" s="76"/>
      <c r="I504" s="77"/>
    </row>
    <row r="505" spans="1:9" s="78" customFormat="1" ht="16.5">
      <c r="A505" s="75"/>
      <c r="B505" s="32"/>
      <c r="C505" s="32"/>
      <c r="D505" s="32"/>
      <c r="E505" s="32"/>
      <c r="F505" s="32"/>
      <c r="G505" s="32"/>
      <c r="H505" s="76"/>
      <c r="I505" s="77"/>
    </row>
    <row r="506" spans="1:9" s="78" customFormat="1" ht="16.5">
      <c r="A506" s="75"/>
      <c r="B506" s="32"/>
      <c r="C506" s="32"/>
      <c r="D506" s="32"/>
      <c r="E506" s="32"/>
      <c r="F506" s="32"/>
      <c r="G506" s="32"/>
      <c r="H506" s="76"/>
      <c r="I506" s="77"/>
    </row>
    <row r="507" spans="1:9" s="78" customFormat="1" ht="16.5">
      <c r="A507" s="75"/>
      <c r="B507" s="32"/>
      <c r="C507" s="32"/>
      <c r="D507" s="32"/>
      <c r="E507" s="32"/>
      <c r="F507" s="32"/>
      <c r="G507" s="32"/>
      <c r="H507" s="76"/>
      <c r="I507" s="77"/>
    </row>
    <row r="508" spans="1:9" s="78" customFormat="1" ht="16.5">
      <c r="A508" s="75"/>
      <c r="B508" s="32"/>
      <c r="C508" s="32"/>
      <c r="D508" s="32"/>
      <c r="E508" s="32"/>
      <c r="F508" s="32"/>
      <c r="G508" s="32"/>
      <c r="H508" s="76"/>
      <c r="I508" s="77"/>
    </row>
    <row r="509" spans="1:9" s="78" customFormat="1" ht="16.5">
      <c r="A509" s="75"/>
      <c r="B509" s="32"/>
      <c r="C509" s="32"/>
      <c r="D509" s="32"/>
      <c r="E509" s="32"/>
      <c r="F509" s="32"/>
      <c r="G509" s="32"/>
      <c r="H509" s="76"/>
      <c r="I509" s="77"/>
    </row>
    <row r="510" spans="1:9" s="78" customFormat="1" ht="16.5">
      <c r="A510" s="75"/>
      <c r="B510" s="32"/>
      <c r="C510" s="32"/>
      <c r="D510" s="32"/>
      <c r="E510" s="32"/>
      <c r="F510" s="32"/>
      <c r="G510" s="32"/>
      <c r="H510" s="76"/>
      <c r="I510" s="77"/>
    </row>
    <row r="511" spans="1:9" s="78" customFormat="1" ht="16.5">
      <c r="A511" s="75"/>
      <c r="B511" s="32"/>
      <c r="C511" s="32"/>
      <c r="D511" s="32"/>
      <c r="E511" s="32"/>
      <c r="F511" s="32"/>
      <c r="G511" s="32"/>
      <c r="H511" s="76"/>
      <c r="I511" s="77"/>
    </row>
    <row r="512" spans="1:9" s="78" customFormat="1" ht="16.5">
      <c r="A512" s="75"/>
      <c r="B512" s="32"/>
      <c r="C512" s="32"/>
      <c r="D512" s="32"/>
      <c r="E512" s="32"/>
      <c r="F512" s="32"/>
      <c r="G512" s="32"/>
      <c r="H512" s="76"/>
      <c r="I512" s="77"/>
    </row>
    <row r="513" spans="1:9" s="78" customFormat="1" ht="16.5">
      <c r="A513" s="75"/>
      <c r="B513" s="32"/>
      <c r="C513" s="32"/>
      <c r="D513" s="32"/>
      <c r="E513" s="32"/>
      <c r="F513" s="32"/>
      <c r="G513" s="32"/>
      <c r="H513" s="76"/>
      <c r="I513" s="77"/>
    </row>
    <row r="514" spans="1:9" s="78" customFormat="1" ht="16.5">
      <c r="A514" s="75"/>
      <c r="B514" s="32"/>
      <c r="C514" s="32"/>
      <c r="D514" s="32"/>
      <c r="E514" s="32"/>
      <c r="F514" s="32"/>
      <c r="G514" s="32"/>
      <c r="H514" s="76"/>
      <c r="I514" s="77"/>
    </row>
    <row r="515" spans="1:9" s="78" customFormat="1" ht="16.5">
      <c r="A515" s="75"/>
      <c r="B515" s="32"/>
      <c r="C515" s="32"/>
      <c r="D515" s="32"/>
      <c r="E515" s="32"/>
      <c r="F515" s="32"/>
      <c r="G515" s="32"/>
      <c r="H515" s="76"/>
      <c r="I515" s="77"/>
    </row>
    <row r="516" spans="1:9" s="78" customFormat="1" ht="16.5">
      <c r="A516" s="75"/>
      <c r="B516" s="32"/>
      <c r="C516" s="32"/>
      <c r="D516" s="32"/>
      <c r="E516" s="32"/>
      <c r="F516" s="32"/>
      <c r="G516" s="32"/>
      <c r="H516" s="76"/>
      <c r="I516" s="77"/>
    </row>
    <row r="517" spans="1:9" s="78" customFormat="1" ht="16.5">
      <c r="A517" s="75"/>
      <c r="B517" s="32"/>
      <c r="C517" s="32"/>
      <c r="D517" s="32"/>
      <c r="E517" s="32"/>
      <c r="F517" s="32"/>
      <c r="G517" s="32"/>
      <c r="H517" s="76"/>
      <c r="I517" s="77"/>
    </row>
    <row r="518" spans="1:9" s="78" customFormat="1" ht="16.5">
      <c r="A518" s="75"/>
      <c r="B518" s="32"/>
      <c r="C518" s="32"/>
      <c r="D518" s="32"/>
      <c r="E518" s="32"/>
      <c r="F518" s="32"/>
      <c r="G518" s="32"/>
      <c r="H518" s="76"/>
      <c r="I518" s="77"/>
    </row>
    <row r="519" spans="1:9" s="78" customFormat="1" ht="16.5">
      <c r="A519" s="75"/>
      <c r="B519" s="32"/>
      <c r="C519" s="32"/>
      <c r="D519" s="32"/>
      <c r="E519" s="32"/>
      <c r="F519" s="32"/>
      <c r="G519" s="32"/>
      <c r="H519" s="76"/>
      <c r="I519" s="77"/>
    </row>
    <row r="520" spans="1:9" s="78" customFormat="1" ht="16.5">
      <c r="A520" s="75"/>
      <c r="B520" s="32"/>
      <c r="C520" s="32"/>
      <c r="D520" s="32"/>
      <c r="E520" s="32"/>
      <c r="F520" s="32"/>
      <c r="G520" s="32"/>
      <c r="H520" s="76"/>
      <c r="I520" s="77"/>
    </row>
    <row r="521" spans="1:9" s="78" customFormat="1" ht="16.5">
      <c r="A521" s="75"/>
      <c r="B521" s="32"/>
      <c r="C521" s="32"/>
      <c r="D521" s="32"/>
      <c r="E521" s="32"/>
      <c r="F521" s="32"/>
      <c r="G521" s="32"/>
      <c r="H521" s="76"/>
      <c r="I521" s="77"/>
    </row>
    <row r="522" spans="1:9" s="78" customFormat="1" ht="16.5">
      <c r="A522" s="75"/>
      <c r="B522" s="32"/>
      <c r="C522" s="32"/>
      <c r="D522" s="32"/>
      <c r="E522" s="32"/>
      <c r="F522" s="32"/>
      <c r="G522" s="32"/>
      <c r="H522" s="76"/>
      <c r="I522" s="77"/>
    </row>
    <row r="523" spans="1:9" s="78" customFormat="1" ht="16.5">
      <c r="A523" s="75"/>
      <c r="B523" s="32"/>
      <c r="C523" s="32"/>
      <c r="D523" s="32"/>
      <c r="E523" s="32"/>
      <c r="F523" s="32"/>
      <c r="G523" s="32"/>
      <c r="H523" s="76"/>
      <c r="I523" s="77"/>
    </row>
    <row r="524" spans="1:9" s="78" customFormat="1" ht="16.5">
      <c r="A524" s="75"/>
      <c r="B524" s="32"/>
      <c r="C524" s="32"/>
      <c r="D524" s="32"/>
      <c r="E524" s="32"/>
      <c r="F524" s="32"/>
      <c r="G524" s="32"/>
      <c r="H524" s="76"/>
      <c r="I524" s="77"/>
    </row>
    <row r="525" spans="1:9" s="78" customFormat="1" ht="16.5">
      <c r="A525" s="75"/>
      <c r="B525" s="32"/>
      <c r="C525" s="32"/>
      <c r="D525" s="32"/>
      <c r="E525" s="32"/>
      <c r="F525" s="32"/>
      <c r="G525" s="32"/>
      <c r="H525" s="76"/>
      <c r="I525" s="77"/>
    </row>
    <row r="526" spans="1:9" s="78" customFormat="1" ht="16.5">
      <c r="A526" s="75"/>
      <c r="B526" s="32"/>
      <c r="C526" s="32"/>
      <c r="D526" s="32"/>
      <c r="E526" s="32"/>
      <c r="F526" s="32"/>
      <c r="G526" s="32"/>
      <c r="H526" s="76"/>
      <c r="I526" s="77"/>
    </row>
    <row r="527" spans="1:9" s="78" customFormat="1" ht="16.5">
      <c r="A527" s="75"/>
      <c r="B527" s="32"/>
      <c r="C527" s="32"/>
      <c r="D527" s="32"/>
      <c r="E527" s="32"/>
      <c r="F527" s="32"/>
      <c r="G527" s="32"/>
      <c r="H527" s="76"/>
      <c r="I527" s="77"/>
    </row>
    <row r="528" spans="1:9" s="78" customFormat="1" ht="16.5">
      <c r="A528" s="75"/>
      <c r="B528" s="32"/>
      <c r="C528" s="32"/>
      <c r="D528" s="32"/>
      <c r="E528" s="32"/>
      <c r="F528" s="32"/>
      <c r="G528" s="32"/>
      <c r="H528" s="76"/>
      <c r="I528" s="77"/>
    </row>
    <row r="529" spans="1:9" s="78" customFormat="1" ht="16.5">
      <c r="A529" s="75"/>
      <c r="B529" s="32"/>
      <c r="C529" s="32"/>
      <c r="D529" s="32"/>
      <c r="E529" s="32"/>
      <c r="F529" s="32"/>
      <c r="G529" s="32"/>
      <c r="H529" s="76"/>
      <c r="I529" s="77"/>
    </row>
    <row r="530" spans="1:9" s="78" customFormat="1" ht="16.5">
      <c r="A530" s="75"/>
      <c r="B530" s="32"/>
      <c r="C530" s="32"/>
      <c r="D530" s="32"/>
      <c r="E530" s="32"/>
      <c r="F530" s="32"/>
      <c r="G530" s="32"/>
      <c r="H530" s="76"/>
      <c r="I530" s="77"/>
    </row>
    <row r="531" spans="1:9" s="78" customFormat="1" ht="16.5">
      <c r="A531" s="75"/>
      <c r="B531" s="32"/>
      <c r="C531" s="32"/>
      <c r="D531" s="32"/>
      <c r="E531" s="32"/>
      <c r="F531" s="32"/>
      <c r="G531" s="32"/>
      <c r="H531" s="76"/>
      <c r="I531" s="77"/>
    </row>
    <row r="532" spans="1:9" s="78" customFormat="1" ht="16.5">
      <c r="A532" s="75"/>
      <c r="B532" s="32"/>
      <c r="C532" s="32"/>
      <c r="D532" s="32"/>
      <c r="E532" s="32"/>
      <c r="F532" s="32"/>
      <c r="G532" s="32"/>
      <c r="H532" s="76"/>
      <c r="I532" s="77"/>
    </row>
    <row r="533" spans="1:9" s="78" customFormat="1" ht="16.5">
      <c r="A533" s="75"/>
      <c r="B533" s="32"/>
      <c r="C533" s="32"/>
      <c r="D533" s="32"/>
      <c r="E533" s="32"/>
      <c r="F533" s="32"/>
      <c r="G533" s="32"/>
      <c r="H533" s="76"/>
      <c r="I533" s="77"/>
    </row>
    <row r="534" spans="1:9" s="78" customFormat="1" ht="16.5">
      <c r="A534" s="75"/>
      <c r="B534" s="32"/>
      <c r="C534" s="32"/>
      <c r="D534" s="32"/>
      <c r="E534" s="32"/>
      <c r="F534" s="32"/>
      <c r="G534" s="32"/>
      <c r="H534" s="76"/>
      <c r="I534" s="77"/>
    </row>
    <row r="535" spans="1:9" s="78" customFormat="1" ht="16.5">
      <c r="A535" s="75"/>
      <c r="B535" s="32"/>
      <c r="C535" s="32"/>
      <c r="D535" s="32"/>
      <c r="E535" s="32"/>
      <c r="F535" s="32"/>
      <c r="G535" s="32"/>
      <c r="H535" s="76"/>
      <c r="I535" s="77"/>
    </row>
    <row r="536" spans="1:9" s="78" customFormat="1" ht="16.5">
      <c r="A536" s="75"/>
      <c r="B536" s="32"/>
      <c r="C536" s="32"/>
      <c r="D536" s="32"/>
      <c r="E536" s="32"/>
      <c r="F536" s="32"/>
      <c r="G536" s="32"/>
      <c r="H536" s="76"/>
      <c r="I536" s="77"/>
    </row>
    <row r="537" spans="1:9" s="78" customFormat="1" ht="16.5">
      <c r="A537" s="75"/>
      <c r="B537" s="32"/>
      <c r="C537" s="32"/>
      <c r="D537" s="32"/>
      <c r="E537" s="32"/>
      <c r="F537" s="32"/>
      <c r="G537" s="32"/>
      <c r="H537" s="76"/>
      <c r="I537" s="77"/>
    </row>
    <row r="538" spans="1:9" s="78" customFormat="1" ht="16.5">
      <c r="A538" s="75"/>
      <c r="B538" s="32"/>
      <c r="C538" s="32"/>
      <c r="D538" s="32"/>
      <c r="E538" s="32"/>
      <c r="F538" s="32"/>
      <c r="G538" s="32"/>
      <c r="H538" s="76"/>
      <c r="I538" s="77"/>
    </row>
    <row r="539" spans="1:9" s="78" customFormat="1" ht="16.5">
      <c r="A539" s="75"/>
      <c r="B539" s="32"/>
      <c r="C539" s="32"/>
      <c r="D539" s="32"/>
      <c r="E539" s="32"/>
      <c r="F539" s="32"/>
      <c r="G539" s="32"/>
      <c r="H539" s="76"/>
      <c r="I539" s="77"/>
    </row>
    <row r="540" spans="1:9" s="78" customFormat="1" ht="16.5">
      <c r="A540" s="75"/>
      <c r="B540" s="32"/>
      <c r="C540" s="32"/>
      <c r="D540" s="32"/>
      <c r="E540" s="32"/>
      <c r="F540" s="32"/>
      <c r="G540" s="32"/>
      <c r="H540" s="76"/>
      <c r="I540" s="77"/>
    </row>
    <row r="541" spans="1:9" s="78" customFormat="1" ht="16.5">
      <c r="A541" s="75"/>
      <c r="B541" s="32"/>
      <c r="C541" s="32"/>
      <c r="D541" s="32"/>
      <c r="E541" s="32"/>
      <c r="F541" s="32"/>
      <c r="G541" s="32"/>
      <c r="H541" s="76"/>
      <c r="I541" s="77"/>
    </row>
    <row r="542" spans="1:9" s="78" customFormat="1" ht="16.5">
      <c r="A542" s="75"/>
      <c r="B542" s="32"/>
      <c r="C542" s="32"/>
      <c r="D542" s="32"/>
      <c r="E542" s="32"/>
      <c r="F542" s="32"/>
      <c r="G542" s="32"/>
      <c r="H542" s="76"/>
      <c r="I542" s="77"/>
    </row>
    <row r="543" spans="1:9" s="78" customFormat="1" ht="16.5">
      <c r="A543" s="75"/>
      <c r="B543" s="32"/>
      <c r="C543" s="32"/>
      <c r="D543" s="32"/>
      <c r="E543" s="32"/>
      <c r="F543" s="32"/>
      <c r="G543" s="32"/>
      <c r="H543" s="76"/>
      <c r="I543" s="77"/>
    </row>
    <row r="544" spans="1:9" s="78" customFormat="1" ht="16.5">
      <c r="A544" s="75"/>
      <c r="B544" s="32"/>
      <c r="C544" s="32"/>
      <c r="D544" s="32"/>
      <c r="E544" s="32"/>
      <c r="F544" s="32"/>
      <c r="G544" s="32"/>
      <c r="H544" s="76"/>
      <c r="I544" s="77"/>
    </row>
    <row r="545" spans="1:9" s="78" customFormat="1" ht="16.5">
      <c r="A545" s="75"/>
      <c r="B545" s="32"/>
      <c r="C545" s="32"/>
      <c r="D545" s="32"/>
      <c r="E545" s="32"/>
      <c r="F545" s="32"/>
      <c r="G545" s="32"/>
      <c r="H545" s="76"/>
      <c r="I545" s="77"/>
    </row>
    <row r="546" spans="1:9" s="78" customFormat="1" ht="16.5">
      <c r="A546" s="75"/>
      <c r="B546" s="32"/>
      <c r="C546" s="32"/>
      <c r="D546" s="32"/>
      <c r="E546" s="32"/>
      <c r="F546" s="32"/>
      <c r="G546" s="32"/>
      <c r="H546" s="76"/>
      <c r="I546" s="77"/>
    </row>
    <row r="547" spans="1:9" s="78" customFormat="1" ht="16.5">
      <c r="A547" s="75"/>
      <c r="B547" s="32"/>
      <c r="C547" s="32"/>
      <c r="D547" s="32"/>
      <c r="E547" s="32"/>
      <c r="F547" s="32"/>
      <c r="G547" s="32"/>
      <c r="H547" s="76"/>
      <c r="I547" s="77"/>
    </row>
    <row r="548" spans="1:9" s="78" customFormat="1" ht="16.5">
      <c r="A548" s="75"/>
      <c r="B548" s="32"/>
      <c r="C548" s="32"/>
      <c r="D548" s="32"/>
      <c r="E548" s="32"/>
      <c r="F548" s="32"/>
      <c r="G548" s="32"/>
      <c r="H548" s="76"/>
      <c r="I548" s="77"/>
    </row>
    <row r="549" spans="1:9" s="78" customFormat="1" ht="16.5">
      <c r="A549" s="75"/>
      <c r="B549" s="32"/>
      <c r="C549" s="32"/>
      <c r="D549" s="32"/>
      <c r="E549" s="32"/>
      <c r="F549" s="32"/>
      <c r="G549" s="32"/>
      <c r="H549" s="76"/>
      <c r="I549" s="77"/>
    </row>
    <row r="550" spans="1:9" s="78" customFormat="1" ht="16.5">
      <c r="A550" s="75"/>
      <c r="B550" s="32"/>
      <c r="C550" s="32"/>
      <c r="D550" s="32"/>
      <c r="E550" s="32"/>
      <c r="F550" s="32"/>
      <c r="G550" s="32"/>
      <c r="H550" s="76"/>
      <c r="I550" s="77"/>
    </row>
    <row r="551" spans="1:9" s="78" customFormat="1" ht="16.5">
      <c r="A551" s="75"/>
      <c r="B551" s="32"/>
      <c r="C551" s="32"/>
      <c r="D551" s="32"/>
      <c r="E551" s="32"/>
      <c r="F551" s="32"/>
      <c r="G551" s="32"/>
      <c r="H551" s="76"/>
      <c r="I551" s="77"/>
    </row>
    <row r="552" spans="1:9" s="78" customFormat="1" ht="16.5">
      <c r="A552" s="75"/>
      <c r="B552" s="32"/>
      <c r="C552" s="32"/>
      <c r="D552" s="32"/>
      <c r="E552" s="32"/>
      <c r="F552" s="32"/>
      <c r="G552" s="32"/>
      <c r="H552" s="76"/>
      <c r="I552" s="77"/>
    </row>
    <row r="553" spans="1:9" s="78" customFormat="1" ht="16.5">
      <c r="A553" s="75"/>
      <c r="B553" s="32"/>
      <c r="C553" s="32"/>
      <c r="D553" s="32"/>
      <c r="E553" s="32"/>
      <c r="F553" s="32"/>
      <c r="G553" s="32"/>
      <c r="H553" s="76"/>
      <c r="I553" s="77"/>
    </row>
    <row r="554" spans="1:9" s="78" customFormat="1" ht="16.5">
      <c r="A554" s="75"/>
      <c r="B554" s="32"/>
      <c r="C554" s="32"/>
      <c r="D554" s="32"/>
      <c r="E554" s="32"/>
      <c r="F554" s="32"/>
      <c r="G554" s="32"/>
      <c r="H554" s="76"/>
      <c r="I554" s="77"/>
    </row>
    <row r="555" spans="1:9" s="78" customFormat="1" ht="16.5">
      <c r="A555" s="75"/>
      <c r="B555" s="32"/>
      <c r="C555" s="32"/>
      <c r="D555" s="32"/>
      <c r="E555" s="32"/>
      <c r="F555" s="32"/>
      <c r="G555" s="32"/>
      <c r="H555" s="76"/>
      <c r="I555" s="77"/>
    </row>
    <row r="556" spans="1:9" s="78" customFormat="1" ht="16.5">
      <c r="A556" s="75"/>
      <c r="B556" s="32"/>
      <c r="C556" s="32"/>
      <c r="D556" s="32"/>
      <c r="E556" s="32"/>
      <c r="F556" s="32"/>
      <c r="G556" s="32"/>
      <c r="H556" s="76"/>
      <c r="I556" s="77"/>
    </row>
    <row r="557" spans="1:9" s="78" customFormat="1" ht="16.5">
      <c r="A557" s="75"/>
      <c r="B557" s="32"/>
      <c r="C557" s="32"/>
      <c r="D557" s="32"/>
      <c r="E557" s="32"/>
      <c r="F557" s="32"/>
      <c r="G557" s="32"/>
      <c r="H557" s="76"/>
      <c r="I557" s="77"/>
    </row>
    <row r="558" spans="1:9" s="78" customFormat="1" ht="16.5">
      <c r="A558" s="75"/>
      <c r="B558" s="32"/>
      <c r="C558" s="32"/>
      <c r="D558" s="32"/>
      <c r="E558" s="32"/>
      <c r="F558" s="32"/>
      <c r="G558" s="32"/>
      <c r="H558" s="76"/>
      <c r="I558" s="77"/>
    </row>
    <row r="559" spans="1:9" s="78" customFormat="1" ht="16.5">
      <c r="A559" s="75"/>
      <c r="B559" s="32"/>
      <c r="C559" s="32"/>
      <c r="D559" s="32"/>
      <c r="E559" s="32"/>
      <c r="F559" s="32"/>
      <c r="G559" s="32"/>
      <c r="H559" s="76"/>
      <c r="I559" s="77"/>
    </row>
    <row r="560" spans="1:9" s="78" customFormat="1" ht="16.5">
      <c r="A560" s="75"/>
      <c r="B560" s="32"/>
      <c r="C560" s="32"/>
      <c r="D560" s="32"/>
      <c r="E560" s="32"/>
      <c r="F560" s="32"/>
      <c r="G560" s="32"/>
      <c r="H560" s="76"/>
      <c r="I560" s="77"/>
    </row>
    <row r="561" spans="1:9" s="78" customFormat="1" ht="16.5">
      <c r="A561" s="75"/>
      <c r="B561" s="32"/>
      <c r="C561" s="32"/>
      <c r="D561" s="32"/>
      <c r="E561" s="32"/>
      <c r="F561" s="32"/>
      <c r="G561" s="32"/>
      <c r="H561" s="76"/>
      <c r="I561" s="77"/>
    </row>
    <row r="562" spans="1:9" s="78" customFormat="1" ht="16.5">
      <c r="A562" s="75"/>
      <c r="B562" s="32"/>
      <c r="C562" s="32"/>
      <c r="D562" s="32"/>
      <c r="E562" s="32"/>
      <c r="F562" s="32"/>
      <c r="G562" s="32"/>
      <c r="H562" s="76"/>
      <c r="I562" s="77"/>
    </row>
    <row r="563" spans="1:9" s="78" customFormat="1" ht="16.5">
      <c r="A563" s="75"/>
      <c r="B563" s="32"/>
      <c r="C563" s="32"/>
      <c r="D563" s="32"/>
      <c r="E563" s="32"/>
      <c r="F563" s="32"/>
      <c r="G563" s="32"/>
      <c r="H563" s="76"/>
      <c r="I563" s="77"/>
    </row>
    <row r="564" spans="1:9" s="78" customFormat="1" ht="16.5">
      <c r="A564" s="75"/>
      <c r="B564" s="32"/>
      <c r="C564" s="32"/>
      <c r="D564" s="32"/>
      <c r="E564" s="32"/>
      <c r="F564" s="32"/>
      <c r="G564" s="32"/>
      <c r="H564" s="76"/>
      <c r="I564" s="77"/>
    </row>
    <row r="565" spans="1:9" s="78" customFormat="1" ht="16.5">
      <c r="A565" s="75"/>
      <c r="B565" s="32"/>
      <c r="C565" s="32"/>
      <c r="D565" s="32"/>
      <c r="E565" s="32"/>
      <c r="F565" s="32"/>
      <c r="G565" s="32"/>
      <c r="H565" s="76"/>
      <c r="I565" s="77"/>
    </row>
    <row r="566" spans="1:9" s="78" customFormat="1" ht="16.5">
      <c r="A566" s="75"/>
      <c r="B566" s="32"/>
      <c r="C566" s="32"/>
      <c r="D566" s="32"/>
      <c r="E566" s="32"/>
      <c r="F566" s="32"/>
      <c r="G566" s="32"/>
      <c r="H566" s="76"/>
      <c r="I566" s="77"/>
    </row>
    <row r="567" spans="1:9" s="78" customFormat="1" ht="16.5">
      <c r="A567" s="75"/>
      <c r="B567" s="32"/>
      <c r="C567" s="32"/>
      <c r="D567" s="32"/>
      <c r="E567" s="32"/>
      <c r="F567" s="32"/>
      <c r="G567" s="32"/>
      <c r="H567" s="76"/>
      <c r="I567" s="77"/>
    </row>
    <row r="568" spans="1:9" s="78" customFormat="1" ht="16.5">
      <c r="A568" s="75"/>
      <c r="B568" s="32"/>
      <c r="C568" s="32"/>
      <c r="D568" s="32"/>
      <c r="E568" s="32"/>
      <c r="F568" s="32"/>
      <c r="G568" s="32"/>
      <c r="H568" s="76"/>
      <c r="I568" s="77"/>
    </row>
    <row r="569" spans="1:9" s="78" customFormat="1" ht="16.5">
      <c r="A569" s="75"/>
      <c r="B569" s="32"/>
      <c r="C569" s="32"/>
      <c r="D569" s="32"/>
      <c r="E569" s="32"/>
      <c r="F569" s="32"/>
      <c r="G569" s="32"/>
      <c r="H569" s="76"/>
      <c r="I569" s="77"/>
    </row>
    <row r="570" spans="1:9" s="78" customFormat="1" ht="16.5">
      <c r="A570" s="75"/>
      <c r="B570" s="32"/>
      <c r="C570" s="32"/>
      <c r="D570" s="32"/>
      <c r="E570" s="32"/>
      <c r="F570" s="32"/>
      <c r="G570" s="32"/>
      <c r="H570" s="76"/>
      <c r="I570" s="77"/>
    </row>
    <row r="571" spans="1:9" s="78" customFormat="1" ht="16.5">
      <c r="A571" s="75"/>
      <c r="B571" s="32"/>
      <c r="C571" s="32"/>
      <c r="D571" s="32"/>
      <c r="E571" s="32"/>
      <c r="F571" s="32"/>
      <c r="G571" s="32"/>
      <c r="H571" s="76"/>
      <c r="I571" s="77"/>
    </row>
    <row r="572" spans="1:9" s="78" customFormat="1" ht="16.5">
      <c r="A572" s="75"/>
      <c r="B572" s="32"/>
      <c r="C572" s="32"/>
      <c r="D572" s="32"/>
      <c r="E572" s="32"/>
      <c r="F572" s="32"/>
      <c r="G572" s="32"/>
      <c r="H572" s="76"/>
      <c r="I572" s="77"/>
    </row>
    <row r="573" spans="1:9" s="78" customFormat="1" ht="16.5">
      <c r="A573" s="75"/>
      <c r="B573" s="32"/>
      <c r="C573" s="32"/>
      <c r="D573" s="32"/>
      <c r="E573" s="32"/>
      <c r="F573" s="32"/>
      <c r="G573" s="32"/>
      <c r="H573" s="76"/>
      <c r="I573" s="77"/>
    </row>
    <row r="574" spans="1:9" s="78" customFormat="1" ht="16.5">
      <c r="A574" s="75"/>
      <c r="B574" s="32"/>
      <c r="C574" s="32"/>
      <c r="D574" s="32"/>
      <c r="E574" s="32"/>
      <c r="F574" s="32"/>
      <c r="G574" s="32"/>
      <c r="H574" s="76"/>
      <c r="I574" s="77"/>
    </row>
    <row r="575" spans="1:9" s="78" customFormat="1" ht="16.5">
      <c r="A575" s="75"/>
      <c r="B575" s="32"/>
      <c r="C575" s="32"/>
      <c r="D575" s="32"/>
      <c r="E575" s="32"/>
      <c r="F575" s="32"/>
      <c r="G575" s="32"/>
      <c r="H575" s="76"/>
      <c r="I575" s="77"/>
    </row>
    <row r="576" spans="1:9" s="78" customFormat="1" ht="16.5">
      <c r="A576" s="75"/>
      <c r="B576" s="32"/>
      <c r="C576" s="32"/>
      <c r="D576" s="32"/>
      <c r="E576" s="32"/>
      <c r="F576" s="32"/>
      <c r="G576" s="32"/>
      <c r="H576" s="76"/>
      <c r="I576" s="77"/>
    </row>
    <row r="577" spans="1:9" s="78" customFormat="1" ht="16.5">
      <c r="A577" s="75"/>
      <c r="B577" s="32"/>
      <c r="C577" s="32"/>
      <c r="D577" s="32"/>
      <c r="E577" s="32"/>
      <c r="F577" s="32"/>
      <c r="G577" s="32"/>
      <c r="H577" s="76"/>
      <c r="I577" s="77"/>
    </row>
    <row r="578" spans="1:9" s="78" customFormat="1" ht="16.5">
      <c r="A578" s="75"/>
      <c r="B578" s="32"/>
      <c r="C578" s="32"/>
      <c r="D578" s="32"/>
      <c r="E578" s="32"/>
      <c r="F578" s="32"/>
      <c r="G578" s="32"/>
      <c r="H578" s="76"/>
      <c r="I578" s="77"/>
    </row>
    <row r="579" spans="1:9" s="78" customFormat="1" ht="16.5">
      <c r="A579" s="75"/>
      <c r="B579" s="32"/>
      <c r="C579" s="32"/>
      <c r="D579" s="32"/>
      <c r="E579" s="32"/>
      <c r="F579" s="32"/>
      <c r="G579" s="32"/>
      <c r="H579" s="76"/>
      <c r="I579" s="77"/>
    </row>
    <row r="580" spans="1:9" s="78" customFormat="1" ht="16.5">
      <c r="A580" s="75"/>
      <c r="B580" s="32"/>
      <c r="C580" s="32"/>
      <c r="D580" s="32"/>
      <c r="E580" s="32"/>
      <c r="F580" s="32"/>
      <c r="G580" s="32"/>
      <c r="H580" s="76"/>
      <c r="I580" s="77"/>
    </row>
    <row r="581" spans="1:9" s="78" customFormat="1" ht="16.5">
      <c r="A581" s="75"/>
      <c r="B581" s="32"/>
      <c r="C581" s="32"/>
      <c r="D581" s="32"/>
      <c r="E581" s="32"/>
      <c r="F581" s="32"/>
      <c r="G581" s="32"/>
      <c r="H581" s="76"/>
      <c r="I581" s="77"/>
    </row>
    <row r="582" spans="1:9" s="78" customFormat="1" ht="16.5">
      <c r="A582" s="75"/>
      <c r="B582" s="32"/>
      <c r="C582" s="32"/>
      <c r="D582" s="32"/>
      <c r="E582" s="32"/>
      <c r="F582" s="32"/>
      <c r="G582" s="32"/>
      <c r="H582" s="76"/>
      <c r="I582" s="77"/>
    </row>
    <row r="583" spans="1:9" s="78" customFormat="1" ht="16.5">
      <c r="A583" s="75"/>
      <c r="B583" s="32"/>
      <c r="C583" s="32"/>
      <c r="D583" s="32"/>
      <c r="E583" s="32"/>
      <c r="F583" s="32"/>
      <c r="G583" s="32"/>
      <c r="H583" s="76"/>
      <c r="I583" s="77"/>
    </row>
    <row r="584" spans="1:9" s="78" customFormat="1" ht="16.5">
      <c r="A584" s="75"/>
      <c r="B584" s="32"/>
      <c r="C584" s="32"/>
      <c r="D584" s="32"/>
      <c r="E584" s="32"/>
      <c r="F584" s="32"/>
      <c r="G584" s="32"/>
      <c r="H584" s="76"/>
      <c r="I584" s="77"/>
    </row>
    <row r="585" spans="1:9" s="78" customFormat="1" ht="16.5">
      <c r="A585" s="75"/>
      <c r="B585" s="32"/>
      <c r="C585" s="32"/>
      <c r="D585" s="32"/>
      <c r="E585" s="32"/>
      <c r="F585" s="32"/>
      <c r="G585" s="32"/>
      <c r="H585" s="76"/>
      <c r="I585" s="77"/>
    </row>
    <row r="586" spans="1:9" s="78" customFormat="1" ht="16.5">
      <c r="A586" s="75"/>
      <c r="B586" s="32"/>
      <c r="C586" s="32"/>
      <c r="D586" s="32"/>
      <c r="E586" s="32"/>
      <c r="F586" s="32"/>
      <c r="G586" s="32"/>
      <c r="H586" s="76"/>
      <c r="I586" s="77"/>
    </row>
    <row r="587" spans="1:9" s="78" customFormat="1" ht="16.5">
      <c r="A587" s="75"/>
      <c r="B587" s="32"/>
      <c r="C587" s="32"/>
      <c r="D587" s="32"/>
      <c r="E587" s="32"/>
      <c r="F587" s="32"/>
      <c r="G587" s="32"/>
      <c r="H587" s="76"/>
      <c r="I587" s="77"/>
    </row>
    <row r="588" spans="1:9" s="78" customFormat="1" ht="16.5">
      <c r="A588" s="75"/>
      <c r="B588" s="32"/>
      <c r="C588" s="32"/>
      <c r="D588" s="32"/>
      <c r="E588" s="32"/>
      <c r="F588" s="32"/>
      <c r="G588" s="32"/>
      <c r="H588" s="76"/>
      <c r="I588" s="77"/>
    </row>
    <row r="589" spans="1:9" s="78" customFormat="1" ht="16.5">
      <c r="A589" s="75"/>
      <c r="B589" s="32"/>
      <c r="C589" s="32"/>
      <c r="D589" s="32"/>
      <c r="E589" s="32"/>
      <c r="F589" s="32"/>
      <c r="G589" s="32"/>
      <c r="H589" s="76"/>
      <c r="I589" s="77"/>
    </row>
    <row r="590" spans="1:9" s="78" customFormat="1" ht="16.5">
      <c r="A590" s="75"/>
      <c r="B590" s="32"/>
      <c r="C590" s="32"/>
      <c r="D590" s="32"/>
      <c r="E590" s="32"/>
      <c r="F590" s="32"/>
      <c r="G590" s="32"/>
      <c r="H590" s="76"/>
      <c r="I590" s="77"/>
    </row>
    <row r="591" spans="1:9" s="78" customFormat="1" ht="16.5">
      <c r="A591" s="75"/>
      <c r="B591" s="32"/>
      <c r="C591" s="32"/>
      <c r="D591" s="32"/>
      <c r="E591" s="32"/>
      <c r="F591" s="32"/>
      <c r="G591" s="32"/>
      <c r="H591" s="76"/>
      <c r="I591" s="77"/>
    </row>
    <row r="592" spans="1:9" s="78" customFormat="1" ht="16.5">
      <c r="A592" s="75"/>
      <c r="B592" s="32"/>
      <c r="C592" s="32"/>
      <c r="D592" s="32"/>
      <c r="E592" s="32"/>
      <c r="F592" s="32"/>
      <c r="G592" s="32"/>
      <c r="H592" s="76"/>
      <c r="I592" s="77"/>
    </row>
    <row r="593" spans="1:9" s="78" customFormat="1" ht="16.5">
      <c r="A593" s="75"/>
      <c r="B593" s="32"/>
      <c r="C593" s="32"/>
      <c r="D593" s="32"/>
      <c r="E593" s="32"/>
      <c r="F593" s="32"/>
      <c r="G593" s="32"/>
      <c r="H593" s="76"/>
      <c r="I593" s="77"/>
    </row>
    <row r="594" spans="1:9" s="78" customFormat="1" ht="16.5">
      <c r="A594" s="75"/>
      <c r="B594" s="32"/>
      <c r="C594" s="32"/>
      <c r="D594" s="32"/>
      <c r="E594" s="32"/>
      <c r="F594" s="32"/>
      <c r="G594" s="32"/>
      <c r="H594" s="76"/>
      <c r="I594" s="77"/>
    </row>
    <row r="595" spans="1:9" s="78" customFormat="1" ht="16.5">
      <c r="A595" s="75"/>
      <c r="B595" s="32"/>
      <c r="C595" s="32"/>
      <c r="D595" s="32"/>
      <c r="E595" s="32"/>
      <c r="F595" s="32"/>
      <c r="G595" s="32"/>
      <c r="H595" s="76"/>
      <c r="I595" s="77"/>
    </row>
    <row r="596" spans="1:9" s="78" customFormat="1" ht="16.5">
      <c r="A596" s="75"/>
      <c r="B596" s="32"/>
      <c r="C596" s="32"/>
      <c r="D596" s="32"/>
      <c r="E596" s="32"/>
      <c r="F596" s="32"/>
      <c r="G596" s="32"/>
      <c r="H596" s="76"/>
      <c r="I596" s="77"/>
    </row>
    <row r="597" spans="1:9" s="78" customFormat="1" ht="16.5">
      <c r="A597" s="75"/>
      <c r="B597" s="32"/>
      <c r="C597" s="32"/>
      <c r="D597" s="32"/>
      <c r="E597" s="32"/>
      <c r="F597" s="32"/>
      <c r="G597" s="32"/>
      <c r="H597" s="76"/>
      <c r="I597" s="77"/>
    </row>
    <row r="598" spans="1:9" s="78" customFormat="1" ht="16.5">
      <c r="A598" s="75"/>
      <c r="B598" s="32"/>
      <c r="C598" s="32"/>
      <c r="D598" s="32"/>
      <c r="E598" s="32"/>
      <c r="F598" s="32"/>
      <c r="G598" s="32"/>
      <c r="H598" s="76"/>
      <c r="I598" s="77"/>
    </row>
    <row r="599" spans="1:9" s="78" customFormat="1" ht="16.5">
      <c r="A599" s="75"/>
      <c r="B599" s="32"/>
      <c r="C599" s="32"/>
      <c r="D599" s="32"/>
      <c r="E599" s="32"/>
      <c r="F599" s="32"/>
      <c r="G599" s="32"/>
      <c r="H599" s="76"/>
      <c r="I599" s="77"/>
    </row>
    <row r="600" spans="1:9" s="78" customFormat="1" ht="16.5">
      <c r="A600" s="75"/>
      <c r="B600" s="32"/>
      <c r="C600" s="32"/>
      <c r="D600" s="32"/>
      <c r="E600" s="32"/>
      <c r="F600" s="32"/>
      <c r="G600" s="32"/>
      <c r="H600" s="76"/>
      <c r="I600" s="77"/>
    </row>
    <row r="601" spans="1:9" s="78" customFormat="1" ht="16.5">
      <c r="A601" s="75"/>
      <c r="B601" s="32"/>
      <c r="C601" s="32"/>
      <c r="D601" s="32"/>
      <c r="E601" s="32"/>
      <c r="F601" s="32"/>
      <c r="G601" s="32"/>
      <c r="H601" s="76"/>
      <c r="I601" s="77"/>
    </row>
    <row r="602" spans="1:9" s="78" customFormat="1" ht="16.5">
      <c r="A602" s="75"/>
      <c r="B602" s="32"/>
      <c r="C602" s="32"/>
      <c r="D602" s="32"/>
      <c r="E602" s="32"/>
      <c r="F602" s="32"/>
      <c r="G602" s="32"/>
      <c r="H602" s="76"/>
      <c r="I602" s="77"/>
    </row>
    <row r="603" spans="1:9" s="78" customFormat="1" ht="16.5">
      <c r="A603" s="75"/>
      <c r="B603" s="32"/>
      <c r="C603" s="32"/>
      <c r="D603" s="32"/>
      <c r="E603" s="32"/>
      <c r="F603" s="32"/>
      <c r="G603" s="32"/>
      <c r="H603" s="76"/>
      <c r="I603" s="77"/>
    </row>
    <row r="604" spans="1:9" s="78" customFormat="1" ht="16.5">
      <c r="A604" s="75"/>
      <c r="B604" s="32"/>
      <c r="C604" s="32"/>
      <c r="D604" s="32"/>
      <c r="E604" s="32"/>
      <c r="F604" s="32"/>
      <c r="G604" s="32"/>
      <c r="H604" s="76"/>
      <c r="I604" s="77"/>
    </row>
    <row r="605" spans="1:9" s="78" customFormat="1" ht="16.5">
      <c r="A605" s="75"/>
      <c r="B605" s="32"/>
      <c r="C605" s="32"/>
      <c r="D605" s="32"/>
      <c r="E605" s="32"/>
      <c r="F605" s="32"/>
      <c r="G605" s="32"/>
      <c r="H605" s="76"/>
      <c r="I605" s="77"/>
    </row>
    <row r="606" spans="1:9" s="78" customFormat="1" ht="16.5">
      <c r="A606" s="75"/>
      <c r="B606" s="32"/>
      <c r="C606" s="32"/>
      <c r="D606" s="32"/>
      <c r="E606" s="32"/>
      <c r="F606" s="32"/>
      <c r="G606" s="32"/>
      <c r="H606" s="76"/>
      <c r="I606" s="77"/>
    </row>
    <row r="607" spans="1:9" s="78" customFormat="1" ht="16.5">
      <c r="A607" s="75"/>
      <c r="B607" s="32"/>
      <c r="C607" s="32"/>
      <c r="D607" s="32"/>
      <c r="E607" s="32"/>
      <c r="F607" s="32"/>
      <c r="G607" s="32"/>
      <c r="H607" s="76"/>
      <c r="I607" s="77"/>
    </row>
    <row r="608" spans="1:9" s="78" customFormat="1" ht="16.5">
      <c r="A608" s="75"/>
      <c r="B608" s="32"/>
      <c r="C608" s="32"/>
      <c r="D608" s="32"/>
      <c r="E608" s="32"/>
      <c r="F608" s="32"/>
      <c r="G608" s="32"/>
      <c r="H608" s="76"/>
      <c r="I608" s="77"/>
    </row>
    <row r="609" spans="1:9" s="78" customFormat="1" ht="16.5">
      <c r="A609" s="75"/>
      <c r="B609" s="32"/>
      <c r="C609" s="32"/>
      <c r="D609" s="32"/>
      <c r="E609" s="32"/>
      <c r="F609" s="32"/>
      <c r="G609" s="32"/>
      <c r="H609" s="76"/>
      <c r="I609" s="77"/>
    </row>
    <row r="610" spans="1:9" s="78" customFormat="1" ht="16.5">
      <c r="A610" s="75"/>
      <c r="B610" s="32"/>
      <c r="C610" s="32"/>
      <c r="D610" s="32"/>
      <c r="E610" s="32"/>
      <c r="F610" s="32"/>
      <c r="G610" s="32"/>
      <c r="H610" s="76"/>
      <c r="I610" s="77"/>
    </row>
    <row r="611" spans="1:9" s="78" customFormat="1" ht="16.5">
      <c r="A611" s="75"/>
      <c r="B611" s="32"/>
      <c r="C611" s="32"/>
      <c r="D611" s="32"/>
      <c r="E611" s="32"/>
      <c r="F611" s="32"/>
      <c r="G611" s="32"/>
      <c r="H611" s="76"/>
      <c r="I611" s="77"/>
    </row>
    <row r="612" spans="1:9" s="78" customFormat="1" ht="16.5">
      <c r="A612" s="75"/>
      <c r="B612" s="32"/>
      <c r="C612" s="32"/>
      <c r="D612" s="32"/>
      <c r="E612" s="32"/>
      <c r="F612" s="32"/>
      <c r="G612" s="32"/>
      <c r="H612" s="76"/>
      <c r="I612" s="77"/>
    </row>
    <row r="613" spans="1:9" s="78" customFormat="1" ht="16.5">
      <c r="A613" s="75"/>
      <c r="B613" s="32"/>
      <c r="C613" s="32"/>
      <c r="D613" s="32"/>
      <c r="E613" s="32"/>
      <c r="F613" s="32"/>
      <c r="G613" s="32"/>
      <c r="H613" s="76"/>
      <c r="I613" s="77"/>
    </row>
    <row r="614" spans="1:9" s="78" customFormat="1" ht="16.5">
      <c r="A614" s="75"/>
      <c r="B614" s="32"/>
      <c r="C614" s="32"/>
      <c r="D614" s="32"/>
      <c r="E614" s="32"/>
      <c r="F614" s="32"/>
      <c r="G614" s="32"/>
      <c r="H614" s="76"/>
      <c r="I614" s="77"/>
    </row>
    <row r="615" spans="1:9" s="78" customFormat="1" ht="16.5">
      <c r="A615" s="75"/>
      <c r="B615" s="32"/>
      <c r="C615" s="32"/>
      <c r="D615" s="32"/>
      <c r="E615" s="32"/>
      <c r="F615" s="32"/>
      <c r="G615" s="32"/>
      <c r="H615" s="76"/>
      <c r="I615" s="77"/>
    </row>
    <row r="616" spans="1:9" s="78" customFormat="1" ht="16.5">
      <c r="A616" s="75"/>
      <c r="B616" s="32"/>
      <c r="C616" s="32"/>
      <c r="D616" s="32"/>
      <c r="E616" s="32"/>
      <c r="F616" s="32"/>
      <c r="G616" s="32"/>
      <c r="H616" s="76"/>
      <c r="I616" s="77"/>
    </row>
    <row r="617" spans="1:9" s="78" customFormat="1" ht="16.5">
      <c r="A617" s="75"/>
      <c r="B617" s="32"/>
      <c r="C617" s="32"/>
      <c r="D617" s="32"/>
      <c r="E617" s="32"/>
      <c r="F617" s="32"/>
      <c r="G617" s="32"/>
      <c r="H617" s="76"/>
      <c r="I617" s="77"/>
    </row>
    <row r="618" spans="1:9" s="78" customFormat="1" ht="16.5">
      <c r="A618" s="75"/>
      <c r="B618" s="32"/>
      <c r="C618" s="32"/>
      <c r="D618" s="32"/>
      <c r="E618" s="32"/>
      <c r="F618" s="32"/>
      <c r="G618" s="32"/>
      <c r="H618" s="76"/>
      <c r="I618" s="77"/>
    </row>
    <row r="619" spans="1:9" s="78" customFormat="1" ht="16.5">
      <c r="A619" s="75"/>
      <c r="B619" s="32"/>
      <c r="C619" s="32"/>
      <c r="D619" s="32"/>
      <c r="E619" s="32"/>
      <c r="F619" s="32"/>
      <c r="G619" s="32"/>
      <c r="H619" s="76"/>
      <c r="I619" s="77"/>
    </row>
    <row r="620" spans="1:9" s="78" customFormat="1" ht="16.5">
      <c r="A620" s="75"/>
      <c r="B620" s="32"/>
      <c r="C620" s="32"/>
      <c r="D620" s="32"/>
      <c r="E620" s="32"/>
      <c r="F620" s="32"/>
      <c r="G620" s="32"/>
      <c r="H620" s="76"/>
      <c r="I620" s="77"/>
    </row>
    <row r="621" spans="1:9" s="78" customFormat="1" ht="16.5">
      <c r="A621" s="75"/>
      <c r="B621" s="32"/>
      <c r="C621" s="32"/>
      <c r="D621" s="32"/>
      <c r="E621" s="32"/>
      <c r="F621" s="32"/>
      <c r="G621" s="32"/>
      <c r="H621" s="76"/>
      <c r="I621" s="77"/>
    </row>
    <row r="622" spans="1:9" s="78" customFormat="1" ht="16.5">
      <c r="A622" s="75"/>
      <c r="B622" s="32"/>
      <c r="C622" s="32"/>
      <c r="D622" s="32"/>
      <c r="E622" s="32"/>
      <c r="F622" s="32"/>
      <c r="G622" s="32"/>
      <c r="H622" s="76"/>
      <c r="I622" s="77"/>
    </row>
    <row r="623" spans="1:9" s="78" customFormat="1" ht="16.5">
      <c r="A623" s="75"/>
      <c r="B623" s="32"/>
      <c r="C623" s="32"/>
      <c r="D623" s="32"/>
      <c r="E623" s="32"/>
      <c r="F623" s="32"/>
      <c r="G623" s="32"/>
      <c r="H623" s="76"/>
      <c r="I623" s="77"/>
    </row>
    <row r="624" spans="1:9" s="78" customFormat="1" ht="16.5">
      <c r="A624" s="75"/>
      <c r="B624" s="32"/>
      <c r="C624" s="32"/>
      <c r="D624" s="32"/>
      <c r="E624" s="32"/>
      <c r="F624" s="32"/>
      <c r="G624" s="32"/>
      <c r="H624" s="76"/>
      <c r="I624" s="77"/>
    </row>
    <row r="625" spans="1:9" s="78" customFormat="1" ht="16.5">
      <c r="A625" s="75"/>
      <c r="B625" s="32"/>
      <c r="C625" s="32"/>
      <c r="D625" s="32"/>
      <c r="E625" s="32"/>
      <c r="F625" s="32"/>
      <c r="G625" s="32"/>
      <c r="H625" s="76"/>
      <c r="I625" s="77"/>
    </row>
    <row r="626" spans="1:9" s="78" customFormat="1" ht="16.5">
      <c r="A626" s="75"/>
      <c r="B626" s="32"/>
      <c r="C626" s="32"/>
      <c r="D626" s="32"/>
      <c r="E626" s="32"/>
      <c r="F626" s="32"/>
      <c r="G626" s="32"/>
      <c r="H626" s="76"/>
      <c r="I626" s="77"/>
    </row>
    <row r="627" spans="1:9" s="78" customFormat="1" ht="16.5">
      <c r="A627" s="75"/>
      <c r="B627" s="32"/>
      <c r="C627" s="32"/>
      <c r="D627" s="32"/>
      <c r="E627" s="32"/>
      <c r="F627" s="32"/>
      <c r="G627" s="32"/>
      <c r="H627" s="76"/>
      <c r="I627" s="77"/>
    </row>
    <row r="628" spans="1:9" s="78" customFormat="1" ht="16.5">
      <c r="A628" s="75"/>
      <c r="B628" s="32"/>
      <c r="C628" s="32"/>
      <c r="D628" s="32"/>
      <c r="E628" s="32"/>
      <c r="F628" s="32"/>
      <c r="G628" s="32"/>
      <c r="H628" s="76"/>
      <c r="I628" s="77"/>
    </row>
    <row r="629" spans="1:9" s="78" customFormat="1" ht="16.5">
      <c r="A629" s="75"/>
      <c r="B629" s="32"/>
      <c r="C629" s="32"/>
      <c r="D629" s="32"/>
      <c r="E629" s="32"/>
      <c r="F629" s="32"/>
      <c r="G629" s="32"/>
      <c r="H629" s="76"/>
      <c r="I629" s="77"/>
    </row>
    <row r="630" spans="1:9" s="78" customFormat="1" ht="16.5">
      <c r="A630" s="75"/>
      <c r="B630" s="32"/>
      <c r="C630" s="32"/>
      <c r="D630" s="32"/>
      <c r="E630" s="32"/>
      <c r="F630" s="32"/>
      <c r="G630" s="32"/>
      <c r="H630" s="76"/>
      <c r="I630" s="77"/>
    </row>
    <row r="631" spans="1:9" s="78" customFormat="1" ht="16.5">
      <c r="A631" s="75"/>
      <c r="B631" s="32"/>
      <c r="C631" s="32"/>
      <c r="D631" s="32"/>
      <c r="E631" s="32"/>
      <c r="F631" s="32"/>
      <c r="G631" s="32"/>
      <c r="H631" s="76"/>
      <c r="I631" s="77"/>
    </row>
    <row r="632" spans="1:9" s="78" customFormat="1" ht="16.5">
      <c r="A632" s="75"/>
      <c r="B632" s="32"/>
      <c r="C632" s="32"/>
      <c r="D632" s="32"/>
      <c r="E632" s="32"/>
      <c r="F632" s="32"/>
      <c r="G632" s="32"/>
      <c r="H632" s="76"/>
      <c r="I632" s="77"/>
    </row>
    <row r="633" spans="1:9" s="78" customFormat="1" ht="16.5">
      <c r="A633" s="75"/>
      <c r="B633" s="32"/>
      <c r="C633" s="32"/>
      <c r="D633" s="32"/>
      <c r="E633" s="32"/>
      <c r="F633" s="32"/>
      <c r="G633" s="32"/>
      <c r="H633" s="76"/>
      <c r="I633" s="77"/>
    </row>
    <row r="634" spans="1:9" s="78" customFormat="1" ht="16.5">
      <c r="A634" s="75"/>
      <c r="B634" s="32"/>
      <c r="C634" s="32"/>
      <c r="D634" s="32"/>
      <c r="E634" s="32"/>
      <c r="F634" s="32"/>
      <c r="G634" s="32"/>
      <c r="H634" s="76"/>
      <c r="I634" s="77"/>
    </row>
    <row r="635" spans="1:9" s="78" customFormat="1" ht="16.5">
      <c r="A635" s="75"/>
      <c r="B635" s="32"/>
      <c r="C635" s="32"/>
      <c r="D635" s="32"/>
      <c r="E635" s="32"/>
      <c r="F635" s="32"/>
      <c r="G635" s="32"/>
      <c r="H635" s="76"/>
      <c r="I635" s="77"/>
    </row>
    <row r="636" spans="1:9" s="78" customFormat="1" ht="16.5">
      <c r="A636" s="75"/>
      <c r="B636" s="32"/>
      <c r="C636" s="32"/>
      <c r="D636" s="32"/>
      <c r="E636" s="32"/>
      <c r="F636" s="32"/>
      <c r="G636" s="32"/>
      <c r="H636" s="76"/>
      <c r="I636" s="77"/>
    </row>
    <row r="637" spans="1:9" s="78" customFormat="1" ht="16.5">
      <c r="A637" s="75"/>
      <c r="B637" s="32"/>
      <c r="C637" s="32"/>
      <c r="D637" s="32"/>
      <c r="E637" s="32"/>
      <c r="F637" s="32"/>
      <c r="G637" s="32"/>
      <c r="H637" s="76"/>
      <c r="I637" s="77"/>
    </row>
    <row r="638" spans="1:9" s="78" customFormat="1" ht="16.5">
      <c r="A638" s="75"/>
      <c r="B638" s="32"/>
      <c r="C638" s="32"/>
      <c r="D638" s="32"/>
      <c r="E638" s="32"/>
      <c r="F638" s="32"/>
      <c r="G638" s="32"/>
      <c r="H638" s="76"/>
      <c r="I638" s="77"/>
    </row>
    <row r="639" spans="1:9" s="78" customFormat="1" ht="16.5">
      <c r="A639" s="75"/>
      <c r="B639" s="32"/>
      <c r="C639" s="32"/>
      <c r="D639" s="32"/>
      <c r="E639" s="32"/>
      <c r="F639" s="32"/>
      <c r="G639" s="32"/>
      <c r="H639" s="76"/>
      <c r="I639" s="77"/>
    </row>
    <row r="640" spans="1:9" s="78" customFormat="1" ht="16.5">
      <c r="A640" s="75"/>
      <c r="B640" s="32"/>
      <c r="C640" s="32"/>
      <c r="D640" s="32"/>
      <c r="E640" s="32"/>
      <c r="F640" s="32"/>
      <c r="G640" s="32"/>
      <c r="H640" s="76"/>
      <c r="I640" s="77"/>
    </row>
    <row r="641" spans="1:9" s="78" customFormat="1" ht="16.5">
      <c r="A641" s="75"/>
      <c r="B641" s="32"/>
      <c r="C641" s="32"/>
      <c r="D641" s="32"/>
      <c r="E641" s="32"/>
      <c r="F641" s="32"/>
      <c r="G641" s="32"/>
      <c r="H641" s="76"/>
      <c r="I641" s="77"/>
    </row>
    <row r="642" spans="1:9" s="78" customFormat="1" ht="16.5">
      <c r="A642" s="75"/>
      <c r="B642" s="32"/>
      <c r="C642" s="32"/>
      <c r="D642" s="32"/>
      <c r="E642" s="32"/>
      <c r="F642" s="32"/>
      <c r="G642" s="32"/>
      <c r="H642" s="76"/>
      <c r="I642" s="77"/>
    </row>
    <row r="643" spans="1:9" s="78" customFormat="1" ht="16.5">
      <c r="A643" s="75"/>
      <c r="B643" s="32"/>
      <c r="C643" s="32"/>
      <c r="D643" s="32"/>
      <c r="E643" s="32"/>
      <c r="F643" s="32"/>
      <c r="G643" s="32"/>
      <c r="H643" s="76"/>
      <c r="I643" s="77"/>
    </row>
    <row r="644" spans="1:9" s="78" customFormat="1" ht="16.5">
      <c r="A644" s="75"/>
      <c r="B644" s="32"/>
      <c r="C644" s="32"/>
      <c r="D644" s="32"/>
      <c r="E644" s="32"/>
      <c r="F644" s="32"/>
      <c r="G644" s="32"/>
      <c r="H644" s="76"/>
      <c r="I644" s="77"/>
    </row>
    <row r="645" spans="1:9" s="78" customFormat="1" ht="16.5">
      <c r="A645" s="75"/>
      <c r="B645" s="32"/>
      <c r="C645" s="32"/>
      <c r="D645" s="32"/>
      <c r="E645" s="32"/>
      <c r="F645" s="32"/>
      <c r="G645" s="32"/>
      <c r="H645" s="76"/>
      <c r="I645" s="77"/>
    </row>
    <row r="646" spans="1:9" s="78" customFormat="1" ht="16.5">
      <c r="A646" s="75"/>
      <c r="B646" s="32"/>
      <c r="C646" s="32"/>
      <c r="D646" s="32"/>
      <c r="E646" s="32"/>
      <c r="F646" s="32"/>
      <c r="G646" s="32"/>
      <c r="H646" s="76"/>
      <c r="I646" s="77"/>
    </row>
    <row r="647" spans="1:9" s="78" customFormat="1" ht="16.5">
      <c r="A647" s="75"/>
      <c r="B647" s="32"/>
      <c r="C647" s="32"/>
      <c r="D647" s="32"/>
      <c r="E647" s="32"/>
      <c r="F647" s="32"/>
      <c r="G647" s="32"/>
      <c r="H647" s="76"/>
      <c r="I647" s="77"/>
    </row>
    <row r="648" spans="1:9" s="78" customFormat="1" ht="16.5">
      <c r="A648" s="75"/>
      <c r="B648" s="32"/>
      <c r="C648" s="32"/>
      <c r="D648" s="32"/>
      <c r="E648" s="32"/>
      <c r="F648" s="32"/>
      <c r="G648" s="32"/>
      <c r="H648" s="76"/>
      <c r="I648" s="77"/>
    </row>
    <row r="649" spans="1:9" s="78" customFormat="1" ht="16.5">
      <c r="A649" s="75"/>
      <c r="B649" s="32"/>
      <c r="C649" s="32"/>
      <c r="D649" s="32"/>
      <c r="E649" s="32"/>
      <c r="F649" s="32"/>
      <c r="G649" s="32"/>
      <c r="H649" s="76"/>
      <c r="I649" s="77"/>
    </row>
    <row r="650" spans="1:9" s="78" customFormat="1" ht="16.5">
      <c r="A650" s="75"/>
      <c r="B650" s="32"/>
      <c r="C650" s="32"/>
      <c r="D650" s="32"/>
      <c r="E650" s="32"/>
      <c r="F650" s="32"/>
      <c r="G650" s="32"/>
      <c r="H650" s="76"/>
      <c r="I650" s="77"/>
    </row>
    <row r="651" spans="1:9" s="78" customFormat="1" ht="16.5">
      <c r="A651" s="75"/>
      <c r="B651" s="32"/>
      <c r="C651" s="32"/>
      <c r="D651" s="32"/>
      <c r="E651" s="32"/>
      <c r="F651" s="32"/>
      <c r="G651" s="32"/>
      <c r="H651" s="76"/>
      <c r="I651" s="77"/>
    </row>
    <row r="652" spans="1:9" s="78" customFormat="1" ht="16.5">
      <c r="A652" s="75"/>
      <c r="B652" s="32"/>
      <c r="C652" s="32"/>
      <c r="D652" s="32"/>
      <c r="E652" s="32"/>
      <c r="F652" s="32"/>
      <c r="G652" s="32"/>
      <c r="H652" s="76"/>
      <c r="I652" s="77"/>
    </row>
    <row r="653" spans="1:9" s="78" customFormat="1" ht="16.5">
      <c r="A653" s="75"/>
      <c r="B653" s="32"/>
      <c r="C653" s="32"/>
      <c r="D653" s="32"/>
      <c r="E653" s="32"/>
      <c r="F653" s="32"/>
      <c r="G653" s="32"/>
      <c r="H653" s="76"/>
      <c r="I653" s="77"/>
    </row>
    <row r="654" spans="1:9" s="78" customFormat="1" ht="16.5">
      <c r="A654" s="75"/>
      <c r="B654" s="32"/>
      <c r="C654" s="32"/>
      <c r="D654" s="32"/>
      <c r="E654" s="32"/>
      <c r="F654" s="32"/>
      <c r="G654" s="32"/>
      <c r="H654" s="76"/>
      <c r="I654" s="77"/>
    </row>
    <row r="655" spans="1:9" s="78" customFormat="1" ht="16.5">
      <c r="A655" s="75"/>
      <c r="B655" s="32"/>
      <c r="C655" s="32"/>
      <c r="D655" s="32"/>
      <c r="E655" s="32"/>
      <c r="F655" s="32"/>
      <c r="G655" s="32"/>
      <c r="H655" s="76"/>
      <c r="I655" s="77"/>
    </row>
    <row r="656" spans="1:9" s="78" customFormat="1" ht="16.5">
      <c r="A656" s="75"/>
      <c r="B656" s="32"/>
      <c r="C656" s="32"/>
      <c r="D656" s="32"/>
      <c r="E656" s="32"/>
      <c r="F656" s="32"/>
      <c r="G656" s="32"/>
      <c r="H656" s="76"/>
      <c r="I656" s="77"/>
    </row>
    <row r="657" spans="1:9" s="78" customFormat="1" ht="16.5">
      <c r="A657" s="75"/>
      <c r="B657" s="32"/>
      <c r="C657" s="32"/>
      <c r="D657" s="32"/>
      <c r="E657" s="32"/>
      <c r="F657" s="32"/>
      <c r="G657" s="32"/>
      <c r="H657" s="76"/>
      <c r="I657" s="77"/>
    </row>
    <row r="658" spans="1:9" s="78" customFormat="1" ht="16.5">
      <c r="A658" s="75"/>
      <c r="B658" s="32"/>
      <c r="C658" s="32"/>
      <c r="D658" s="32"/>
      <c r="E658" s="32"/>
      <c r="F658" s="32"/>
      <c r="G658" s="32"/>
      <c r="H658" s="76"/>
      <c r="I658" s="77"/>
    </row>
    <row r="659" spans="1:9" s="78" customFormat="1" ht="16.5">
      <c r="A659" s="75"/>
      <c r="B659" s="32"/>
      <c r="C659" s="32"/>
      <c r="D659" s="32"/>
      <c r="E659" s="32"/>
      <c r="F659" s="32"/>
      <c r="G659" s="32"/>
      <c r="H659" s="76"/>
      <c r="I659" s="77"/>
    </row>
    <row r="660" spans="1:9" s="78" customFormat="1" ht="16.5">
      <c r="A660" s="75"/>
      <c r="B660" s="32"/>
      <c r="C660" s="32"/>
      <c r="D660" s="32"/>
      <c r="E660" s="32"/>
      <c r="F660" s="32"/>
      <c r="G660" s="32"/>
      <c r="H660" s="76"/>
      <c r="I660" s="77"/>
    </row>
    <row r="661" spans="1:9" s="78" customFormat="1" ht="16.5">
      <c r="A661" s="75"/>
      <c r="B661" s="32"/>
      <c r="C661" s="32"/>
      <c r="D661" s="32"/>
      <c r="E661" s="32"/>
      <c r="F661" s="32"/>
      <c r="G661" s="32"/>
      <c r="H661" s="76"/>
      <c r="I661" s="77"/>
    </row>
    <row r="662" spans="1:9" s="78" customFormat="1" ht="16.5">
      <c r="A662" s="75"/>
      <c r="B662" s="32"/>
      <c r="C662" s="32"/>
      <c r="D662" s="32"/>
      <c r="E662" s="32"/>
      <c r="F662" s="32"/>
      <c r="G662" s="32"/>
      <c r="H662" s="76"/>
      <c r="I662" s="77"/>
    </row>
    <row r="663" spans="1:9" s="78" customFormat="1" ht="16.5">
      <c r="A663" s="75"/>
      <c r="B663" s="32"/>
      <c r="C663" s="32"/>
      <c r="D663" s="32"/>
      <c r="E663" s="32"/>
      <c r="F663" s="32"/>
      <c r="G663" s="32"/>
      <c r="H663" s="76"/>
      <c r="I663" s="77"/>
    </row>
    <row r="664" spans="1:9" s="78" customFormat="1" ht="16.5">
      <c r="A664" s="75"/>
      <c r="B664" s="32"/>
      <c r="C664" s="32"/>
      <c r="D664" s="32"/>
      <c r="E664" s="32"/>
      <c r="F664" s="32"/>
      <c r="G664" s="32"/>
      <c r="H664" s="76"/>
      <c r="I664" s="77"/>
    </row>
    <row r="665" spans="1:9" s="78" customFormat="1" ht="16.5">
      <c r="A665" s="75"/>
      <c r="B665" s="32"/>
      <c r="C665" s="32"/>
      <c r="D665" s="32"/>
      <c r="E665" s="32"/>
      <c r="F665" s="32"/>
      <c r="G665" s="32"/>
      <c r="H665" s="76"/>
      <c r="I665" s="77"/>
    </row>
    <row r="666" spans="1:9" s="78" customFormat="1" ht="16.5">
      <c r="A666" s="75"/>
      <c r="B666" s="32"/>
      <c r="C666" s="32"/>
      <c r="D666" s="32"/>
      <c r="E666" s="32"/>
      <c r="F666" s="32"/>
      <c r="G666" s="32"/>
      <c r="H666" s="76"/>
      <c r="I666" s="77"/>
    </row>
    <row r="667" spans="1:9" s="78" customFormat="1" ht="16.5">
      <c r="A667" s="75"/>
      <c r="B667" s="32"/>
      <c r="C667" s="32"/>
      <c r="D667" s="32"/>
      <c r="E667" s="32"/>
      <c r="F667" s="32"/>
      <c r="G667" s="32"/>
      <c r="H667" s="76"/>
      <c r="I667" s="77"/>
    </row>
    <row r="668" spans="1:9" s="78" customFormat="1" ht="16.5">
      <c r="A668" s="75"/>
      <c r="B668" s="32"/>
      <c r="C668" s="32"/>
      <c r="D668" s="32"/>
      <c r="E668" s="32"/>
      <c r="F668" s="32"/>
      <c r="G668" s="32"/>
      <c r="H668" s="76"/>
      <c r="I668" s="77"/>
    </row>
    <row r="669" spans="1:9" s="78" customFormat="1" ht="16.5">
      <c r="A669" s="75"/>
      <c r="B669" s="32"/>
      <c r="C669" s="32"/>
      <c r="D669" s="32"/>
      <c r="E669" s="32"/>
      <c r="F669" s="32"/>
      <c r="G669" s="32"/>
      <c r="H669" s="76"/>
      <c r="I669" s="77"/>
    </row>
    <row r="670" spans="1:9" s="78" customFormat="1" ht="16.5">
      <c r="A670" s="75"/>
      <c r="B670" s="32"/>
      <c r="C670" s="32"/>
      <c r="D670" s="32"/>
      <c r="E670" s="32"/>
      <c r="F670" s="32"/>
      <c r="G670" s="32"/>
      <c r="H670" s="76"/>
      <c r="I670" s="77"/>
    </row>
    <row r="671" spans="1:9" s="78" customFormat="1" ht="16.5">
      <c r="A671" s="75"/>
      <c r="B671" s="32"/>
      <c r="C671" s="32"/>
      <c r="D671" s="32"/>
      <c r="E671" s="32"/>
      <c r="F671" s="32"/>
      <c r="G671" s="32"/>
      <c r="H671" s="76"/>
      <c r="I671" s="77"/>
    </row>
    <row r="672" spans="1:9" s="78" customFormat="1" ht="16.5">
      <c r="A672" s="75"/>
      <c r="B672" s="32"/>
      <c r="C672" s="32"/>
      <c r="D672" s="32"/>
      <c r="E672" s="32"/>
      <c r="F672" s="32"/>
      <c r="G672" s="32"/>
      <c r="H672" s="76"/>
      <c r="I672" s="77"/>
    </row>
    <row r="673" spans="1:9" s="78" customFormat="1" ht="16.5">
      <c r="A673" s="75"/>
      <c r="B673" s="32"/>
      <c r="C673" s="32"/>
      <c r="D673" s="32"/>
      <c r="E673" s="32"/>
      <c r="F673" s="32"/>
      <c r="G673" s="32"/>
      <c r="H673" s="76"/>
      <c r="I673" s="77"/>
    </row>
    <row r="674" spans="1:9" s="78" customFormat="1" ht="16.5">
      <c r="A674" s="75"/>
      <c r="B674" s="32"/>
      <c r="C674" s="32"/>
      <c r="D674" s="32"/>
      <c r="E674" s="32"/>
      <c r="F674" s="32"/>
      <c r="G674" s="32"/>
      <c r="H674" s="76"/>
      <c r="I674" s="77"/>
    </row>
    <row r="675" spans="1:9" s="78" customFormat="1" ht="16.5">
      <c r="A675" s="75"/>
      <c r="B675" s="32"/>
      <c r="C675" s="32"/>
      <c r="D675" s="32"/>
      <c r="E675" s="32"/>
      <c r="F675" s="32"/>
      <c r="G675" s="32"/>
      <c r="H675" s="76"/>
      <c r="I675" s="77"/>
    </row>
    <row r="676" spans="1:9" s="78" customFormat="1" ht="16.5">
      <c r="A676" s="75"/>
      <c r="B676" s="32"/>
      <c r="C676" s="32"/>
      <c r="D676" s="32"/>
      <c r="E676" s="32"/>
      <c r="F676" s="32"/>
      <c r="G676" s="32"/>
      <c r="H676" s="76"/>
      <c r="I676" s="77"/>
    </row>
    <row r="677" spans="1:9" s="78" customFormat="1" ht="16.5">
      <c r="A677" s="75"/>
      <c r="B677" s="32"/>
      <c r="C677" s="32"/>
      <c r="D677" s="32"/>
      <c r="E677" s="32"/>
      <c r="F677" s="32"/>
      <c r="G677" s="32"/>
      <c r="H677" s="76"/>
      <c r="I677" s="77"/>
    </row>
    <row r="678" spans="1:9" s="78" customFormat="1" ht="16.5">
      <c r="A678" s="75"/>
      <c r="B678" s="32"/>
      <c r="C678" s="32"/>
      <c r="D678" s="32"/>
      <c r="E678" s="32"/>
      <c r="F678" s="32"/>
      <c r="G678" s="32"/>
      <c r="H678" s="76"/>
      <c r="I678" s="77"/>
    </row>
    <row r="679" spans="1:9" s="78" customFormat="1" ht="16.5">
      <c r="A679" s="75"/>
      <c r="B679" s="32"/>
      <c r="C679" s="32"/>
      <c r="D679" s="32"/>
      <c r="E679" s="32"/>
      <c r="F679" s="32"/>
      <c r="G679" s="32"/>
      <c r="H679" s="76"/>
      <c r="I679" s="77"/>
    </row>
    <row r="680" spans="1:9" s="78" customFormat="1" ht="16.5">
      <c r="A680" s="75"/>
      <c r="B680" s="32"/>
      <c r="C680" s="32"/>
      <c r="D680" s="32"/>
      <c r="E680" s="32"/>
      <c r="F680" s="32"/>
      <c r="G680" s="32"/>
      <c r="H680" s="76"/>
      <c r="I680" s="77"/>
    </row>
    <row r="681" spans="1:9" s="78" customFormat="1" ht="16.5">
      <c r="A681" s="75"/>
      <c r="B681" s="32"/>
      <c r="C681" s="32"/>
      <c r="D681" s="32"/>
      <c r="E681" s="32"/>
      <c r="F681" s="32"/>
      <c r="G681" s="32"/>
      <c r="H681" s="76"/>
      <c r="I681" s="77"/>
    </row>
    <row r="682" spans="1:9" s="78" customFormat="1" ht="16.5">
      <c r="A682" s="75"/>
      <c r="B682" s="32"/>
      <c r="C682" s="32"/>
      <c r="D682" s="32"/>
      <c r="E682" s="32"/>
      <c r="F682" s="32"/>
      <c r="G682" s="32"/>
      <c r="H682" s="76"/>
      <c r="I682" s="77"/>
    </row>
    <row r="683" spans="1:9" s="78" customFormat="1" ht="16.5">
      <c r="A683" s="75"/>
      <c r="B683" s="32"/>
      <c r="C683" s="32"/>
      <c r="D683" s="32"/>
      <c r="E683" s="32"/>
      <c r="F683" s="32"/>
      <c r="G683" s="32"/>
      <c r="H683" s="76"/>
      <c r="I683" s="77"/>
    </row>
    <row r="684" spans="1:9" s="78" customFormat="1" ht="16.5">
      <c r="A684" s="75"/>
      <c r="B684" s="32"/>
      <c r="C684" s="32"/>
      <c r="D684" s="32"/>
      <c r="E684" s="32"/>
      <c r="F684" s="32"/>
      <c r="G684" s="32"/>
      <c r="H684" s="76"/>
      <c r="I684" s="77"/>
    </row>
    <row r="685" spans="1:9" s="78" customFormat="1" ht="16.5">
      <c r="A685" s="75"/>
      <c r="B685" s="32"/>
      <c r="C685" s="32"/>
      <c r="D685" s="32"/>
      <c r="E685" s="32"/>
      <c r="F685" s="32"/>
      <c r="G685" s="32"/>
      <c r="H685" s="76"/>
      <c r="I685" s="77"/>
    </row>
    <row r="686" spans="1:9" s="78" customFormat="1" ht="16.5">
      <c r="A686" s="75"/>
      <c r="B686" s="32"/>
      <c r="C686" s="32"/>
      <c r="D686" s="32"/>
      <c r="E686" s="32"/>
      <c r="F686" s="32"/>
      <c r="G686" s="32"/>
      <c r="H686" s="76"/>
      <c r="I686" s="77"/>
    </row>
    <row r="687" spans="1:9" s="78" customFormat="1" ht="16.5">
      <c r="A687" s="75"/>
      <c r="B687" s="32"/>
      <c r="C687" s="32"/>
      <c r="D687" s="32"/>
      <c r="E687" s="32"/>
      <c r="F687" s="32"/>
      <c r="G687" s="32"/>
      <c r="H687" s="76"/>
      <c r="I687" s="77"/>
    </row>
    <row r="688" spans="1:9" s="78" customFormat="1" ht="16.5">
      <c r="A688" s="75"/>
      <c r="B688" s="32"/>
      <c r="C688" s="32"/>
      <c r="D688" s="32"/>
      <c r="E688" s="32"/>
      <c r="F688" s="32"/>
      <c r="G688" s="32"/>
      <c r="H688" s="76"/>
      <c r="I688" s="77"/>
    </row>
    <row r="689" spans="1:9" s="78" customFormat="1" ht="16.5">
      <c r="A689" s="75"/>
      <c r="B689" s="32"/>
      <c r="C689" s="32"/>
      <c r="D689" s="32"/>
      <c r="E689" s="32"/>
      <c r="F689" s="32"/>
      <c r="G689" s="32"/>
      <c r="H689" s="76"/>
      <c r="I689" s="77"/>
    </row>
    <row r="690" spans="1:9" s="78" customFormat="1" ht="16.5">
      <c r="A690" s="75"/>
      <c r="B690" s="32"/>
      <c r="C690" s="32"/>
      <c r="D690" s="32"/>
      <c r="E690" s="32"/>
      <c r="F690" s="32"/>
      <c r="G690" s="32"/>
      <c r="H690" s="76"/>
      <c r="I690" s="77"/>
    </row>
    <row r="691" spans="1:9" s="78" customFormat="1" ht="16.5">
      <c r="A691" s="75"/>
      <c r="B691" s="32"/>
      <c r="C691" s="32"/>
      <c r="D691" s="32"/>
      <c r="E691" s="32"/>
      <c r="F691" s="32"/>
      <c r="G691" s="32"/>
      <c r="H691" s="76"/>
      <c r="I691" s="77"/>
    </row>
    <row r="692" spans="1:9" s="78" customFormat="1" ht="16.5">
      <c r="A692" s="75"/>
      <c r="B692" s="32"/>
      <c r="C692" s="32"/>
      <c r="D692" s="32"/>
      <c r="E692" s="32"/>
      <c r="F692" s="32"/>
      <c r="G692" s="32"/>
      <c r="H692" s="76"/>
      <c r="I692" s="77"/>
    </row>
    <row r="693" spans="1:9" s="78" customFormat="1" ht="16.5">
      <c r="A693" s="75"/>
      <c r="B693" s="32"/>
      <c r="C693" s="32"/>
      <c r="D693" s="32"/>
      <c r="E693" s="32"/>
      <c r="F693" s="32"/>
      <c r="G693" s="32"/>
      <c r="H693" s="76"/>
      <c r="I693" s="77"/>
    </row>
    <row r="694" spans="1:9" s="78" customFormat="1" ht="16.5">
      <c r="A694" s="75"/>
      <c r="B694" s="32"/>
      <c r="C694" s="32"/>
      <c r="D694" s="32"/>
      <c r="E694" s="32"/>
      <c r="F694" s="32"/>
      <c r="G694" s="32"/>
      <c r="H694" s="76"/>
      <c r="I694" s="77"/>
    </row>
    <row r="695" spans="1:9" s="78" customFormat="1" ht="16.5">
      <c r="A695" s="75"/>
      <c r="B695" s="32"/>
      <c r="C695" s="32"/>
      <c r="D695" s="32"/>
      <c r="E695" s="32"/>
      <c r="F695" s="32"/>
      <c r="G695" s="32"/>
      <c r="H695" s="76"/>
      <c r="I695" s="77"/>
    </row>
    <row r="696" spans="1:9" s="78" customFormat="1" ht="16.5">
      <c r="A696" s="75"/>
      <c r="B696" s="32"/>
      <c r="C696" s="32"/>
      <c r="D696" s="32"/>
      <c r="E696" s="32"/>
      <c r="F696" s="32"/>
      <c r="G696" s="32"/>
      <c r="H696" s="76"/>
      <c r="I696" s="77"/>
    </row>
    <row r="697" spans="1:9" s="78" customFormat="1" ht="16.5">
      <c r="A697" s="75"/>
      <c r="B697" s="32"/>
      <c r="C697" s="32"/>
      <c r="D697" s="32"/>
      <c r="E697" s="32"/>
      <c r="F697" s="32"/>
      <c r="G697" s="32"/>
      <c r="H697" s="76"/>
      <c r="I697" s="77"/>
    </row>
    <row r="698" spans="1:9" s="78" customFormat="1" ht="16.5">
      <c r="A698" s="75"/>
      <c r="B698" s="32"/>
      <c r="C698" s="32"/>
      <c r="D698" s="32"/>
      <c r="E698" s="32"/>
      <c r="F698" s="32"/>
      <c r="G698" s="32"/>
      <c r="H698" s="76"/>
      <c r="I698" s="77"/>
    </row>
    <row r="699" spans="1:9" s="78" customFormat="1" ht="16.5">
      <c r="A699" s="75"/>
      <c r="B699" s="32"/>
      <c r="C699" s="32"/>
      <c r="D699" s="32"/>
      <c r="E699" s="32"/>
      <c r="F699" s="32"/>
      <c r="G699" s="32"/>
      <c r="H699" s="76"/>
      <c r="I699" s="77"/>
    </row>
    <row r="700" spans="1:9" s="78" customFormat="1" ht="16.5">
      <c r="A700" s="75"/>
      <c r="B700" s="32"/>
      <c r="C700" s="32"/>
      <c r="D700" s="32"/>
      <c r="E700" s="32"/>
      <c r="F700" s="32"/>
      <c r="G700" s="32"/>
      <c r="H700" s="76"/>
      <c r="I700" s="77"/>
    </row>
    <row r="701" spans="1:9" s="78" customFormat="1" ht="16.5">
      <c r="A701" s="75"/>
      <c r="B701" s="32"/>
      <c r="C701" s="32"/>
      <c r="D701" s="32"/>
      <c r="E701" s="32"/>
      <c r="F701" s="32"/>
      <c r="G701" s="32"/>
      <c r="H701" s="76"/>
      <c r="I701" s="77"/>
    </row>
    <row r="702" spans="1:9" s="78" customFormat="1" ht="16.5">
      <c r="A702" s="75"/>
      <c r="B702" s="32"/>
      <c r="C702" s="32"/>
      <c r="D702" s="32"/>
      <c r="E702" s="32"/>
      <c r="F702" s="32"/>
      <c r="G702" s="32"/>
      <c r="H702" s="76"/>
      <c r="I702" s="77"/>
    </row>
    <row r="703" spans="1:9" s="78" customFormat="1" ht="16.5">
      <c r="A703" s="75"/>
      <c r="B703" s="32"/>
      <c r="C703" s="32"/>
      <c r="D703" s="32"/>
      <c r="E703" s="32"/>
      <c r="F703" s="32"/>
      <c r="G703" s="32"/>
      <c r="H703" s="76"/>
      <c r="I703" s="77"/>
    </row>
    <row r="704" spans="1:9" s="78" customFormat="1" ht="16.5">
      <c r="A704" s="75"/>
      <c r="B704" s="32"/>
      <c r="C704" s="32"/>
      <c r="D704" s="32"/>
      <c r="E704" s="32"/>
      <c r="F704" s="32"/>
      <c r="G704" s="32"/>
      <c r="H704" s="76"/>
      <c r="I704" s="77"/>
    </row>
    <row r="705" spans="1:9" s="78" customFormat="1" ht="16.5">
      <c r="A705" s="75"/>
      <c r="B705" s="32"/>
      <c r="C705" s="32"/>
      <c r="D705" s="32"/>
      <c r="E705" s="32"/>
      <c r="F705" s="32"/>
      <c r="G705" s="32"/>
      <c r="H705" s="76"/>
      <c r="I705" s="77"/>
    </row>
    <row r="706" spans="1:9" s="78" customFormat="1" ht="16.5">
      <c r="A706" s="75"/>
      <c r="B706" s="32"/>
      <c r="C706" s="32"/>
      <c r="D706" s="32"/>
      <c r="E706" s="32"/>
      <c r="F706" s="32"/>
      <c r="G706" s="32"/>
      <c r="H706" s="76"/>
      <c r="I706" s="77"/>
    </row>
    <row r="707" spans="1:9" s="78" customFormat="1" ht="16.5">
      <c r="A707" s="75"/>
      <c r="B707" s="32"/>
      <c r="C707" s="32"/>
      <c r="D707" s="32"/>
      <c r="E707" s="32"/>
      <c r="F707" s="32"/>
      <c r="G707" s="32"/>
      <c r="H707" s="76"/>
      <c r="I707" s="77"/>
    </row>
    <row r="708" spans="1:9" s="78" customFormat="1" ht="16.5">
      <c r="A708" s="75"/>
      <c r="B708" s="32"/>
      <c r="C708" s="32"/>
      <c r="D708" s="32"/>
      <c r="E708" s="32"/>
      <c r="F708" s="32"/>
      <c r="G708" s="32"/>
      <c r="H708" s="76"/>
      <c r="I708" s="77"/>
    </row>
    <row r="709" spans="1:9" s="78" customFormat="1" ht="16.5">
      <c r="A709" s="75"/>
      <c r="B709" s="32"/>
      <c r="C709" s="32"/>
      <c r="D709" s="32"/>
      <c r="E709" s="32"/>
      <c r="F709" s="32"/>
      <c r="G709" s="32"/>
      <c r="H709" s="76"/>
      <c r="I709" s="77"/>
    </row>
    <row r="710" spans="1:9" s="78" customFormat="1" ht="16.5">
      <c r="A710" s="75"/>
      <c r="B710" s="32"/>
      <c r="C710" s="32"/>
      <c r="D710" s="32"/>
      <c r="E710" s="32"/>
      <c r="F710" s="32"/>
      <c r="G710" s="32"/>
      <c r="H710" s="76"/>
      <c r="I710" s="77"/>
    </row>
    <row r="711" spans="1:9" s="78" customFormat="1" ht="16.5">
      <c r="A711" s="75"/>
      <c r="B711" s="32"/>
      <c r="C711" s="32"/>
      <c r="D711" s="32"/>
      <c r="E711" s="32"/>
      <c r="F711" s="32"/>
      <c r="G711" s="32"/>
      <c r="H711" s="76"/>
      <c r="I711" s="77"/>
    </row>
    <row r="712" spans="1:9" s="78" customFormat="1" ht="16.5">
      <c r="A712" s="75"/>
      <c r="B712" s="32"/>
      <c r="C712" s="32"/>
      <c r="D712" s="32"/>
      <c r="E712" s="32"/>
      <c r="F712" s="32"/>
      <c r="G712" s="32"/>
      <c r="H712" s="76"/>
      <c r="I712" s="77"/>
    </row>
    <row r="713" spans="1:9" s="78" customFormat="1" ht="16.5">
      <c r="A713" s="75"/>
      <c r="B713" s="32"/>
      <c r="C713" s="32"/>
      <c r="D713" s="32"/>
      <c r="E713" s="32"/>
      <c r="F713" s="32"/>
      <c r="G713" s="32"/>
      <c r="H713" s="76"/>
      <c r="I713" s="77"/>
    </row>
    <row r="714" spans="1:9" s="78" customFormat="1" ht="16.5">
      <c r="A714" s="75"/>
      <c r="B714" s="32"/>
      <c r="C714" s="32"/>
      <c r="D714" s="32"/>
      <c r="E714" s="32"/>
      <c r="F714" s="32"/>
      <c r="G714" s="32"/>
      <c r="H714" s="76"/>
      <c r="I714" s="77"/>
    </row>
    <row r="715" spans="1:9" s="78" customFormat="1" ht="16.5">
      <c r="A715" s="75"/>
      <c r="B715" s="32"/>
      <c r="C715" s="32"/>
      <c r="D715" s="32"/>
      <c r="E715" s="32"/>
      <c r="F715" s="32"/>
      <c r="G715" s="32"/>
      <c r="H715" s="76"/>
      <c r="I715" s="77"/>
    </row>
    <row r="716" spans="1:9" s="78" customFormat="1" ht="16.5">
      <c r="A716" s="75"/>
      <c r="B716" s="32"/>
      <c r="C716" s="32"/>
      <c r="D716" s="32"/>
      <c r="E716" s="32"/>
      <c r="F716" s="32"/>
      <c r="G716" s="32"/>
      <c r="H716" s="76"/>
      <c r="I716" s="77"/>
    </row>
    <row r="717" spans="1:9" s="78" customFormat="1" ht="16.5">
      <c r="A717" s="75"/>
      <c r="B717" s="32"/>
      <c r="C717" s="32"/>
      <c r="D717" s="32"/>
      <c r="E717" s="32"/>
      <c r="F717" s="32"/>
      <c r="G717" s="32"/>
      <c r="H717" s="76"/>
      <c r="I717" s="77"/>
    </row>
    <row r="718" spans="1:9" s="78" customFormat="1" ht="16.5">
      <c r="A718" s="75"/>
      <c r="B718" s="32"/>
      <c r="C718" s="32"/>
      <c r="D718" s="32"/>
      <c r="E718" s="32"/>
      <c r="F718" s="32"/>
      <c r="G718" s="32"/>
      <c r="H718" s="76"/>
      <c r="I718" s="77"/>
    </row>
    <row r="719" spans="1:9" s="78" customFormat="1" ht="16.5">
      <c r="A719" s="75"/>
      <c r="B719" s="32"/>
      <c r="C719" s="32"/>
      <c r="D719" s="32"/>
      <c r="E719" s="32"/>
      <c r="F719" s="32"/>
      <c r="G719" s="32"/>
      <c r="H719" s="76"/>
      <c r="I719" s="77"/>
    </row>
    <row r="720" spans="1:9" s="78" customFormat="1" ht="16.5">
      <c r="A720" s="75"/>
      <c r="B720" s="32"/>
      <c r="C720" s="32"/>
      <c r="D720" s="32"/>
      <c r="E720" s="32"/>
      <c r="F720" s="32"/>
      <c r="G720" s="32"/>
      <c r="H720" s="76"/>
      <c r="I720" s="77"/>
    </row>
    <row r="721" spans="1:9" s="78" customFormat="1" ht="16.5">
      <c r="A721" s="75"/>
      <c r="B721" s="32"/>
      <c r="C721" s="32"/>
      <c r="D721" s="32"/>
      <c r="E721" s="32"/>
      <c r="F721" s="32"/>
      <c r="G721" s="32"/>
      <c r="H721" s="76"/>
      <c r="I721" s="77"/>
    </row>
    <row r="722" spans="1:9" s="78" customFormat="1" ht="16.5">
      <c r="A722" s="75"/>
      <c r="B722" s="32"/>
      <c r="C722" s="32"/>
      <c r="D722" s="32"/>
      <c r="E722" s="32"/>
      <c r="F722" s="32"/>
      <c r="G722" s="32"/>
      <c r="H722" s="76"/>
      <c r="I722" s="77"/>
    </row>
    <row r="723" spans="1:9" s="78" customFormat="1" ht="16.5">
      <c r="A723" s="75"/>
      <c r="B723" s="32"/>
      <c r="C723" s="32"/>
      <c r="D723" s="32"/>
      <c r="E723" s="32"/>
      <c r="F723" s="32"/>
      <c r="G723" s="32"/>
      <c r="H723" s="76"/>
      <c r="I723" s="77"/>
    </row>
    <row r="724" spans="1:9" s="78" customFormat="1" ht="16.5">
      <c r="A724" s="75"/>
      <c r="B724" s="32"/>
      <c r="C724" s="32"/>
      <c r="D724" s="32"/>
      <c r="E724" s="32"/>
      <c r="F724" s="32"/>
      <c r="G724" s="32"/>
      <c r="H724" s="76"/>
      <c r="I724" s="77"/>
    </row>
    <row r="725" spans="1:9" s="78" customFormat="1" ht="16.5">
      <c r="A725" s="75"/>
      <c r="B725" s="32"/>
      <c r="C725" s="32"/>
      <c r="D725" s="32"/>
      <c r="E725" s="32"/>
      <c r="F725" s="32"/>
      <c r="G725" s="32"/>
      <c r="H725" s="76"/>
      <c r="I725" s="77"/>
    </row>
    <row r="726" spans="1:9" s="78" customFormat="1" ht="16.5">
      <c r="A726" s="75"/>
      <c r="B726" s="32"/>
      <c r="C726" s="32"/>
      <c r="D726" s="32"/>
      <c r="E726" s="32"/>
      <c r="F726" s="32"/>
      <c r="G726" s="32"/>
      <c r="H726" s="76"/>
      <c r="I726" s="77"/>
    </row>
    <row r="727" spans="1:9" s="78" customFormat="1" ht="16.5">
      <c r="A727" s="75"/>
      <c r="B727" s="32"/>
      <c r="C727" s="32"/>
      <c r="D727" s="32"/>
      <c r="E727" s="32"/>
      <c r="F727" s="32"/>
      <c r="G727" s="32"/>
      <c r="H727" s="76"/>
      <c r="I727" s="77"/>
    </row>
    <row r="728" spans="1:9" s="78" customFormat="1" ht="16.5">
      <c r="A728" s="75"/>
      <c r="B728" s="32"/>
      <c r="C728" s="32"/>
      <c r="D728" s="32"/>
      <c r="E728" s="32"/>
      <c r="F728" s="32"/>
      <c r="G728" s="32"/>
      <c r="H728" s="76"/>
      <c r="I728" s="77"/>
    </row>
    <row r="729" spans="1:9" s="78" customFormat="1" ht="16.5">
      <c r="A729" s="75"/>
      <c r="B729" s="32"/>
      <c r="C729" s="32"/>
      <c r="D729" s="32"/>
      <c r="E729" s="32"/>
      <c r="F729" s="32"/>
      <c r="G729" s="32"/>
      <c r="H729" s="76"/>
      <c r="I729" s="77"/>
    </row>
    <row r="730" spans="1:9" s="78" customFormat="1" ht="16.5">
      <c r="A730" s="75"/>
      <c r="B730" s="32"/>
      <c r="C730" s="32"/>
      <c r="D730" s="32"/>
      <c r="E730" s="32"/>
      <c r="F730" s="32"/>
      <c r="G730" s="32"/>
      <c r="H730" s="76"/>
      <c r="I730" s="77"/>
    </row>
    <row r="731" spans="1:9" s="78" customFormat="1" ht="16.5">
      <c r="A731" s="75"/>
      <c r="B731" s="32"/>
      <c r="C731" s="32"/>
      <c r="D731" s="32"/>
      <c r="E731" s="32"/>
      <c r="F731" s="32"/>
      <c r="G731" s="32"/>
      <c r="H731" s="76"/>
      <c r="I731" s="77"/>
    </row>
    <row r="732" spans="1:9" s="78" customFormat="1" ht="16.5">
      <c r="A732" s="75"/>
      <c r="B732" s="32"/>
      <c r="C732" s="32"/>
      <c r="D732" s="32"/>
      <c r="E732" s="32"/>
      <c r="F732" s="32"/>
      <c r="G732" s="32"/>
      <c r="H732" s="76"/>
      <c r="I732" s="77"/>
    </row>
    <row r="733" spans="1:9" s="78" customFormat="1" ht="16.5">
      <c r="A733" s="75"/>
      <c r="B733" s="32"/>
      <c r="C733" s="32"/>
      <c r="D733" s="32"/>
      <c r="E733" s="32"/>
      <c r="F733" s="32"/>
      <c r="G733" s="32"/>
      <c r="H733" s="76"/>
      <c r="I733" s="77"/>
    </row>
    <row r="734" spans="1:9" s="78" customFormat="1" ht="16.5">
      <c r="A734" s="75"/>
      <c r="B734" s="32"/>
      <c r="C734" s="32"/>
      <c r="D734" s="32"/>
      <c r="E734" s="32"/>
      <c r="F734" s="32"/>
      <c r="G734" s="32"/>
      <c r="H734" s="76"/>
      <c r="I734" s="77"/>
    </row>
    <row r="735" spans="1:9" s="78" customFormat="1" ht="16.5">
      <c r="A735" s="75"/>
      <c r="B735" s="32"/>
      <c r="C735" s="32"/>
      <c r="D735" s="32"/>
      <c r="E735" s="32"/>
      <c r="F735" s="32"/>
      <c r="G735" s="32"/>
      <c r="H735" s="76"/>
      <c r="I735" s="77"/>
    </row>
    <row r="736" spans="1:9" s="78" customFormat="1" ht="16.5">
      <c r="A736" s="75"/>
      <c r="B736" s="32"/>
      <c r="C736" s="32"/>
      <c r="D736" s="32"/>
      <c r="E736" s="32"/>
      <c r="F736" s="32"/>
      <c r="G736" s="32"/>
      <c r="H736" s="76"/>
      <c r="I736" s="77"/>
    </row>
    <row r="737" spans="1:9" s="78" customFormat="1" ht="16.5">
      <c r="A737" s="75"/>
      <c r="B737" s="32"/>
      <c r="C737" s="32"/>
      <c r="D737" s="32"/>
      <c r="E737" s="32"/>
      <c r="F737" s="32"/>
      <c r="G737" s="32"/>
      <c r="H737" s="76"/>
      <c r="I737" s="77"/>
    </row>
    <row r="738" spans="1:9" s="78" customFormat="1" ht="16.5">
      <c r="A738" s="75"/>
      <c r="B738" s="32"/>
      <c r="C738" s="32"/>
      <c r="D738" s="32"/>
      <c r="E738" s="32"/>
      <c r="F738" s="32"/>
      <c r="G738" s="32"/>
      <c r="H738" s="76"/>
      <c r="I738" s="77"/>
    </row>
    <row r="739" spans="1:9" s="78" customFormat="1" ht="16.5">
      <c r="A739" s="75"/>
      <c r="B739" s="32"/>
      <c r="C739" s="32"/>
      <c r="D739" s="32"/>
      <c r="E739" s="32"/>
      <c r="F739" s="32"/>
      <c r="G739" s="32"/>
      <c r="H739" s="76"/>
      <c r="I739" s="77"/>
    </row>
    <row r="740" spans="1:9" s="78" customFormat="1" ht="16.5">
      <c r="A740" s="75"/>
      <c r="B740" s="32"/>
      <c r="C740" s="32"/>
      <c r="D740" s="32"/>
      <c r="E740" s="32"/>
      <c r="F740" s="32"/>
      <c r="G740" s="32"/>
      <c r="H740" s="76"/>
      <c r="I740" s="77"/>
    </row>
    <row r="741" spans="1:9" s="78" customFormat="1" ht="16.5">
      <c r="A741" s="75"/>
      <c r="B741" s="32"/>
      <c r="C741" s="32"/>
      <c r="D741" s="32"/>
      <c r="E741" s="32"/>
      <c r="F741" s="32"/>
      <c r="G741" s="32"/>
      <c r="H741" s="76"/>
      <c r="I741" s="77"/>
    </row>
    <row r="742" spans="1:9" s="78" customFormat="1" ht="16.5">
      <c r="A742" s="75"/>
      <c r="B742" s="32"/>
      <c r="C742" s="32"/>
      <c r="D742" s="32"/>
      <c r="E742" s="32"/>
      <c r="F742" s="32"/>
      <c r="G742" s="32"/>
      <c r="H742" s="76"/>
      <c r="I742" s="77"/>
    </row>
    <row r="743" spans="1:9" s="78" customFormat="1" ht="16.5">
      <c r="A743" s="75"/>
      <c r="B743" s="32"/>
      <c r="C743" s="32"/>
      <c r="D743" s="32"/>
      <c r="E743" s="32"/>
      <c r="F743" s="32"/>
      <c r="G743" s="32"/>
      <c r="H743" s="76"/>
      <c r="I743" s="77"/>
    </row>
    <row r="744" spans="1:9" s="78" customFormat="1" ht="16.5">
      <c r="A744" s="75"/>
      <c r="B744" s="32"/>
      <c r="C744" s="32"/>
      <c r="D744" s="32"/>
      <c r="E744" s="32"/>
      <c r="F744" s="32"/>
      <c r="G744" s="32"/>
      <c r="H744" s="76"/>
      <c r="I744" s="77"/>
    </row>
    <row r="745" spans="1:9" s="78" customFormat="1" ht="16.5">
      <c r="A745" s="75"/>
      <c r="B745" s="32"/>
      <c r="C745" s="32"/>
      <c r="D745" s="32"/>
      <c r="E745" s="32"/>
      <c r="F745" s="32"/>
      <c r="G745" s="32"/>
      <c r="H745" s="76"/>
      <c r="I745" s="77"/>
    </row>
    <row r="746" spans="1:9" s="78" customFormat="1" ht="16.5">
      <c r="A746" s="75"/>
      <c r="B746" s="32"/>
      <c r="C746" s="32"/>
      <c r="D746" s="32"/>
      <c r="E746" s="32"/>
      <c r="F746" s="32"/>
      <c r="G746" s="32"/>
      <c r="H746" s="76"/>
      <c r="I746" s="77"/>
    </row>
    <row r="747" spans="1:9" s="78" customFormat="1" ht="16.5">
      <c r="A747" s="75"/>
      <c r="B747" s="32"/>
      <c r="C747" s="32"/>
      <c r="D747" s="32"/>
      <c r="E747" s="32"/>
      <c r="F747" s="32"/>
      <c r="G747" s="32"/>
      <c r="H747" s="76"/>
      <c r="I747" s="77"/>
    </row>
    <row r="748" spans="1:9" s="78" customFormat="1" ht="16.5">
      <c r="A748" s="75"/>
      <c r="B748" s="32"/>
      <c r="C748" s="32"/>
      <c r="D748" s="32"/>
      <c r="E748" s="32"/>
      <c r="F748" s="32"/>
      <c r="G748" s="32"/>
      <c r="H748" s="76"/>
      <c r="I748" s="77"/>
    </row>
    <row r="749" spans="1:9" s="78" customFormat="1" ht="16.5">
      <c r="A749" s="75"/>
      <c r="B749" s="32"/>
      <c r="C749" s="32"/>
      <c r="D749" s="32"/>
      <c r="E749" s="32"/>
      <c r="F749" s="32"/>
      <c r="G749" s="32"/>
      <c r="H749" s="76"/>
      <c r="I749" s="77"/>
    </row>
    <row r="750" spans="1:9" s="78" customFormat="1" ht="16.5">
      <c r="A750" s="75"/>
      <c r="B750" s="32"/>
      <c r="C750" s="32"/>
      <c r="D750" s="32"/>
      <c r="E750" s="32"/>
      <c r="F750" s="32"/>
      <c r="G750" s="32"/>
      <c r="H750" s="76"/>
      <c r="I750" s="77"/>
    </row>
    <row r="751" spans="1:9" s="78" customFormat="1" ht="16.5">
      <c r="A751" s="75"/>
      <c r="B751" s="32"/>
      <c r="C751" s="32"/>
      <c r="D751" s="32"/>
      <c r="E751" s="32"/>
      <c r="F751" s="32"/>
      <c r="G751" s="32"/>
      <c r="H751" s="76"/>
      <c r="I751" s="77"/>
    </row>
    <row r="752" spans="1:9" s="78" customFormat="1" ht="16.5">
      <c r="A752" s="75"/>
      <c r="B752" s="32"/>
      <c r="C752" s="32"/>
      <c r="D752" s="32"/>
      <c r="E752" s="32"/>
      <c r="F752" s="32"/>
      <c r="G752" s="32"/>
      <c r="H752" s="76"/>
      <c r="I752" s="77"/>
    </row>
    <row r="753" spans="1:9" s="78" customFormat="1" ht="16.5">
      <c r="A753" s="75"/>
      <c r="B753" s="32"/>
      <c r="C753" s="32"/>
      <c r="D753" s="32"/>
      <c r="E753" s="32"/>
      <c r="F753" s="32"/>
      <c r="G753" s="32"/>
      <c r="H753" s="76"/>
      <c r="I753" s="77"/>
    </row>
    <row r="754" spans="1:9" s="78" customFormat="1" ht="16.5">
      <c r="A754" s="75"/>
      <c r="B754" s="32"/>
      <c r="C754" s="32"/>
      <c r="D754" s="32"/>
      <c r="E754" s="32"/>
      <c r="F754" s="32"/>
      <c r="G754" s="32"/>
      <c r="H754" s="76"/>
      <c r="I754" s="77"/>
    </row>
    <row r="755" spans="1:9" s="78" customFormat="1" ht="16.5">
      <c r="A755" s="75"/>
      <c r="B755" s="32"/>
      <c r="C755" s="32"/>
      <c r="D755" s="32"/>
      <c r="E755" s="32"/>
      <c r="F755" s="32"/>
      <c r="G755" s="32"/>
      <c r="H755" s="76"/>
      <c r="I755" s="77"/>
    </row>
    <row r="756" spans="1:9" s="78" customFormat="1" ht="16.5">
      <c r="A756" s="75"/>
      <c r="B756" s="32"/>
      <c r="C756" s="32"/>
      <c r="D756" s="32"/>
      <c r="E756" s="32"/>
      <c r="F756" s="32"/>
      <c r="G756" s="32"/>
      <c r="H756" s="76"/>
      <c r="I756" s="77"/>
    </row>
    <row r="757" spans="1:9" s="78" customFormat="1" ht="16.5">
      <c r="A757" s="75"/>
      <c r="B757" s="32"/>
      <c r="C757" s="32"/>
      <c r="D757" s="32"/>
      <c r="E757" s="32"/>
      <c r="F757" s="32"/>
      <c r="G757" s="32"/>
      <c r="H757" s="76"/>
      <c r="I757" s="77"/>
    </row>
    <row r="758" spans="1:9" s="78" customFormat="1" ht="16.5">
      <c r="A758" s="75"/>
      <c r="B758" s="32"/>
      <c r="C758" s="32"/>
      <c r="D758" s="32"/>
      <c r="E758" s="32"/>
      <c r="F758" s="32"/>
      <c r="G758" s="32"/>
      <c r="H758" s="76"/>
      <c r="I758" s="77"/>
    </row>
    <row r="759" spans="1:9" s="78" customFormat="1" ht="16.5">
      <c r="A759" s="75"/>
      <c r="B759" s="32"/>
      <c r="C759" s="32"/>
      <c r="D759" s="32"/>
      <c r="E759" s="32"/>
      <c r="F759" s="32"/>
      <c r="G759" s="32"/>
      <c r="H759" s="76"/>
      <c r="I759" s="77"/>
    </row>
    <row r="760" spans="1:9" s="78" customFormat="1" ht="16.5">
      <c r="A760" s="75"/>
      <c r="B760" s="32"/>
      <c r="C760" s="32"/>
      <c r="D760" s="32"/>
      <c r="E760" s="32"/>
      <c r="F760" s="32"/>
      <c r="G760" s="32"/>
      <c r="H760" s="76"/>
      <c r="I760" s="77"/>
    </row>
    <row r="761" spans="1:9" s="78" customFormat="1" ht="16.5">
      <c r="A761" s="75"/>
      <c r="B761" s="32"/>
      <c r="C761" s="32"/>
      <c r="D761" s="32"/>
      <c r="E761" s="32"/>
      <c r="F761" s="32"/>
      <c r="G761" s="32"/>
      <c r="H761" s="76"/>
      <c r="I761" s="77"/>
    </row>
    <row r="762" spans="1:9" s="78" customFormat="1" ht="16.5">
      <c r="A762" s="75"/>
      <c r="B762" s="32"/>
      <c r="C762" s="32"/>
      <c r="D762" s="32"/>
      <c r="E762" s="32"/>
      <c r="F762" s="32"/>
      <c r="G762" s="32"/>
      <c r="H762" s="76"/>
      <c r="I762" s="77"/>
    </row>
    <row r="763" spans="1:9" s="78" customFormat="1" ht="16.5">
      <c r="A763" s="75"/>
      <c r="B763" s="32"/>
      <c r="C763" s="32"/>
      <c r="D763" s="32"/>
      <c r="E763" s="32"/>
      <c r="F763" s="32"/>
      <c r="G763" s="32"/>
      <c r="H763" s="76"/>
      <c r="I763" s="77"/>
    </row>
    <row r="764" spans="1:9" s="78" customFormat="1" ht="16.5">
      <c r="A764" s="75"/>
      <c r="B764" s="32"/>
      <c r="C764" s="32"/>
      <c r="D764" s="32"/>
      <c r="E764" s="32"/>
      <c r="F764" s="32"/>
      <c r="G764" s="32"/>
      <c r="H764" s="76"/>
      <c r="I764" s="77"/>
    </row>
    <row r="765" spans="1:9" s="78" customFormat="1" ht="16.5">
      <c r="A765" s="75"/>
      <c r="B765" s="32"/>
      <c r="C765" s="32"/>
      <c r="D765" s="32"/>
      <c r="E765" s="32"/>
      <c r="F765" s="32"/>
      <c r="G765" s="32"/>
      <c r="H765" s="76"/>
      <c r="I765" s="77"/>
    </row>
    <row r="766" spans="1:9" s="78" customFormat="1" ht="16.5">
      <c r="A766" s="75"/>
      <c r="B766" s="32"/>
      <c r="C766" s="32"/>
      <c r="D766" s="32"/>
      <c r="E766" s="32"/>
      <c r="F766" s="32"/>
      <c r="G766" s="32"/>
      <c r="H766" s="76"/>
      <c r="I766" s="77"/>
    </row>
    <row r="767" spans="1:9" s="78" customFormat="1" ht="16.5">
      <c r="A767" s="75"/>
      <c r="B767" s="32"/>
      <c r="C767" s="32"/>
      <c r="D767" s="32"/>
      <c r="E767" s="32"/>
      <c r="F767" s="32"/>
      <c r="G767" s="32"/>
      <c r="H767" s="76"/>
      <c r="I767" s="77"/>
    </row>
    <row r="768" spans="1:9" s="78" customFormat="1" ht="16.5">
      <c r="A768" s="75"/>
      <c r="B768" s="32"/>
      <c r="C768" s="32"/>
      <c r="D768" s="32"/>
      <c r="E768" s="32"/>
      <c r="F768" s="32"/>
      <c r="G768" s="32"/>
      <c r="H768" s="76"/>
      <c r="I768" s="77"/>
    </row>
    <row r="769" spans="1:9" s="78" customFormat="1" ht="16.5">
      <c r="A769" s="75"/>
      <c r="B769" s="32"/>
      <c r="C769" s="32"/>
      <c r="D769" s="32"/>
      <c r="E769" s="32"/>
      <c r="F769" s="32"/>
      <c r="G769" s="32"/>
      <c r="H769" s="76"/>
      <c r="I769" s="77"/>
    </row>
    <row r="770" spans="1:9" s="78" customFormat="1" ht="16.5">
      <c r="A770" s="75"/>
      <c r="B770" s="32"/>
      <c r="C770" s="32"/>
      <c r="D770" s="32"/>
      <c r="E770" s="32"/>
      <c r="F770" s="32"/>
      <c r="G770" s="32"/>
      <c r="H770" s="76"/>
      <c r="I770" s="77"/>
    </row>
    <row r="771" spans="1:9" s="78" customFormat="1" ht="16.5">
      <c r="A771" s="75"/>
      <c r="B771" s="32"/>
      <c r="C771" s="32"/>
      <c r="D771" s="32"/>
      <c r="E771" s="32"/>
      <c r="F771" s="32"/>
      <c r="G771" s="32"/>
      <c r="H771" s="76"/>
      <c r="I771" s="77"/>
    </row>
    <row r="772" spans="1:9" s="78" customFormat="1" ht="16.5">
      <c r="A772" s="75"/>
      <c r="B772" s="32"/>
      <c r="C772" s="32"/>
      <c r="D772" s="32"/>
      <c r="E772" s="32"/>
      <c r="F772" s="32"/>
      <c r="G772" s="32"/>
      <c r="H772" s="76"/>
      <c r="I772" s="77"/>
    </row>
    <row r="773" spans="1:9" s="78" customFormat="1" ht="16.5">
      <c r="A773" s="75"/>
      <c r="B773" s="32"/>
      <c r="C773" s="32"/>
      <c r="D773" s="32"/>
      <c r="E773" s="32"/>
      <c r="F773" s="32"/>
      <c r="G773" s="32"/>
      <c r="H773" s="76"/>
      <c r="I773" s="77"/>
    </row>
    <row r="774" spans="1:9" s="78" customFormat="1" ht="16.5">
      <c r="A774" s="75"/>
      <c r="B774" s="32"/>
      <c r="C774" s="32"/>
      <c r="D774" s="32"/>
      <c r="E774" s="32"/>
      <c r="F774" s="32"/>
      <c r="G774" s="32"/>
      <c r="H774" s="76"/>
      <c r="I774" s="77"/>
    </row>
    <row r="775" spans="1:9" s="78" customFormat="1" ht="16.5">
      <c r="A775" s="75"/>
      <c r="B775" s="32"/>
      <c r="C775" s="32"/>
      <c r="D775" s="32"/>
      <c r="E775" s="32"/>
      <c r="F775" s="32"/>
      <c r="G775" s="32"/>
      <c r="H775" s="76"/>
      <c r="I775" s="77"/>
    </row>
    <row r="776" spans="1:9" s="78" customFormat="1" ht="16.5">
      <c r="A776" s="75"/>
      <c r="B776" s="32"/>
      <c r="C776" s="32"/>
      <c r="D776" s="32"/>
      <c r="E776" s="32"/>
      <c r="F776" s="32"/>
      <c r="G776" s="32"/>
      <c r="H776" s="76"/>
      <c r="I776" s="77"/>
    </row>
    <row r="777" spans="1:9" s="78" customFormat="1" ht="16.5">
      <c r="A777" s="75"/>
      <c r="B777" s="32"/>
      <c r="C777" s="32"/>
      <c r="D777" s="32"/>
      <c r="E777" s="32"/>
      <c r="F777" s="32"/>
      <c r="G777" s="32"/>
      <c r="H777" s="76"/>
      <c r="I777" s="77"/>
    </row>
    <row r="778" spans="1:9" s="78" customFormat="1" ht="16.5">
      <c r="A778" s="75"/>
      <c r="B778" s="32"/>
      <c r="C778" s="32"/>
      <c r="D778" s="32"/>
      <c r="E778" s="32"/>
      <c r="F778" s="32"/>
      <c r="G778" s="32"/>
      <c r="H778" s="76"/>
      <c r="I778" s="77"/>
    </row>
    <row r="779" spans="1:9" s="78" customFormat="1" ht="16.5">
      <c r="A779" s="75"/>
      <c r="B779" s="32"/>
      <c r="C779" s="32"/>
      <c r="D779" s="32"/>
      <c r="E779" s="32"/>
      <c r="F779" s="32"/>
      <c r="G779" s="32"/>
      <c r="H779" s="76"/>
      <c r="I779" s="77"/>
    </row>
    <row r="780" spans="1:9" s="78" customFormat="1" ht="16.5">
      <c r="A780" s="75"/>
      <c r="B780" s="32"/>
      <c r="C780" s="32"/>
      <c r="D780" s="32"/>
      <c r="E780" s="32"/>
      <c r="F780" s="32"/>
      <c r="G780" s="32"/>
      <c r="H780" s="76"/>
      <c r="I780" s="77"/>
    </row>
    <row r="781" spans="1:9" s="78" customFormat="1" ht="16.5">
      <c r="A781" s="75"/>
      <c r="B781" s="32"/>
      <c r="C781" s="32"/>
      <c r="D781" s="32"/>
      <c r="E781" s="32"/>
      <c r="F781" s="32"/>
      <c r="G781" s="32"/>
      <c r="H781" s="76"/>
      <c r="I781" s="77"/>
    </row>
    <row r="782" spans="1:9" s="78" customFormat="1" ht="16.5">
      <c r="A782" s="75"/>
      <c r="B782" s="32"/>
      <c r="C782" s="32"/>
      <c r="D782" s="32"/>
      <c r="E782" s="32"/>
      <c r="F782" s="32"/>
      <c r="G782" s="32"/>
      <c r="H782" s="76"/>
      <c r="I782" s="77"/>
    </row>
    <row r="783" spans="1:9" s="78" customFormat="1" ht="16.5">
      <c r="A783" s="75"/>
      <c r="B783" s="32"/>
      <c r="C783" s="32"/>
      <c r="D783" s="32"/>
      <c r="E783" s="32"/>
      <c r="F783" s="32"/>
      <c r="G783" s="32"/>
      <c r="H783" s="76"/>
      <c r="I783" s="77"/>
    </row>
    <row r="784" spans="1:9" s="78" customFormat="1" ht="16.5">
      <c r="A784" s="75"/>
      <c r="B784" s="32"/>
      <c r="C784" s="32"/>
      <c r="D784" s="32"/>
      <c r="E784" s="32"/>
      <c r="F784" s="32"/>
      <c r="G784" s="32"/>
      <c r="H784" s="76"/>
      <c r="I784" s="77"/>
    </row>
    <row r="785" spans="1:9" s="78" customFormat="1" ht="16.5">
      <c r="A785" s="75"/>
      <c r="B785" s="32"/>
      <c r="C785" s="32"/>
      <c r="D785" s="32"/>
      <c r="E785" s="32"/>
      <c r="F785" s="32"/>
      <c r="G785" s="32"/>
      <c r="H785" s="76"/>
      <c r="I785" s="77"/>
    </row>
    <row r="786" spans="1:9" s="78" customFormat="1" ht="16.5">
      <c r="A786" s="75"/>
      <c r="B786" s="32"/>
      <c r="C786" s="32"/>
      <c r="D786" s="32"/>
      <c r="E786" s="32"/>
      <c r="F786" s="32"/>
      <c r="G786" s="32"/>
      <c r="H786" s="76"/>
      <c r="I786" s="77"/>
    </row>
    <row r="787" spans="1:9" s="78" customFormat="1" ht="16.5">
      <c r="A787" s="75"/>
      <c r="B787" s="32"/>
      <c r="C787" s="32"/>
      <c r="D787" s="32"/>
      <c r="E787" s="32"/>
      <c r="F787" s="32"/>
      <c r="G787" s="32"/>
      <c r="H787" s="76"/>
      <c r="I787" s="77"/>
    </row>
    <row r="788" spans="1:9" s="78" customFormat="1" ht="16.5">
      <c r="A788" s="75"/>
      <c r="B788" s="32"/>
      <c r="C788" s="32"/>
      <c r="D788" s="32"/>
      <c r="E788" s="32"/>
      <c r="F788" s="32"/>
      <c r="G788" s="32"/>
      <c r="H788" s="76"/>
      <c r="I788" s="77"/>
    </row>
    <row r="789" spans="1:9" s="78" customFormat="1" ht="16.5">
      <c r="A789" s="75"/>
      <c r="B789" s="32"/>
      <c r="C789" s="32"/>
      <c r="D789" s="32"/>
      <c r="E789" s="32"/>
      <c r="F789" s="32"/>
      <c r="G789" s="32"/>
      <c r="H789" s="76"/>
      <c r="I789" s="77"/>
    </row>
    <row r="790" spans="1:9" s="78" customFormat="1" ht="16.5">
      <c r="A790" s="75"/>
      <c r="B790" s="32"/>
      <c r="C790" s="32"/>
      <c r="D790" s="32"/>
      <c r="E790" s="32"/>
      <c r="F790" s="32"/>
      <c r="G790" s="32"/>
      <c r="H790" s="76"/>
      <c r="I790" s="77"/>
    </row>
    <row r="791" spans="1:9" s="78" customFormat="1" ht="16.5">
      <c r="A791" s="75"/>
      <c r="B791" s="32"/>
      <c r="C791" s="32"/>
      <c r="D791" s="32"/>
      <c r="E791" s="32"/>
      <c r="F791" s="32"/>
      <c r="G791" s="32"/>
      <c r="H791" s="76"/>
      <c r="I791" s="77"/>
    </row>
    <row r="792" spans="1:9" s="78" customFormat="1" ht="16.5">
      <c r="A792" s="75"/>
      <c r="B792" s="32"/>
      <c r="C792" s="32"/>
      <c r="D792" s="32"/>
      <c r="E792" s="32"/>
      <c r="F792" s="32"/>
      <c r="G792" s="32"/>
      <c r="H792" s="76"/>
      <c r="I792" s="77"/>
    </row>
    <row r="793" spans="1:9" s="78" customFormat="1" ht="16.5">
      <c r="A793" s="75"/>
      <c r="B793" s="32"/>
      <c r="C793" s="32"/>
      <c r="D793" s="32"/>
      <c r="E793" s="32"/>
      <c r="F793" s="32"/>
      <c r="G793" s="32"/>
      <c r="H793" s="76"/>
      <c r="I793" s="77"/>
    </row>
    <row r="794" spans="1:9" s="78" customFormat="1" ht="16.5">
      <c r="A794" s="75"/>
      <c r="B794" s="32"/>
      <c r="C794" s="32"/>
      <c r="D794" s="32"/>
      <c r="E794" s="32"/>
      <c r="F794" s="32"/>
      <c r="G794" s="32"/>
      <c r="H794" s="76"/>
      <c r="I794" s="77"/>
    </row>
    <row r="795" spans="1:9" s="78" customFormat="1" ht="16.5">
      <c r="A795" s="75"/>
      <c r="B795" s="32"/>
      <c r="C795" s="32"/>
      <c r="D795" s="32"/>
      <c r="E795" s="32"/>
      <c r="F795" s="32"/>
      <c r="G795" s="32"/>
      <c r="H795" s="76"/>
      <c r="I795" s="77"/>
    </row>
    <row r="796" spans="1:9" s="78" customFormat="1" ht="16.5">
      <c r="A796" s="75"/>
      <c r="B796" s="32"/>
      <c r="C796" s="32"/>
      <c r="D796" s="32"/>
      <c r="E796" s="32"/>
      <c r="F796" s="32"/>
      <c r="G796" s="32"/>
      <c r="H796" s="76"/>
      <c r="I796" s="77"/>
    </row>
    <row r="797" spans="1:9" s="78" customFormat="1" ht="16.5">
      <c r="A797" s="75"/>
      <c r="B797" s="32"/>
      <c r="C797" s="32"/>
      <c r="D797" s="32"/>
      <c r="E797" s="32"/>
      <c r="F797" s="32"/>
      <c r="G797" s="32"/>
      <c r="H797" s="76"/>
      <c r="I797" s="77"/>
    </row>
    <row r="798" spans="1:9" s="78" customFormat="1" ht="16.5">
      <c r="A798" s="75"/>
      <c r="B798" s="32"/>
      <c r="C798" s="32"/>
      <c r="D798" s="32"/>
      <c r="E798" s="32"/>
      <c r="F798" s="32"/>
      <c r="G798" s="32"/>
      <c r="H798" s="76"/>
      <c r="I798" s="77"/>
    </row>
    <row r="799" spans="1:9" s="78" customFormat="1" ht="16.5">
      <c r="A799" s="75"/>
      <c r="B799" s="32"/>
      <c r="C799" s="32"/>
      <c r="D799" s="32"/>
      <c r="E799" s="32"/>
      <c r="F799" s="32"/>
      <c r="G799" s="32"/>
      <c r="H799" s="76"/>
      <c r="I799" s="77"/>
    </row>
    <row r="800" spans="1:9" s="78" customFormat="1" ht="16.5">
      <c r="A800" s="75"/>
      <c r="B800" s="32"/>
      <c r="C800" s="32"/>
      <c r="D800" s="32"/>
      <c r="E800" s="32"/>
      <c r="F800" s="32"/>
      <c r="G800" s="32"/>
      <c r="H800" s="76"/>
      <c r="I800" s="77"/>
    </row>
    <row r="801" spans="1:9" s="78" customFormat="1" ht="16.5">
      <c r="A801" s="75"/>
      <c r="B801" s="32"/>
      <c r="C801" s="32"/>
      <c r="D801" s="32"/>
      <c r="E801" s="32"/>
      <c r="F801" s="32"/>
      <c r="G801" s="32"/>
      <c r="H801" s="76"/>
      <c r="I801" s="77"/>
    </row>
    <row r="802" spans="1:9" s="78" customFormat="1" ht="16.5">
      <c r="A802" s="75"/>
      <c r="B802" s="32"/>
      <c r="C802" s="32"/>
      <c r="D802" s="32"/>
      <c r="E802" s="32"/>
      <c r="F802" s="32"/>
      <c r="G802" s="32"/>
      <c r="H802" s="76"/>
      <c r="I802" s="77"/>
    </row>
    <row r="803" spans="1:9" s="78" customFormat="1" ht="16.5">
      <c r="A803" s="75"/>
      <c r="B803" s="32"/>
      <c r="C803" s="32"/>
      <c r="D803" s="32"/>
      <c r="E803" s="32"/>
      <c r="F803" s="32"/>
      <c r="G803" s="32"/>
      <c r="H803" s="76"/>
      <c r="I803" s="77"/>
    </row>
    <row r="804" spans="1:9" s="78" customFormat="1" ht="16.5">
      <c r="A804" s="75"/>
      <c r="B804" s="32"/>
      <c r="C804" s="32"/>
      <c r="D804" s="32"/>
      <c r="E804" s="32"/>
      <c r="F804" s="32"/>
      <c r="G804" s="32"/>
      <c r="H804" s="76"/>
      <c r="I804" s="77"/>
    </row>
    <row r="805" spans="1:9" s="78" customFormat="1" ht="16.5">
      <c r="A805" s="75"/>
      <c r="B805" s="32"/>
      <c r="C805" s="32"/>
      <c r="D805" s="32"/>
      <c r="E805" s="32"/>
      <c r="F805" s="32"/>
      <c r="G805" s="32"/>
      <c r="H805" s="76"/>
      <c r="I805" s="77"/>
    </row>
    <row r="806" spans="1:9" s="78" customFormat="1" ht="16.5">
      <c r="A806" s="75"/>
      <c r="B806" s="32"/>
      <c r="C806" s="32"/>
      <c r="D806" s="32"/>
      <c r="E806" s="32"/>
      <c r="F806" s="32"/>
      <c r="G806" s="32"/>
      <c r="H806" s="76"/>
      <c r="I806" s="77"/>
    </row>
    <row r="807" spans="1:9" s="78" customFormat="1" ht="16.5">
      <c r="A807" s="75"/>
      <c r="B807" s="32"/>
      <c r="C807" s="32"/>
      <c r="D807" s="32"/>
      <c r="E807" s="32"/>
      <c r="F807" s="32"/>
      <c r="G807" s="32"/>
      <c r="H807" s="76"/>
      <c r="I807" s="77"/>
    </row>
    <row r="808" spans="1:9" s="78" customFormat="1" ht="16.5">
      <c r="A808" s="75"/>
      <c r="B808" s="32"/>
      <c r="C808" s="32"/>
      <c r="D808" s="32"/>
      <c r="E808" s="32"/>
      <c r="F808" s="32"/>
      <c r="G808" s="32"/>
      <c r="H808" s="76"/>
      <c r="I808" s="77"/>
    </row>
    <row r="809" spans="1:9" s="78" customFormat="1" ht="16.5">
      <c r="A809" s="75"/>
      <c r="B809" s="32"/>
      <c r="C809" s="32"/>
      <c r="D809" s="32"/>
      <c r="E809" s="32"/>
      <c r="F809" s="32"/>
      <c r="G809" s="32"/>
      <c r="H809" s="76"/>
      <c r="I809" s="77"/>
    </row>
    <row r="810" spans="1:9" s="78" customFormat="1" ht="16.5">
      <c r="A810" s="75"/>
      <c r="B810" s="32"/>
      <c r="C810" s="32"/>
      <c r="D810" s="32"/>
      <c r="E810" s="32"/>
      <c r="F810" s="32"/>
      <c r="G810" s="32"/>
      <c r="H810" s="76"/>
      <c r="I810" s="77"/>
    </row>
    <row r="811" spans="1:9" s="78" customFormat="1" ht="16.5">
      <c r="A811" s="75"/>
      <c r="B811" s="32"/>
      <c r="C811" s="32"/>
      <c r="D811" s="32"/>
      <c r="E811" s="32"/>
      <c r="F811" s="32"/>
      <c r="G811" s="32"/>
      <c r="H811" s="76"/>
      <c r="I811" s="77"/>
    </row>
    <row r="812" spans="1:9" s="78" customFormat="1" ht="16.5">
      <c r="A812" s="75"/>
      <c r="B812" s="32"/>
      <c r="C812" s="32"/>
      <c r="D812" s="32"/>
      <c r="E812" s="32"/>
      <c r="F812" s="32"/>
      <c r="G812" s="32"/>
      <c r="H812" s="76"/>
      <c r="I812" s="77"/>
    </row>
    <row r="813" spans="1:9" s="78" customFormat="1" ht="16.5">
      <c r="A813" s="75"/>
      <c r="B813" s="32"/>
      <c r="C813" s="32"/>
      <c r="D813" s="32"/>
      <c r="E813" s="32"/>
      <c r="F813" s="32"/>
      <c r="G813" s="32"/>
      <c r="H813" s="76"/>
      <c r="I813" s="77"/>
    </row>
    <row r="814" spans="1:9" s="78" customFormat="1" ht="16.5">
      <c r="A814" s="75"/>
      <c r="B814" s="32"/>
      <c r="C814" s="32"/>
      <c r="D814" s="32"/>
      <c r="E814" s="32"/>
      <c r="F814" s="32"/>
      <c r="G814" s="32"/>
      <c r="H814" s="76"/>
      <c r="I814" s="77"/>
    </row>
    <row r="815" spans="1:9" s="78" customFormat="1" ht="16.5">
      <c r="A815" s="75"/>
      <c r="B815" s="32"/>
      <c r="C815" s="32"/>
      <c r="D815" s="32"/>
      <c r="E815" s="32"/>
      <c r="F815" s="32"/>
      <c r="G815" s="32"/>
      <c r="H815" s="76"/>
      <c r="I815" s="77"/>
    </row>
    <row r="816" spans="1:9" s="78" customFormat="1" ht="16.5">
      <c r="A816" s="75"/>
      <c r="B816" s="32"/>
      <c r="C816" s="32"/>
      <c r="D816" s="32"/>
      <c r="E816" s="32"/>
      <c r="F816" s="32"/>
      <c r="G816" s="32"/>
      <c r="H816" s="76"/>
      <c r="I816" s="77"/>
    </row>
    <row r="817" spans="1:9" s="78" customFormat="1" ht="16.5">
      <c r="A817" s="75"/>
      <c r="B817" s="32"/>
      <c r="C817" s="32"/>
      <c r="D817" s="32"/>
      <c r="E817" s="32"/>
      <c r="F817" s="32"/>
      <c r="G817" s="32"/>
      <c r="H817" s="76"/>
      <c r="I817" s="77"/>
    </row>
    <row r="818" spans="1:9" s="78" customFormat="1" ht="16.5">
      <c r="A818" s="75"/>
      <c r="B818" s="32"/>
      <c r="C818" s="32"/>
      <c r="D818" s="32"/>
      <c r="E818" s="32"/>
      <c r="F818" s="32"/>
      <c r="G818" s="32"/>
      <c r="H818" s="76"/>
      <c r="I818" s="77"/>
    </row>
    <row r="819" spans="1:9" s="78" customFormat="1" ht="16.5">
      <c r="A819" s="75"/>
      <c r="B819" s="32"/>
      <c r="C819" s="32"/>
      <c r="D819" s="32"/>
      <c r="E819" s="32"/>
      <c r="F819" s="32"/>
      <c r="G819" s="32"/>
      <c r="H819" s="76"/>
      <c r="I819" s="77"/>
    </row>
    <row r="820" spans="1:9" s="78" customFormat="1" ht="16.5">
      <c r="A820" s="75"/>
      <c r="B820" s="32"/>
      <c r="C820" s="32"/>
      <c r="D820" s="32"/>
      <c r="E820" s="32"/>
      <c r="F820" s="32"/>
      <c r="G820" s="32"/>
      <c r="H820" s="76"/>
      <c r="I820" s="77"/>
    </row>
    <row r="821" spans="1:9" s="78" customFormat="1" ht="16.5">
      <c r="A821" s="75"/>
      <c r="B821" s="32"/>
      <c r="C821" s="32"/>
      <c r="D821" s="32"/>
      <c r="E821" s="32"/>
      <c r="F821" s="32"/>
      <c r="G821" s="32"/>
      <c r="H821" s="76"/>
      <c r="I821" s="77"/>
    </row>
    <row r="822" spans="1:9" s="78" customFormat="1" ht="16.5">
      <c r="A822" s="75"/>
      <c r="B822" s="32"/>
      <c r="C822" s="32"/>
      <c r="D822" s="32"/>
      <c r="E822" s="32"/>
      <c r="F822" s="32"/>
      <c r="G822" s="32"/>
      <c r="H822" s="76"/>
      <c r="I822" s="77"/>
    </row>
    <row r="823" spans="1:9" s="78" customFormat="1" ht="16.5">
      <c r="A823" s="75"/>
      <c r="B823" s="32"/>
      <c r="C823" s="32"/>
      <c r="D823" s="32"/>
      <c r="E823" s="32"/>
      <c r="F823" s="32"/>
      <c r="G823" s="32"/>
      <c r="H823" s="76"/>
      <c r="I823" s="77"/>
    </row>
    <row r="824" spans="1:9" s="78" customFormat="1" ht="16.5">
      <c r="A824" s="75"/>
      <c r="B824" s="32"/>
      <c r="C824" s="32"/>
      <c r="D824" s="32"/>
      <c r="E824" s="32"/>
      <c r="F824" s="32"/>
      <c r="G824" s="32"/>
      <c r="H824" s="76"/>
      <c r="I824" s="77"/>
    </row>
    <row r="825" spans="1:9" s="78" customFormat="1" ht="16.5">
      <c r="A825" s="75"/>
      <c r="B825" s="32"/>
      <c r="C825" s="32"/>
      <c r="D825" s="32"/>
      <c r="E825" s="32"/>
      <c r="F825" s="32"/>
      <c r="G825" s="32"/>
      <c r="H825" s="76"/>
      <c r="I825" s="77"/>
    </row>
    <row r="826" spans="1:9" s="78" customFormat="1" ht="16.5">
      <c r="A826" s="75"/>
      <c r="B826" s="32"/>
      <c r="C826" s="32"/>
      <c r="D826" s="32"/>
      <c r="E826" s="32"/>
      <c r="F826" s="32"/>
      <c r="G826" s="32"/>
      <c r="H826" s="76"/>
      <c r="I826" s="77"/>
    </row>
    <row r="827" spans="1:9" s="78" customFormat="1" ht="16.5">
      <c r="A827" s="75"/>
      <c r="B827" s="32"/>
      <c r="C827" s="32"/>
      <c r="D827" s="32"/>
      <c r="E827" s="32"/>
      <c r="F827" s="32"/>
      <c r="G827" s="32"/>
      <c r="H827" s="76"/>
      <c r="I827" s="77"/>
    </row>
    <row r="828" spans="1:9" s="78" customFormat="1" ht="16.5">
      <c r="A828" s="75"/>
      <c r="B828" s="32"/>
      <c r="C828" s="32"/>
      <c r="D828" s="32"/>
      <c r="E828" s="32"/>
      <c r="F828" s="32"/>
      <c r="G828" s="32"/>
      <c r="H828" s="76"/>
      <c r="I828" s="77"/>
    </row>
    <row r="829" spans="1:9" s="78" customFormat="1" ht="16.5">
      <c r="A829" s="75"/>
      <c r="B829" s="32"/>
      <c r="C829" s="32"/>
      <c r="D829" s="32"/>
      <c r="E829" s="32"/>
      <c r="F829" s="32"/>
      <c r="G829" s="32"/>
      <c r="H829" s="76"/>
      <c r="I829" s="77"/>
    </row>
    <row r="830" spans="1:9" s="78" customFormat="1" ht="16.5">
      <c r="A830" s="75"/>
      <c r="B830" s="32"/>
      <c r="C830" s="32"/>
      <c r="D830" s="32"/>
      <c r="E830" s="32"/>
      <c r="F830" s="32"/>
      <c r="G830" s="32"/>
      <c r="H830" s="76"/>
      <c r="I830" s="77"/>
    </row>
    <row r="831" spans="1:9" s="78" customFormat="1" ht="16.5">
      <c r="A831" s="75"/>
      <c r="B831" s="32"/>
      <c r="C831" s="32"/>
      <c r="D831" s="32"/>
      <c r="E831" s="32"/>
      <c r="F831" s="32"/>
      <c r="G831" s="32"/>
      <c r="H831" s="76"/>
      <c r="I831" s="77"/>
    </row>
    <row r="832" spans="1:9" s="78" customFormat="1" ht="16.5">
      <c r="A832" s="75"/>
      <c r="B832" s="32"/>
      <c r="C832" s="32"/>
      <c r="D832" s="32"/>
      <c r="E832" s="32"/>
      <c r="F832" s="32"/>
      <c r="G832" s="32"/>
      <c r="H832" s="76"/>
      <c r="I832" s="77"/>
    </row>
    <row r="833" spans="1:9" s="78" customFormat="1" ht="16.5">
      <c r="A833" s="75"/>
      <c r="B833" s="32"/>
      <c r="C833" s="32"/>
      <c r="D833" s="32"/>
      <c r="E833" s="32"/>
      <c r="F833" s="32"/>
      <c r="G833" s="32"/>
      <c r="H833" s="76"/>
      <c r="I833" s="77"/>
    </row>
    <row r="834" spans="1:9" s="78" customFormat="1" ht="16.5">
      <c r="A834" s="75"/>
      <c r="B834" s="32"/>
      <c r="C834" s="32"/>
      <c r="D834" s="32"/>
      <c r="E834" s="32"/>
      <c r="F834" s="32"/>
      <c r="G834" s="32"/>
      <c r="H834" s="76"/>
      <c r="I834" s="77"/>
    </row>
    <row r="835" spans="1:9" s="78" customFormat="1" ht="16.5">
      <c r="A835" s="75"/>
      <c r="B835" s="32"/>
      <c r="C835" s="32"/>
      <c r="D835" s="32"/>
      <c r="E835" s="32"/>
      <c r="F835" s="32"/>
      <c r="G835" s="32"/>
      <c r="H835" s="76"/>
      <c r="I835" s="77"/>
    </row>
    <row r="836" spans="1:9" s="78" customFormat="1" ht="16.5">
      <c r="A836" s="75"/>
      <c r="B836" s="32"/>
      <c r="C836" s="32"/>
      <c r="D836" s="32"/>
      <c r="E836" s="32"/>
      <c r="F836" s="32"/>
      <c r="G836" s="32"/>
      <c r="H836" s="76"/>
      <c r="I836" s="77"/>
    </row>
    <row r="837" spans="1:9" s="78" customFormat="1" ht="16.5">
      <c r="A837" s="75"/>
      <c r="B837" s="32"/>
      <c r="C837" s="32"/>
      <c r="D837" s="32"/>
      <c r="E837" s="32"/>
      <c r="F837" s="32"/>
      <c r="G837" s="32"/>
      <c r="H837" s="76"/>
      <c r="I837" s="77"/>
    </row>
    <row r="838" spans="1:9" s="78" customFormat="1" ht="16.5">
      <c r="A838" s="75"/>
      <c r="B838" s="32"/>
      <c r="C838" s="32"/>
      <c r="D838" s="32"/>
      <c r="E838" s="32"/>
      <c r="F838" s="32"/>
      <c r="G838" s="32"/>
      <c r="H838" s="76"/>
      <c r="I838" s="77"/>
    </row>
    <row r="839" spans="1:9" s="78" customFormat="1" ht="16.5">
      <c r="A839" s="75"/>
      <c r="B839" s="32"/>
      <c r="C839" s="32"/>
      <c r="D839" s="32"/>
      <c r="E839" s="32"/>
      <c r="F839" s="32"/>
      <c r="G839" s="32"/>
      <c r="H839" s="76"/>
      <c r="I839" s="77"/>
    </row>
    <row r="840" spans="1:9" s="78" customFormat="1" ht="16.5">
      <c r="A840" s="75"/>
      <c r="B840" s="32"/>
      <c r="C840" s="32"/>
      <c r="D840" s="32"/>
      <c r="E840" s="32"/>
      <c r="F840" s="32"/>
      <c r="G840" s="32"/>
      <c r="H840" s="76"/>
      <c r="I840" s="77"/>
    </row>
    <row r="841" spans="1:9" s="78" customFormat="1" ht="16.5">
      <c r="A841" s="75"/>
      <c r="B841" s="32"/>
      <c r="C841" s="32"/>
      <c r="D841" s="32"/>
      <c r="E841" s="32"/>
      <c r="F841" s="32"/>
      <c r="G841" s="32"/>
      <c r="H841" s="76"/>
      <c r="I841" s="77"/>
    </row>
    <row r="842" spans="1:9" s="78" customFormat="1" ht="16.5">
      <c r="A842" s="75"/>
      <c r="B842" s="32"/>
      <c r="C842" s="32"/>
      <c r="D842" s="32"/>
      <c r="E842" s="32"/>
      <c r="F842" s="32"/>
      <c r="G842" s="32"/>
      <c r="H842" s="76"/>
      <c r="I842" s="77"/>
    </row>
    <row r="843" spans="1:9" s="78" customFormat="1" ht="16.5">
      <c r="A843" s="75"/>
      <c r="B843" s="32"/>
      <c r="C843" s="32"/>
      <c r="D843" s="32"/>
      <c r="E843" s="32"/>
      <c r="F843" s="32"/>
      <c r="G843" s="32"/>
      <c r="H843" s="76"/>
      <c r="I843" s="77"/>
    </row>
    <row r="844" spans="1:9" s="78" customFormat="1" ht="16.5">
      <c r="A844" s="75"/>
      <c r="B844" s="32"/>
      <c r="C844" s="32"/>
      <c r="D844" s="32"/>
      <c r="E844" s="32"/>
      <c r="F844" s="32"/>
      <c r="G844" s="32"/>
      <c r="H844" s="76"/>
      <c r="I844" s="77"/>
    </row>
    <row r="845" spans="1:9" s="78" customFormat="1" ht="16.5">
      <c r="A845" s="75"/>
      <c r="B845" s="32"/>
      <c r="C845" s="32"/>
      <c r="D845" s="32"/>
      <c r="E845" s="32"/>
      <c r="F845" s="32"/>
      <c r="G845" s="32"/>
      <c r="H845" s="76"/>
      <c r="I845" s="77"/>
    </row>
    <row r="846" spans="1:9" s="78" customFormat="1" ht="16.5">
      <c r="A846" s="75"/>
      <c r="B846" s="32"/>
      <c r="C846" s="32"/>
      <c r="D846" s="32"/>
      <c r="E846" s="32"/>
      <c r="F846" s="32"/>
      <c r="G846" s="32"/>
      <c r="H846" s="76"/>
      <c r="I846" s="77"/>
    </row>
    <row r="847" spans="1:9" s="78" customFormat="1" ht="16.5">
      <c r="A847" s="75"/>
      <c r="B847" s="32"/>
      <c r="C847" s="32"/>
      <c r="D847" s="32"/>
      <c r="E847" s="32"/>
      <c r="F847" s="32"/>
      <c r="G847" s="32"/>
      <c r="H847" s="76"/>
      <c r="I847" s="77"/>
    </row>
    <row r="848" spans="1:9" s="78" customFormat="1" ht="16.5">
      <c r="A848" s="75"/>
      <c r="B848" s="32"/>
      <c r="C848" s="32"/>
      <c r="D848" s="32"/>
      <c r="E848" s="32"/>
      <c r="F848" s="32"/>
      <c r="G848" s="32"/>
      <c r="H848" s="76"/>
      <c r="I848" s="77"/>
    </row>
    <row r="849" spans="1:9" s="78" customFormat="1" ht="16.5">
      <c r="A849" s="75"/>
      <c r="B849" s="32"/>
      <c r="C849" s="32"/>
      <c r="D849" s="32"/>
      <c r="E849" s="32"/>
      <c r="F849" s="32"/>
      <c r="G849" s="32"/>
      <c r="H849" s="76"/>
      <c r="I849" s="77"/>
    </row>
    <row r="850" spans="1:9" s="78" customFormat="1" ht="16.5">
      <c r="A850" s="75"/>
      <c r="B850" s="32"/>
      <c r="C850" s="32"/>
      <c r="D850" s="32"/>
      <c r="E850" s="32"/>
      <c r="F850" s="32"/>
      <c r="G850" s="32"/>
      <c r="H850" s="76"/>
      <c r="I850" s="77"/>
    </row>
    <row r="851" spans="1:9" s="78" customFormat="1" ht="16.5">
      <c r="A851" s="75"/>
      <c r="B851" s="32"/>
      <c r="C851" s="32"/>
      <c r="D851" s="32"/>
      <c r="E851" s="32"/>
      <c r="F851" s="32"/>
      <c r="G851" s="32"/>
      <c r="H851" s="76"/>
      <c r="I851" s="77"/>
    </row>
    <row r="852" spans="1:9" s="78" customFormat="1" ht="16.5">
      <c r="A852" s="75"/>
      <c r="B852" s="32"/>
      <c r="C852" s="32"/>
      <c r="D852" s="32"/>
      <c r="E852" s="32"/>
      <c r="F852" s="32"/>
      <c r="G852" s="32"/>
      <c r="H852" s="76"/>
      <c r="I852" s="77"/>
    </row>
    <row r="853" spans="1:9" s="78" customFormat="1" ht="16.5">
      <c r="A853" s="75"/>
      <c r="B853" s="32"/>
      <c r="C853" s="32"/>
      <c r="D853" s="32"/>
      <c r="E853" s="32"/>
      <c r="F853" s="32"/>
      <c r="G853" s="32"/>
      <c r="H853" s="76"/>
      <c r="I853" s="77"/>
    </row>
    <row r="854" spans="1:9" s="78" customFormat="1" ht="16.5">
      <c r="A854" s="75"/>
      <c r="B854" s="32"/>
      <c r="C854" s="32"/>
      <c r="D854" s="32"/>
      <c r="E854" s="32"/>
      <c r="F854" s="32"/>
      <c r="G854" s="32"/>
      <c r="H854" s="76"/>
      <c r="I854" s="77"/>
    </row>
    <row r="855" spans="1:9" s="78" customFormat="1" ht="16.5">
      <c r="A855" s="75"/>
      <c r="B855" s="32"/>
      <c r="C855" s="32"/>
      <c r="D855" s="32"/>
      <c r="E855" s="32"/>
      <c r="F855" s="32"/>
      <c r="G855" s="32"/>
      <c r="H855" s="76"/>
      <c r="I855" s="77"/>
    </row>
    <row r="856" spans="1:9" s="78" customFormat="1" ht="16.5">
      <c r="A856" s="75"/>
      <c r="B856" s="32"/>
      <c r="C856" s="32"/>
      <c r="D856" s="32"/>
      <c r="E856" s="32"/>
      <c r="F856" s="32"/>
      <c r="G856" s="32"/>
      <c r="H856" s="76"/>
      <c r="I856" s="77"/>
    </row>
    <row r="857" spans="1:9" s="78" customFormat="1" ht="16.5">
      <c r="A857" s="75"/>
      <c r="B857" s="32"/>
      <c r="C857" s="32"/>
      <c r="D857" s="32"/>
      <c r="E857" s="32"/>
      <c r="F857" s="32"/>
      <c r="G857" s="32"/>
      <c r="H857" s="76"/>
      <c r="I857" s="77"/>
    </row>
    <row r="858" spans="1:9" s="78" customFormat="1" ht="16.5">
      <c r="A858" s="75"/>
      <c r="B858" s="32"/>
      <c r="C858" s="32"/>
      <c r="D858" s="32"/>
      <c r="E858" s="32"/>
      <c r="F858" s="32"/>
      <c r="G858" s="32"/>
      <c r="H858" s="76"/>
      <c r="I858" s="77"/>
    </row>
    <row r="859" spans="1:9" s="78" customFormat="1" ht="16.5">
      <c r="A859" s="75"/>
      <c r="B859" s="32"/>
      <c r="C859" s="32"/>
      <c r="D859" s="32"/>
      <c r="E859" s="32"/>
      <c r="F859" s="32"/>
      <c r="G859" s="32"/>
      <c r="H859" s="76"/>
      <c r="I859" s="77"/>
    </row>
    <row r="860" spans="1:9" s="78" customFormat="1" ht="16.5">
      <c r="A860" s="75"/>
      <c r="B860" s="32"/>
      <c r="C860" s="32"/>
      <c r="D860" s="32"/>
      <c r="E860" s="32"/>
      <c r="F860" s="32"/>
      <c r="G860" s="32"/>
      <c r="H860" s="76"/>
      <c r="I860" s="77"/>
    </row>
    <row r="861" spans="1:9" s="78" customFormat="1" ht="16.5">
      <c r="A861" s="75"/>
      <c r="B861" s="32"/>
      <c r="C861" s="32"/>
      <c r="D861" s="32"/>
      <c r="E861" s="32"/>
      <c r="F861" s="32"/>
      <c r="G861" s="32"/>
      <c r="H861" s="76"/>
      <c r="I861" s="77"/>
    </row>
    <row r="862" spans="1:9" s="78" customFormat="1" ht="16.5">
      <c r="A862" s="75"/>
      <c r="B862" s="32"/>
      <c r="C862" s="32"/>
      <c r="D862" s="32"/>
      <c r="E862" s="32"/>
      <c r="F862" s="32"/>
      <c r="G862" s="32"/>
      <c r="H862" s="76"/>
      <c r="I862" s="77"/>
    </row>
    <row r="863" spans="1:9" s="78" customFormat="1" ht="16.5">
      <c r="A863" s="75"/>
      <c r="B863" s="32"/>
      <c r="C863" s="32"/>
      <c r="D863" s="32"/>
      <c r="E863" s="32"/>
      <c r="F863" s="32"/>
      <c r="G863" s="32"/>
      <c r="H863" s="76"/>
      <c r="I863" s="77"/>
    </row>
    <row r="864" spans="1:9" s="78" customFormat="1" ht="16.5">
      <c r="A864" s="75"/>
      <c r="B864" s="32"/>
      <c r="C864" s="32"/>
      <c r="D864" s="32"/>
      <c r="E864" s="32"/>
      <c r="F864" s="32"/>
      <c r="G864" s="32"/>
      <c r="H864" s="76"/>
      <c r="I864" s="77"/>
    </row>
    <row r="865" spans="1:9" s="78" customFormat="1" ht="16.5">
      <c r="A865" s="75"/>
      <c r="B865" s="32"/>
      <c r="C865" s="32"/>
      <c r="D865" s="32"/>
      <c r="E865" s="32"/>
      <c r="F865" s="32"/>
      <c r="G865" s="32"/>
      <c r="H865" s="76"/>
      <c r="I865" s="77"/>
    </row>
    <row r="866" spans="1:9" s="78" customFormat="1" ht="16.5">
      <c r="A866" s="75"/>
      <c r="B866" s="32"/>
      <c r="C866" s="32"/>
      <c r="D866" s="32"/>
      <c r="E866" s="32"/>
      <c r="F866" s="32"/>
      <c r="G866" s="32"/>
      <c r="H866" s="76"/>
      <c r="I866" s="77"/>
    </row>
    <row r="867" spans="1:9" s="78" customFormat="1" ht="16.5">
      <c r="A867" s="75"/>
      <c r="B867" s="32"/>
      <c r="C867" s="32"/>
      <c r="D867" s="32"/>
      <c r="E867" s="32"/>
      <c r="F867" s="32"/>
      <c r="G867" s="32"/>
      <c r="H867" s="76"/>
      <c r="I867" s="77"/>
    </row>
    <row r="868" spans="1:9" s="78" customFormat="1" ht="16.5">
      <c r="A868" s="75"/>
      <c r="B868" s="32"/>
      <c r="C868" s="32"/>
      <c r="D868" s="32"/>
      <c r="E868" s="32"/>
      <c r="F868" s="32"/>
      <c r="G868" s="32"/>
      <c r="H868" s="76"/>
      <c r="I868" s="77"/>
    </row>
    <row r="869" spans="1:9" s="78" customFormat="1" ht="16.5">
      <c r="A869" s="75"/>
      <c r="B869" s="32"/>
      <c r="C869" s="32"/>
      <c r="D869" s="32"/>
      <c r="E869" s="32"/>
      <c r="F869" s="32"/>
      <c r="G869" s="32"/>
      <c r="H869" s="76"/>
      <c r="I869" s="77"/>
    </row>
    <row r="870" spans="1:9" s="78" customFormat="1" ht="16.5">
      <c r="A870" s="75"/>
      <c r="B870" s="32"/>
      <c r="C870" s="32"/>
      <c r="D870" s="32"/>
      <c r="E870" s="32"/>
      <c r="F870" s="32"/>
      <c r="G870" s="32"/>
      <c r="H870" s="76"/>
      <c r="I870" s="77"/>
    </row>
    <row r="871" spans="1:9" s="78" customFormat="1" ht="16.5">
      <c r="A871" s="75"/>
      <c r="B871" s="32"/>
      <c r="C871" s="32"/>
      <c r="D871" s="32"/>
      <c r="E871" s="32"/>
      <c r="F871" s="32"/>
      <c r="G871" s="32"/>
      <c r="H871" s="76"/>
      <c r="I871" s="77"/>
    </row>
    <row r="872" spans="1:9" s="78" customFormat="1" ht="16.5">
      <c r="A872" s="75"/>
      <c r="B872" s="32"/>
      <c r="C872" s="32"/>
      <c r="D872" s="32"/>
      <c r="E872" s="32"/>
      <c r="F872" s="32"/>
      <c r="G872" s="32"/>
      <c r="H872" s="76"/>
      <c r="I872" s="77"/>
    </row>
    <row r="873" spans="1:9" s="78" customFormat="1" ht="16.5">
      <c r="A873" s="75"/>
      <c r="B873" s="32"/>
      <c r="C873" s="32"/>
      <c r="D873" s="32"/>
      <c r="E873" s="32"/>
      <c r="F873" s="32"/>
      <c r="G873" s="32"/>
      <c r="H873" s="76"/>
      <c r="I873" s="77"/>
    </row>
    <row r="874" spans="1:9" s="78" customFormat="1" ht="16.5">
      <c r="A874" s="75"/>
      <c r="B874" s="32"/>
      <c r="C874" s="32"/>
      <c r="D874" s="32"/>
      <c r="E874" s="32"/>
      <c r="F874" s="32"/>
      <c r="G874" s="32"/>
      <c r="H874" s="76"/>
      <c r="I874" s="77"/>
    </row>
    <row r="875" spans="1:9" s="78" customFormat="1" ht="16.5">
      <c r="A875" s="75"/>
      <c r="B875" s="32"/>
      <c r="C875" s="32"/>
      <c r="D875" s="32"/>
      <c r="E875" s="32"/>
      <c r="F875" s="32"/>
      <c r="G875" s="32"/>
      <c r="H875" s="76"/>
      <c r="I875" s="77"/>
    </row>
    <row r="876" spans="1:9" s="78" customFormat="1" ht="16.5">
      <c r="A876" s="75"/>
      <c r="B876" s="32"/>
      <c r="C876" s="32"/>
      <c r="D876" s="32"/>
      <c r="E876" s="32"/>
      <c r="F876" s="32"/>
      <c r="G876" s="32"/>
      <c r="H876" s="76"/>
      <c r="I876" s="77"/>
    </row>
    <row r="877" spans="1:9" s="78" customFormat="1" ht="16.5">
      <c r="A877" s="75"/>
      <c r="B877" s="32"/>
      <c r="C877" s="32"/>
      <c r="D877" s="32"/>
      <c r="E877" s="32"/>
      <c r="F877" s="32"/>
      <c r="G877" s="32"/>
      <c r="H877" s="76"/>
      <c r="I877" s="77"/>
    </row>
    <row r="878" spans="1:9" s="78" customFormat="1" ht="16.5">
      <c r="A878" s="75"/>
      <c r="B878" s="32"/>
      <c r="C878" s="32"/>
      <c r="D878" s="32"/>
      <c r="E878" s="32"/>
      <c r="F878" s="32"/>
      <c r="G878" s="32"/>
      <c r="H878" s="76"/>
      <c r="I878" s="77"/>
    </row>
    <row r="879" spans="1:9" s="78" customFormat="1" ht="16.5">
      <c r="A879" s="75"/>
      <c r="B879" s="32"/>
      <c r="C879" s="32"/>
      <c r="D879" s="32"/>
      <c r="E879" s="32"/>
      <c r="F879" s="32"/>
      <c r="G879" s="32"/>
      <c r="H879" s="76"/>
      <c r="I879" s="77"/>
    </row>
    <row r="880" spans="1:9" s="78" customFormat="1" ht="16.5">
      <c r="A880" s="75"/>
      <c r="B880" s="32"/>
      <c r="C880" s="32"/>
      <c r="D880" s="32"/>
      <c r="E880" s="32"/>
      <c r="F880" s="32"/>
      <c r="G880" s="32"/>
      <c r="H880" s="76"/>
      <c r="I880" s="77"/>
    </row>
    <row r="881" spans="1:9" s="78" customFormat="1" ht="16.5">
      <c r="A881" s="75"/>
      <c r="B881" s="32"/>
      <c r="C881" s="32"/>
      <c r="D881" s="32"/>
      <c r="E881" s="32"/>
      <c r="F881" s="32"/>
      <c r="G881" s="32"/>
      <c r="H881" s="76"/>
      <c r="I881" s="77"/>
    </row>
    <row r="882" spans="1:9" s="78" customFormat="1" ht="16.5">
      <c r="A882" s="75"/>
      <c r="B882" s="32"/>
      <c r="C882" s="32"/>
      <c r="D882" s="32"/>
      <c r="E882" s="32"/>
      <c r="F882" s="32"/>
      <c r="G882" s="32"/>
      <c r="H882" s="76"/>
      <c r="I882" s="77"/>
    </row>
    <row r="883" spans="1:9" s="78" customFormat="1" ht="16.5">
      <c r="A883" s="75"/>
      <c r="B883" s="32"/>
      <c r="C883" s="32"/>
      <c r="D883" s="32"/>
      <c r="E883" s="32"/>
      <c r="F883" s="32"/>
      <c r="G883" s="32"/>
      <c r="H883" s="76"/>
      <c r="I883" s="77"/>
    </row>
    <row r="884" spans="1:9" s="78" customFormat="1" ht="16.5">
      <c r="A884" s="75"/>
      <c r="B884" s="32"/>
      <c r="C884" s="32"/>
      <c r="D884" s="32"/>
      <c r="E884" s="32"/>
      <c r="F884" s="32"/>
      <c r="G884" s="32"/>
      <c r="H884" s="76"/>
      <c r="I884" s="77"/>
    </row>
    <row r="885" spans="1:9" s="78" customFormat="1" ht="16.5">
      <c r="A885" s="75"/>
      <c r="B885" s="32"/>
      <c r="C885" s="32"/>
      <c r="D885" s="32"/>
      <c r="E885" s="32"/>
      <c r="F885" s="32"/>
      <c r="G885" s="32"/>
      <c r="H885" s="76"/>
      <c r="I885" s="77"/>
    </row>
    <row r="886" spans="1:9" s="78" customFormat="1" ht="16.5">
      <c r="A886" s="75"/>
      <c r="B886" s="32"/>
      <c r="C886" s="32"/>
      <c r="D886" s="32"/>
      <c r="E886" s="32"/>
      <c r="F886" s="32"/>
      <c r="G886" s="32"/>
      <c r="H886" s="76"/>
      <c r="I886" s="77"/>
    </row>
    <row r="887" spans="1:9" s="78" customFormat="1" ht="16.5">
      <c r="A887" s="75"/>
      <c r="B887" s="32"/>
      <c r="C887" s="32"/>
      <c r="D887" s="32"/>
      <c r="E887" s="32"/>
      <c r="F887" s="32"/>
      <c r="G887" s="32"/>
      <c r="H887" s="76"/>
      <c r="I887" s="77"/>
    </row>
    <row r="888" spans="1:9" s="78" customFormat="1" ht="16.5">
      <c r="A888" s="75"/>
      <c r="B888" s="32"/>
      <c r="C888" s="32"/>
      <c r="D888" s="32"/>
      <c r="E888" s="32"/>
      <c r="F888" s="32"/>
      <c r="G888" s="32"/>
      <c r="H888" s="76"/>
      <c r="I888" s="77"/>
    </row>
    <row r="889" spans="1:9" s="78" customFormat="1" ht="16.5">
      <c r="A889" s="75"/>
      <c r="B889" s="32"/>
      <c r="C889" s="32"/>
      <c r="D889" s="32"/>
      <c r="E889" s="32"/>
      <c r="F889" s="32"/>
      <c r="G889" s="32"/>
      <c r="H889" s="76"/>
      <c r="I889" s="77"/>
    </row>
    <row r="890" spans="1:9" s="78" customFormat="1" ht="16.5">
      <c r="A890" s="75"/>
      <c r="B890" s="32"/>
      <c r="C890" s="32"/>
      <c r="D890" s="32"/>
      <c r="E890" s="32"/>
      <c r="F890" s="32"/>
      <c r="G890" s="32"/>
      <c r="H890" s="76"/>
      <c r="I890" s="77"/>
    </row>
    <row r="891" spans="1:9" s="78" customFormat="1" ht="16.5">
      <c r="A891" s="75"/>
      <c r="B891" s="32"/>
      <c r="C891" s="32"/>
      <c r="D891" s="32"/>
      <c r="E891" s="32"/>
      <c r="F891" s="32"/>
      <c r="G891" s="32"/>
      <c r="H891" s="76"/>
      <c r="I891" s="77"/>
    </row>
    <row r="892" spans="1:9" s="78" customFormat="1" ht="16.5">
      <c r="A892" s="75"/>
      <c r="B892" s="32"/>
      <c r="C892" s="32"/>
      <c r="D892" s="32"/>
      <c r="E892" s="32"/>
      <c r="F892" s="32"/>
      <c r="G892" s="32"/>
      <c r="H892" s="76"/>
      <c r="I892" s="77"/>
    </row>
    <row r="893" spans="1:9" s="78" customFormat="1" ht="16.5">
      <c r="A893" s="75"/>
      <c r="B893" s="32"/>
      <c r="C893" s="32"/>
      <c r="D893" s="32"/>
      <c r="E893" s="32"/>
      <c r="F893" s="32"/>
      <c r="G893" s="32"/>
      <c r="H893" s="76"/>
      <c r="I893" s="77"/>
    </row>
    <row r="894" spans="1:9" s="78" customFormat="1" ht="16.5">
      <c r="A894" s="75"/>
      <c r="B894" s="32"/>
      <c r="C894" s="32"/>
      <c r="D894" s="32"/>
      <c r="E894" s="32"/>
      <c r="F894" s="32"/>
      <c r="G894" s="32"/>
      <c r="H894" s="76"/>
      <c r="I894" s="77"/>
    </row>
    <row r="895" spans="1:9" s="78" customFormat="1" ht="16.5">
      <c r="A895" s="75"/>
      <c r="B895" s="32"/>
      <c r="C895" s="32"/>
      <c r="D895" s="32"/>
      <c r="E895" s="32"/>
      <c r="F895" s="32"/>
      <c r="G895" s="32"/>
      <c r="H895" s="76"/>
      <c r="I895" s="77"/>
    </row>
    <row r="896" spans="1:9" s="78" customFormat="1" ht="16.5">
      <c r="A896" s="75"/>
      <c r="B896" s="32"/>
      <c r="C896" s="32"/>
      <c r="D896" s="32"/>
      <c r="E896" s="32"/>
      <c r="F896" s="32"/>
      <c r="G896" s="32"/>
      <c r="H896" s="76"/>
      <c r="I896" s="77"/>
    </row>
    <row r="897" spans="1:9" s="78" customFormat="1" ht="16.5">
      <c r="A897" s="75"/>
      <c r="B897" s="32"/>
      <c r="C897" s="32"/>
      <c r="D897" s="32"/>
      <c r="E897" s="32"/>
      <c r="F897" s="32"/>
      <c r="G897" s="32"/>
      <c r="H897" s="76"/>
      <c r="I897" s="77"/>
    </row>
    <row r="898" spans="1:9" s="78" customFormat="1" ht="16.5">
      <c r="A898" s="75"/>
      <c r="B898" s="32"/>
      <c r="C898" s="32"/>
      <c r="D898" s="32"/>
      <c r="E898" s="32"/>
      <c r="F898" s="32"/>
      <c r="G898" s="32"/>
      <c r="H898" s="76"/>
      <c r="I898" s="77"/>
    </row>
    <row r="899" spans="1:9" s="78" customFormat="1" ht="16.5">
      <c r="A899" s="75"/>
      <c r="B899" s="32"/>
      <c r="C899" s="32"/>
      <c r="D899" s="32"/>
      <c r="E899" s="32"/>
      <c r="F899" s="32"/>
      <c r="G899" s="32"/>
      <c r="H899" s="76"/>
      <c r="I899" s="77"/>
    </row>
    <row r="900" spans="1:9" s="78" customFormat="1" ht="16.5">
      <c r="A900" s="75"/>
      <c r="B900" s="32"/>
      <c r="C900" s="32"/>
      <c r="D900" s="32"/>
      <c r="E900" s="32"/>
      <c r="F900" s="32"/>
      <c r="G900" s="32"/>
      <c r="H900" s="76"/>
      <c r="I900" s="77"/>
    </row>
    <row r="901" spans="1:9" s="78" customFormat="1" ht="16.5">
      <c r="A901" s="75"/>
      <c r="B901" s="32"/>
      <c r="C901" s="32"/>
      <c r="D901" s="32"/>
      <c r="E901" s="32"/>
      <c r="F901" s="32"/>
      <c r="G901" s="32"/>
      <c r="H901" s="76"/>
      <c r="I901" s="77"/>
    </row>
    <row r="902" spans="1:9" s="78" customFormat="1" ht="16.5">
      <c r="A902" s="75"/>
      <c r="B902" s="32"/>
      <c r="C902" s="32"/>
      <c r="D902" s="32"/>
      <c r="E902" s="32"/>
      <c r="F902" s="32"/>
      <c r="G902" s="32"/>
      <c r="H902" s="76"/>
      <c r="I902" s="77"/>
    </row>
    <row r="903" spans="1:9" s="78" customFormat="1" ht="16.5">
      <c r="A903" s="75"/>
      <c r="B903" s="32"/>
      <c r="C903" s="32"/>
      <c r="D903" s="32"/>
      <c r="E903" s="32"/>
      <c r="F903" s="32"/>
      <c r="G903" s="32"/>
      <c r="H903" s="76"/>
      <c r="I903" s="77"/>
    </row>
    <row r="904" spans="1:9" s="78" customFormat="1" ht="16.5">
      <c r="A904" s="75"/>
      <c r="B904" s="32"/>
      <c r="C904" s="32"/>
      <c r="D904" s="32"/>
      <c r="E904" s="32"/>
      <c r="F904" s="32"/>
      <c r="G904" s="32"/>
      <c r="H904" s="76"/>
      <c r="I904" s="77"/>
    </row>
    <row r="905" spans="1:9" s="78" customFormat="1" ht="16.5">
      <c r="A905" s="75"/>
      <c r="B905" s="32"/>
      <c r="C905" s="32"/>
      <c r="D905" s="32"/>
      <c r="E905" s="32"/>
      <c r="F905" s="32"/>
      <c r="G905" s="32"/>
      <c r="H905" s="76"/>
      <c r="I905" s="77"/>
    </row>
    <row r="906" spans="1:9" s="78" customFormat="1" ht="16.5">
      <c r="A906" s="75"/>
      <c r="B906" s="32"/>
      <c r="C906" s="32"/>
      <c r="D906" s="32"/>
      <c r="E906" s="32"/>
      <c r="F906" s="32"/>
      <c r="G906" s="32"/>
      <c r="H906" s="76"/>
      <c r="I906" s="77"/>
    </row>
    <row r="907" spans="1:9" s="78" customFormat="1" ht="16.5">
      <c r="A907" s="75"/>
      <c r="B907" s="32"/>
      <c r="C907" s="32"/>
      <c r="D907" s="32"/>
      <c r="E907" s="32"/>
      <c r="F907" s="32"/>
      <c r="G907" s="32"/>
      <c r="H907" s="76"/>
      <c r="I907" s="77"/>
    </row>
    <row r="908" spans="1:9" s="78" customFormat="1" ht="16.5">
      <c r="A908" s="75"/>
      <c r="B908" s="32"/>
      <c r="C908" s="32"/>
      <c r="D908" s="32"/>
      <c r="E908" s="32"/>
      <c r="F908" s="32"/>
      <c r="G908" s="32"/>
      <c r="H908" s="76"/>
      <c r="I908" s="77"/>
    </row>
    <row r="909" spans="1:9" s="78" customFormat="1" ht="16.5">
      <c r="A909" s="75"/>
      <c r="B909" s="32"/>
      <c r="C909" s="32"/>
      <c r="D909" s="32"/>
      <c r="E909" s="32"/>
      <c r="F909" s="32"/>
      <c r="G909" s="32"/>
      <c r="H909" s="76"/>
      <c r="I909" s="77"/>
    </row>
    <row r="910" spans="1:9" s="78" customFormat="1" ht="16.5">
      <c r="A910" s="75"/>
      <c r="B910" s="32"/>
      <c r="C910" s="32"/>
      <c r="D910" s="32"/>
      <c r="E910" s="32"/>
      <c r="F910" s="32"/>
      <c r="G910" s="32"/>
      <c r="H910" s="76"/>
      <c r="I910" s="77"/>
    </row>
    <row r="911" spans="1:9" s="78" customFormat="1" ht="16.5">
      <c r="A911" s="75"/>
      <c r="B911" s="32"/>
      <c r="C911" s="32"/>
      <c r="D911" s="32"/>
      <c r="E911" s="32"/>
      <c r="F911" s="32"/>
      <c r="G911" s="32"/>
      <c r="H911" s="76"/>
      <c r="I911" s="77"/>
    </row>
    <row r="912" spans="1:9" s="78" customFormat="1" ht="16.5">
      <c r="A912" s="75"/>
      <c r="B912" s="32"/>
      <c r="C912" s="32"/>
      <c r="D912" s="32"/>
      <c r="E912" s="32"/>
      <c r="F912" s="32"/>
      <c r="G912" s="32"/>
      <c r="H912" s="76"/>
      <c r="I912" s="77"/>
    </row>
    <row r="913" spans="1:9" s="78" customFormat="1" ht="16.5">
      <c r="A913" s="75"/>
      <c r="B913" s="32"/>
      <c r="C913" s="32"/>
      <c r="D913" s="32"/>
      <c r="E913" s="32"/>
      <c r="F913" s="32"/>
      <c r="G913" s="32"/>
      <c r="H913" s="76"/>
      <c r="I913" s="77"/>
    </row>
    <row r="914" spans="1:9" s="78" customFormat="1" ht="16.5">
      <c r="A914" s="75"/>
      <c r="B914" s="32"/>
      <c r="C914" s="32"/>
      <c r="D914" s="32"/>
      <c r="E914" s="32"/>
      <c r="F914" s="32"/>
      <c r="G914" s="32"/>
      <c r="H914" s="76"/>
      <c r="I914" s="77"/>
    </row>
    <row r="915" spans="1:9" s="78" customFormat="1" ht="16.5">
      <c r="A915" s="75"/>
      <c r="B915" s="32"/>
      <c r="C915" s="32"/>
      <c r="D915" s="32"/>
      <c r="E915" s="32"/>
      <c r="F915" s="32"/>
      <c r="G915" s="32"/>
      <c r="H915" s="76"/>
      <c r="I915" s="77"/>
    </row>
    <row r="916" spans="1:9" s="78" customFormat="1" ht="16.5">
      <c r="A916" s="75"/>
      <c r="B916" s="32"/>
      <c r="C916" s="32"/>
      <c r="D916" s="32"/>
      <c r="E916" s="32"/>
      <c r="F916" s="32"/>
      <c r="G916" s="32"/>
      <c r="H916" s="76"/>
      <c r="I916" s="77"/>
    </row>
    <row r="917" spans="1:9" s="78" customFormat="1" ht="16.5">
      <c r="A917" s="75"/>
      <c r="B917" s="32"/>
      <c r="C917" s="32"/>
      <c r="D917" s="32"/>
      <c r="E917" s="32"/>
      <c r="F917" s="32"/>
      <c r="G917" s="32"/>
      <c r="H917" s="76"/>
      <c r="I917" s="77"/>
    </row>
    <row r="918" spans="1:9" s="78" customFormat="1" ht="16.5">
      <c r="A918" s="75"/>
      <c r="B918" s="32"/>
      <c r="C918" s="32"/>
      <c r="D918" s="32"/>
      <c r="E918" s="32"/>
      <c r="F918" s="32"/>
      <c r="G918" s="32"/>
      <c r="H918" s="76"/>
      <c r="I918" s="77"/>
    </row>
    <row r="919" spans="1:9" s="78" customFormat="1" ht="16.5">
      <c r="A919" s="75"/>
      <c r="B919" s="32"/>
      <c r="C919" s="32"/>
      <c r="D919" s="32"/>
      <c r="E919" s="32"/>
      <c r="F919" s="32"/>
      <c r="G919" s="32"/>
      <c r="H919" s="76"/>
      <c r="I919" s="77"/>
    </row>
    <row r="920" spans="1:9" s="78" customFormat="1" ht="16.5">
      <c r="A920" s="75"/>
      <c r="B920" s="32"/>
      <c r="C920" s="32"/>
      <c r="D920" s="32"/>
      <c r="E920" s="32"/>
      <c r="F920" s="32"/>
      <c r="G920" s="32"/>
      <c r="H920" s="76"/>
      <c r="I920" s="77"/>
    </row>
    <row r="921" spans="1:9" s="78" customFormat="1" ht="16.5">
      <c r="A921" s="75"/>
      <c r="B921" s="32"/>
      <c r="C921" s="32"/>
      <c r="D921" s="32"/>
      <c r="E921" s="32"/>
      <c r="F921" s="32"/>
      <c r="G921" s="32"/>
      <c r="H921" s="76"/>
      <c r="I921" s="77"/>
    </row>
    <row r="922" spans="1:9" s="78" customFormat="1" ht="16.5">
      <c r="A922" s="75"/>
      <c r="B922" s="32"/>
      <c r="C922" s="32"/>
      <c r="D922" s="32"/>
      <c r="E922" s="32"/>
      <c r="F922" s="32"/>
      <c r="G922" s="32"/>
      <c r="H922" s="76"/>
      <c r="I922" s="77"/>
    </row>
    <row r="923" spans="1:9" s="78" customFormat="1" ht="16.5">
      <c r="A923" s="75"/>
      <c r="B923" s="32"/>
      <c r="C923" s="32"/>
      <c r="D923" s="32"/>
      <c r="E923" s="32"/>
      <c r="F923" s="32"/>
      <c r="G923" s="32"/>
      <c r="H923" s="76"/>
      <c r="I923" s="77"/>
    </row>
    <row r="924" spans="1:9" s="78" customFormat="1" ht="16.5">
      <c r="A924" s="75"/>
      <c r="B924" s="32"/>
      <c r="C924" s="32"/>
      <c r="D924" s="32"/>
      <c r="E924" s="32"/>
      <c r="F924" s="32"/>
      <c r="G924" s="32"/>
      <c r="H924" s="76"/>
      <c r="I924" s="77"/>
    </row>
    <row r="925" spans="1:9" s="78" customFormat="1" ht="16.5">
      <c r="A925" s="75"/>
      <c r="B925" s="32"/>
      <c r="C925" s="32"/>
      <c r="D925" s="32"/>
      <c r="E925" s="32"/>
      <c r="F925" s="32"/>
      <c r="G925" s="32"/>
      <c r="H925" s="76"/>
      <c r="I925" s="77"/>
    </row>
    <row r="926" spans="1:9" s="78" customFormat="1" ht="16.5">
      <c r="A926" s="75"/>
      <c r="B926" s="32"/>
      <c r="C926" s="32"/>
      <c r="D926" s="32"/>
      <c r="E926" s="32"/>
      <c r="F926" s="32"/>
      <c r="G926" s="32"/>
      <c r="H926" s="76"/>
      <c r="I926" s="77"/>
    </row>
    <row r="927" spans="1:9" s="78" customFormat="1" ht="16.5">
      <c r="A927" s="75"/>
      <c r="B927" s="32"/>
      <c r="C927" s="32"/>
      <c r="D927" s="32"/>
      <c r="E927" s="32"/>
      <c r="F927" s="32"/>
      <c r="G927" s="32"/>
      <c r="H927" s="76"/>
      <c r="I927" s="77"/>
    </row>
    <row r="928" spans="1:9" s="78" customFormat="1" ht="16.5">
      <c r="A928" s="75"/>
      <c r="B928" s="32"/>
      <c r="C928" s="32"/>
      <c r="D928" s="32"/>
      <c r="E928" s="32"/>
      <c r="F928" s="32"/>
      <c r="G928" s="32"/>
      <c r="H928" s="76"/>
      <c r="I928" s="77"/>
    </row>
    <row r="929" spans="1:9" s="78" customFormat="1" ht="16.5">
      <c r="A929" s="75"/>
      <c r="B929" s="32"/>
      <c r="C929" s="32"/>
      <c r="D929" s="32"/>
      <c r="E929" s="32"/>
      <c r="F929" s="32"/>
      <c r="G929" s="32"/>
      <c r="H929" s="76"/>
      <c r="I929" s="77"/>
    </row>
    <row r="930" spans="1:9" s="78" customFormat="1" ht="16.5">
      <c r="A930" s="75"/>
      <c r="B930" s="32"/>
      <c r="C930" s="32"/>
      <c r="D930" s="32"/>
      <c r="E930" s="32"/>
      <c r="F930" s="32"/>
      <c r="G930" s="32"/>
      <c r="H930" s="76"/>
      <c r="I930" s="77"/>
    </row>
    <row r="931" spans="1:9" s="78" customFormat="1" ht="16.5">
      <c r="A931" s="75"/>
      <c r="B931" s="32"/>
      <c r="C931" s="32"/>
      <c r="D931" s="32"/>
      <c r="E931" s="32"/>
      <c r="F931" s="32"/>
      <c r="G931" s="32"/>
      <c r="H931" s="76"/>
      <c r="I931" s="77"/>
    </row>
    <row r="932" spans="1:9" s="78" customFormat="1" ht="16.5">
      <c r="A932" s="75"/>
      <c r="B932" s="32"/>
      <c r="C932" s="32"/>
      <c r="D932" s="32"/>
      <c r="E932" s="32"/>
      <c r="F932" s="32"/>
      <c r="G932" s="32"/>
      <c r="H932" s="76"/>
      <c r="I932" s="77"/>
    </row>
    <row r="933" spans="1:9" s="78" customFormat="1" ht="16.5">
      <c r="A933" s="75"/>
      <c r="B933" s="32"/>
      <c r="C933" s="32"/>
      <c r="D933" s="32"/>
      <c r="E933" s="32"/>
      <c r="F933" s="32"/>
      <c r="G933" s="32"/>
      <c r="H933" s="76"/>
      <c r="I933" s="77"/>
    </row>
    <row r="934" spans="1:9" s="78" customFormat="1" ht="16.5">
      <c r="A934" s="75"/>
      <c r="B934" s="32"/>
      <c r="C934" s="32"/>
      <c r="D934" s="32"/>
      <c r="E934" s="32"/>
      <c r="F934" s="32"/>
      <c r="G934" s="32"/>
      <c r="H934" s="76"/>
      <c r="I934" s="77"/>
    </row>
    <row r="935" spans="1:9" s="78" customFormat="1" ht="16.5">
      <c r="A935" s="75"/>
      <c r="B935" s="32"/>
      <c r="C935" s="32"/>
      <c r="D935" s="32"/>
      <c r="E935" s="32"/>
      <c r="F935" s="32"/>
      <c r="G935" s="32"/>
      <c r="H935" s="76"/>
      <c r="I935" s="77"/>
    </row>
    <row r="936" spans="1:9" s="78" customFormat="1" ht="16.5">
      <c r="A936" s="75"/>
      <c r="B936" s="32"/>
      <c r="C936" s="32"/>
      <c r="D936" s="32"/>
      <c r="E936" s="32"/>
      <c r="F936" s="32"/>
      <c r="G936" s="32"/>
      <c r="H936" s="76"/>
      <c r="I936" s="77"/>
    </row>
    <row r="937" spans="1:9" s="78" customFormat="1" ht="16.5">
      <c r="A937" s="75"/>
      <c r="B937" s="32"/>
      <c r="C937" s="32"/>
      <c r="D937" s="32"/>
      <c r="E937" s="32"/>
      <c r="F937" s="32"/>
      <c r="G937" s="32"/>
      <c r="H937" s="76"/>
      <c r="I937" s="77"/>
    </row>
    <row r="938" spans="1:9" s="78" customFormat="1" ht="16.5">
      <c r="A938" s="75"/>
      <c r="B938" s="32"/>
      <c r="C938" s="32"/>
      <c r="D938" s="32"/>
      <c r="E938" s="32"/>
      <c r="F938" s="32"/>
      <c r="G938" s="32"/>
      <c r="H938" s="76"/>
      <c r="I938" s="77"/>
    </row>
    <row r="939" spans="1:9" s="78" customFormat="1" ht="16.5">
      <c r="A939" s="75"/>
      <c r="B939" s="32"/>
      <c r="C939" s="32"/>
      <c r="D939" s="32"/>
      <c r="E939" s="32"/>
      <c r="F939" s="32"/>
      <c r="G939" s="32"/>
      <c r="H939" s="76"/>
      <c r="I939" s="77"/>
    </row>
    <row r="940" spans="1:9" s="78" customFormat="1" ht="16.5">
      <c r="A940" s="75"/>
      <c r="B940" s="32"/>
      <c r="C940" s="32"/>
      <c r="D940" s="32"/>
      <c r="E940" s="32"/>
      <c r="F940" s="32"/>
      <c r="G940" s="32"/>
      <c r="H940" s="76"/>
      <c r="I940" s="77"/>
    </row>
    <row r="941" spans="1:9" s="78" customFormat="1" ht="16.5">
      <c r="A941" s="75"/>
      <c r="B941" s="32"/>
      <c r="C941" s="32"/>
      <c r="D941" s="32"/>
      <c r="E941" s="32"/>
      <c r="F941" s="32"/>
      <c r="G941" s="32"/>
      <c r="H941" s="76"/>
      <c r="I941" s="77"/>
    </row>
    <row r="942" spans="1:9" s="78" customFormat="1" ht="16.5">
      <c r="A942" s="75"/>
      <c r="B942" s="32"/>
      <c r="C942" s="32"/>
      <c r="D942" s="32"/>
      <c r="E942" s="32"/>
      <c r="F942" s="32"/>
      <c r="G942" s="32"/>
      <c r="H942" s="76"/>
      <c r="I942" s="77"/>
    </row>
    <row r="943" spans="1:9" s="78" customFormat="1" ht="16.5">
      <c r="A943" s="75"/>
      <c r="B943" s="32"/>
      <c r="C943" s="32"/>
      <c r="D943" s="32"/>
      <c r="E943" s="32"/>
      <c r="F943" s="32"/>
      <c r="G943" s="32"/>
      <c r="H943" s="76"/>
      <c r="I943" s="77"/>
    </row>
    <row r="944" spans="1:9" s="78" customFormat="1" ht="16.5">
      <c r="A944" s="75"/>
      <c r="B944" s="32"/>
      <c r="C944" s="32"/>
      <c r="D944" s="32"/>
      <c r="E944" s="32"/>
      <c r="F944" s="32"/>
      <c r="G944" s="32"/>
      <c r="H944" s="76"/>
      <c r="I944" s="77"/>
    </row>
    <row r="945" spans="1:9" s="78" customFormat="1" ht="16.5">
      <c r="A945" s="75"/>
      <c r="B945" s="32"/>
      <c r="C945" s="32"/>
      <c r="D945" s="32"/>
      <c r="E945" s="32"/>
      <c r="F945" s="32"/>
      <c r="G945" s="32"/>
      <c r="H945" s="76"/>
      <c r="I945" s="77"/>
    </row>
    <row r="946" spans="1:9" s="78" customFormat="1" ht="16.5">
      <c r="A946" s="75"/>
      <c r="B946" s="32"/>
      <c r="C946" s="32"/>
      <c r="D946" s="32"/>
      <c r="E946" s="32"/>
      <c r="F946" s="32"/>
      <c r="G946" s="32"/>
      <c r="H946" s="76"/>
      <c r="I946" s="77"/>
    </row>
    <row r="947" spans="1:9" s="78" customFormat="1" ht="16.5">
      <c r="A947" s="75"/>
      <c r="B947" s="32"/>
      <c r="C947" s="32"/>
      <c r="D947" s="32"/>
      <c r="E947" s="32"/>
      <c r="F947" s="32"/>
      <c r="G947" s="32"/>
      <c r="H947" s="76"/>
      <c r="I947" s="77"/>
    </row>
    <row r="948" spans="1:9" s="78" customFormat="1" ht="16.5">
      <c r="A948" s="75"/>
      <c r="B948" s="32"/>
      <c r="C948" s="32"/>
      <c r="D948" s="32"/>
      <c r="E948" s="32"/>
      <c r="F948" s="32"/>
      <c r="G948" s="32"/>
      <c r="H948" s="76"/>
      <c r="I948" s="77"/>
    </row>
    <row r="949" spans="1:9" s="78" customFormat="1" ht="16.5">
      <c r="A949" s="75"/>
      <c r="B949" s="32"/>
      <c r="C949" s="32"/>
      <c r="D949" s="32"/>
      <c r="E949" s="32"/>
      <c r="F949" s="32"/>
      <c r="G949" s="32"/>
      <c r="H949" s="76"/>
      <c r="I949" s="77"/>
    </row>
    <row r="950" spans="1:9" s="78" customFormat="1" ht="16.5">
      <c r="A950" s="75"/>
      <c r="B950" s="32"/>
      <c r="C950" s="32"/>
      <c r="D950" s="32"/>
      <c r="E950" s="32"/>
      <c r="F950" s="32"/>
      <c r="G950" s="32"/>
      <c r="H950" s="76"/>
      <c r="I950" s="77"/>
    </row>
    <row r="951" spans="1:9" s="78" customFormat="1" ht="16.5">
      <c r="A951" s="75"/>
      <c r="B951" s="32"/>
      <c r="C951" s="32"/>
      <c r="D951" s="32"/>
      <c r="E951" s="32"/>
      <c r="F951" s="32"/>
      <c r="G951" s="32"/>
      <c r="H951" s="76"/>
      <c r="I951" s="77"/>
    </row>
    <row r="952" spans="1:9" s="78" customFormat="1" ht="16.5">
      <c r="A952" s="75"/>
      <c r="B952" s="32"/>
      <c r="C952" s="32"/>
      <c r="D952" s="32"/>
      <c r="E952" s="32"/>
      <c r="F952" s="32"/>
      <c r="G952" s="32"/>
      <c r="H952" s="76"/>
      <c r="I952" s="77"/>
    </row>
    <row r="953" spans="1:9" s="78" customFormat="1" ht="16.5">
      <c r="A953" s="75"/>
      <c r="B953" s="32"/>
      <c r="C953" s="32"/>
      <c r="D953" s="32"/>
      <c r="E953" s="32"/>
      <c r="F953" s="32"/>
      <c r="G953" s="32"/>
      <c r="H953" s="76"/>
      <c r="I953" s="77"/>
    </row>
    <row r="954" spans="1:9" s="78" customFormat="1" ht="16.5">
      <c r="A954" s="75"/>
      <c r="B954" s="32"/>
      <c r="C954" s="32"/>
      <c r="D954" s="32"/>
      <c r="E954" s="32"/>
      <c r="F954" s="32"/>
      <c r="G954" s="32"/>
      <c r="H954" s="76"/>
      <c r="I954" s="77"/>
    </row>
    <row r="955" spans="1:9" s="78" customFormat="1" ht="16.5">
      <c r="A955" s="75"/>
      <c r="B955" s="32"/>
      <c r="C955" s="32"/>
      <c r="D955" s="32"/>
      <c r="E955" s="32"/>
      <c r="F955" s="32"/>
      <c r="G955" s="32"/>
      <c r="H955" s="76"/>
      <c r="I955" s="77"/>
    </row>
    <row r="956" spans="1:9" s="78" customFormat="1" ht="16.5">
      <c r="A956" s="75"/>
      <c r="B956" s="32"/>
      <c r="C956" s="32"/>
      <c r="D956" s="32"/>
      <c r="E956" s="32"/>
      <c r="F956" s="32"/>
      <c r="G956" s="32"/>
      <c r="H956" s="76"/>
      <c r="I956" s="77"/>
    </row>
    <row r="957" spans="1:9" s="78" customFormat="1" ht="16.5">
      <c r="A957" s="75"/>
      <c r="B957" s="32"/>
      <c r="C957" s="32"/>
      <c r="D957" s="32"/>
      <c r="E957" s="32"/>
      <c r="F957" s="32"/>
      <c r="G957" s="32"/>
      <c r="H957" s="76"/>
      <c r="I957" s="77"/>
    </row>
    <row r="958" spans="1:9" s="78" customFormat="1" ht="16.5">
      <c r="A958" s="75"/>
      <c r="B958" s="32"/>
      <c r="C958" s="32"/>
      <c r="D958" s="32"/>
      <c r="E958" s="32"/>
      <c r="F958" s="32"/>
      <c r="G958" s="32"/>
      <c r="H958" s="76"/>
      <c r="I958" s="77"/>
    </row>
    <row r="959" spans="1:9" s="78" customFormat="1" ht="16.5">
      <c r="A959" s="75"/>
      <c r="B959" s="32"/>
      <c r="C959" s="32"/>
      <c r="D959" s="32"/>
      <c r="E959" s="32"/>
      <c r="F959" s="32"/>
      <c r="G959" s="32"/>
      <c r="H959" s="76"/>
      <c r="I959" s="77"/>
    </row>
    <row r="960" spans="1:9" s="78" customFormat="1" ht="16.5">
      <c r="A960" s="75"/>
      <c r="B960" s="32"/>
      <c r="C960" s="32"/>
      <c r="D960" s="32"/>
      <c r="E960" s="32"/>
      <c r="F960" s="32"/>
      <c r="G960" s="32"/>
      <c r="H960" s="76"/>
      <c r="I960" s="77"/>
    </row>
    <row r="961" spans="1:9" s="78" customFormat="1" ht="16.5">
      <c r="A961" s="75"/>
      <c r="B961" s="32"/>
      <c r="C961" s="32"/>
      <c r="D961" s="32"/>
      <c r="E961" s="32"/>
      <c r="F961" s="32"/>
      <c r="G961" s="32"/>
      <c r="H961" s="76"/>
      <c r="I961" s="77"/>
    </row>
    <row r="962" spans="1:9" s="78" customFormat="1" ht="16.5">
      <c r="A962" s="75"/>
      <c r="B962" s="32"/>
      <c r="C962" s="32"/>
      <c r="D962" s="32"/>
      <c r="E962" s="32"/>
      <c r="F962" s="32"/>
      <c r="G962" s="32"/>
      <c r="H962" s="76"/>
      <c r="I962" s="77"/>
    </row>
    <row r="963" spans="1:9" s="78" customFormat="1" ht="16.5">
      <c r="A963" s="75"/>
      <c r="B963" s="32"/>
      <c r="C963" s="32"/>
      <c r="D963" s="32"/>
      <c r="E963" s="32"/>
      <c r="F963" s="32"/>
      <c r="G963" s="32"/>
      <c r="H963" s="76"/>
      <c r="I963" s="77"/>
    </row>
    <row r="964" spans="1:9" s="78" customFormat="1" ht="16.5">
      <c r="A964" s="75"/>
      <c r="B964" s="32"/>
      <c r="C964" s="32"/>
      <c r="D964" s="32"/>
      <c r="E964" s="32"/>
      <c r="F964" s="32"/>
      <c r="G964" s="32"/>
      <c r="H964" s="76"/>
      <c r="I964" s="77"/>
    </row>
    <row r="965" spans="1:9" s="78" customFormat="1" ht="16.5">
      <c r="A965" s="75"/>
      <c r="B965" s="32"/>
      <c r="C965" s="32"/>
      <c r="D965" s="32"/>
      <c r="E965" s="32"/>
      <c r="F965" s="32"/>
      <c r="G965" s="32"/>
      <c r="H965" s="76"/>
      <c r="I965" s="77"/>
    </row>
    <row r="966" spans="1:9" s="78" customFormat="1" ht="16.5">
      <c r="A966" s="75"/>
      <c r="B966" s="32"/>
      <c r="C966" s="32"/>
      <c r="D966" s="32"/>
      <c r="E966" s="32"/>
      <c r="F966" s="32"/>
      <c r="G966" s="32"/>
      <c r="H966" s="76"/>
      <c r="I966" s="77"/>
    </row>
    <row r="967" spans="1:9" s="78" customFormat="1" ht="16.5">
      <c r="A967" s="75"/>
      <c r="B967" s="32"/>
      <c r="C967" s="32"/>
      <c r="D967" s="32"/>
      <c r="E967" s="32"/>
      <c r="F967" s="32"/>
      <c r="G967" s="32"/>
      <c r="H967" s="76"/>
      <c r="I967" s="77"/>
    </row>
    <row r="968" spans="1:9" s="78" customFormat="1" ht="16.5">
      <c r="A968" s="75"/>
      <c r="B968" s="32"/>
      <c r="C968" s="32"/>
      <c r="D968" s="32"/>
      <c r="E968" s="32"/>
      <c r="F968" s="32"/>
      <c r="G968" s="32"/>
      <c r="H968" s="76"/>
      <c r="I968" s="77"/>
    </row>
    <row r="969" spans="1:9" s="78" customFormat="1" ht="16.5">
      <c r="A969" s="75"/>
      <c r="B969" s="32"/>
      <c r="C969" s="32"/>
      <c r="D969" s="32"/>
      <c r="E969" s="32"/>
      <c r="F969" s="32"/>
      <c r="G969" s="32"/>
      <c r="H969" s="76"/>
      <c r="I969" s="77"/>
    </row>
    <row r="970" spans="1:9" s="78" customFormat="1" ht="16.5">
      <c r="A970" s="75"/>
      <c r="B970" s="32"/>
      <c r="C970" s="32"/>
      <c r="D970" s="32"/>
      <c r="E970" s="32"/>
      <c r="F970" s="32"/>
      <c r="G970" s="32"/>
      <c r="H970" s="76"/>
      <c r="I970" s="77"/>
    </row>
    <row r="971" spans="1:9" s="78" customFormat="1" ht="16.5">
      <c r="A971" s="75"/>
      <c r="B971" s="32"/>
      <c r="C971" s="32"/>
      <c r="D971" s="32"/>
      <c r="E971" s="32"/>
      <c r="F971" s="32"/>
      <c r="G971" s="32"/>
      <c r="H971" s="76"/>
      <c r="I971" s="77"/>
    </row>
    <row r="972" spans="1:9" s="78" customFormat="1" ht="16.5">
      <c r="A972" s="75"/>
      <c r="B972" s="32"/>
      <c r="C972" s="32"/>
      <c r="D972" s="32"/>
      <c r="E972" s="32"/>
      <c r="F972" s="32"/>
      <c r="G972" s="32"/>
      <c r="H972" s="76"/>
      <c r="I972" s="77"/>
    </row>
    <row r="973" spans="1:9" s="78" customFormat="1" ht="16.5">
      <c r="A973" s="75"/>
      <c r="B973" s="32"/>
      <c r="C973" s="32"/>
      <c r="D973" s="32"/>
      <c r="E973" s="32"/>
      <c r="F973" s="32"/>
      <c r="G973" s="32"/>
      <c r="H973" s="76"/>
      <c r="I973" s="77"/>
    </row>
    <row r="974" spans="1:9" s="78" customFormat="1" ht="16.5">
      <c r="A974" s="75"/>
      <c r="B974" s="32"/>
      <c r="C974" s="32"/>
      <c r="D974" s="32"/>
      <c r="E974" s="32"/>
      <c r="F974" s="32"/>
      <c r="G974" s="32"/>
      <c r="H974" s="76"/>
      <c r="I974" s="77"/>
    </row>
    <row r="975" spans="1:9" s="78" customFormat="1" ht="16.5">
      <c r="A975" s="75"/>
      <c r="B975" s="32"/>
      <c r="C975" s="32"/>
      <c r="D975" s="32"/>
      <c r="E975" s="32"/>
      <c r="F975" s="32"/>
      <c r="G975" s="32"/>
      <c r="H975" s="76"/>
      <c r="I975" s="77"/>
    </row>
    <row r="976" spans="1:9" s="78" customFormat="1" ht="16.5">
      <c r="A976" s="75"/>
      <c r="B976" s="32"/>
      <c r="C976" s="32"/>
      <c r="D976" s="32"/>
      <c r="E976" s="32"/>
      <c r="F976" s="32"/>
      <c r="G976" s="32"/>
      <c r="H976" s="76"/>
      <c r="I976" s="77"/>
    </row>
    <row r="977" spans="1:9" s="78" customFormat="1" ht="16.5">
      <c r="A977" s="75"/>
      <c r="B977" s="32"/>
      <c r="C977" s="32"/>
      <c r="D977" s="32"/>
      <c r="E977" s="32"/>
      <c r="F977" s="32"/>
      <c r="G977" s="32"/>
      <c r="H977" s="76"/>
      <c r="I977" s="77"/>
    </row>
    <row r="978" spans="1:9" s="78" customFormat="1" ht="16.5">
      <c r="A978" s="75"/>
      <c r="B978" s="32"/>
      <c r="C978" s="32"/>
      <c r="D978" s="32"/>
      <c r="E978" s="32"/>
      <c r="F978" s="32"/>
      <c r="G978" s="32"/>
      <c r="H978" s="76"/>
      <c r="I978" s="77"/>
    </row>
    <row r="979" spans="1:9" s="78" customFormat="1" ht="16.5">
      <c r="A979" s="75"/>
      <c r="B979" s="32"/>
      <c r="C979" s="32"/>
      <c r="D979" s="32"/>
      <c r="E979" s="32"/>
      <c r="F979" s="32"/>
      <c r="G979" s="32"/>
      <c r="H979" s="76"/>
      <c r="I979" s="77"/>
    </row>
    <row r="980" spans="1:9" s="78" customFormat="1" ht="16.5">
      <c r="A980" s="75"/>
      <c r="B980" s="32"/>
      <c r="C980" s="32"/>
      <c r="D980" s="32"/>
      <c r="E980" s="32"/>
      <c r="F980" s="32"/>
      <c r="G980" s="32"/>
      <c r="H980" s="76"/>
      <c r="I980" s="77"/>
    </row>
    <row r="981" spans="1:9" s="78" customFormat="1" ht="16.5">
      <c r="A981" s="75"/>
      <c r="B981" s="32"/>
      <c r="C981" s="32"/>
      <c r="D981" s="32"/>
      <c r="E981" s="32"/>
      <c r="F981" s="32"/>
      <c r="G981" s="32"/>
      <c r="H981" s="76"/>
      <c r="I981" s="77"/>
    </row>
    <row r="982" spans="1:9" s="78" customFormat="1" ht="16.5">
      <c r="A982" s="75"/>
      <c r="B982" s="32"/>
      <c r="C982" s="32"/>
      <c r="D982" s="32"/>
      <c r="E982" s="32"/>
      <c r="F982" s="32"/>
      <c r="G982" s="32"/>
      <c r="H982" s="76"/>
      <c r="I982" s="77"/>
    </row>
    <row r="983" spans="1:9" s="78" customFormat="1" ht="16.5">
      <c r="A983" s="75"/>
      <c r="B983" s="32"/>
      <c r="C983" s="32"/>
      <c r="D983" s="32"/>
      <c r="E983" s="32"/>
      <c r="F983" s="32"/>
      <c r="G983" s="32"/>
      <c r="H983" s="76"/>
      <c r="I983" s="77"/>
    </row>
    <row r="984" spans="1:9" s="78" customFormat="1" ht="16.5">
      <c r="A984" s="75"/>
      <c r="B984" s="32"/>
      <c r="C984" s="32"/>
      <c r="D984" s="32"/>
      <c r="E984" s="32"/>
      <c r="F984" s="32"/>
      <c r="G984" s="32"/>
      <c r="H984" s="76"/>
      <c r="I984" s="77"/>
    </row>
    <row r="985" spans="1:9" s="78" customFormat="1" ht="16.5">
      <c r="A985" s="75"/>
      <c r="B985" s="32"/>
      <c r="C985" s="32"/>
      <c r="D985" s="32"/>
      <c r="E985" s="32"/>
      <c r="F985" s="32"/>
      <c r="G985" s="32"/>
      <c r="H985" s="76"/>
      <c r="I985" s="77"/>
    </row>
    <row r="986" spans="1:9" s="78" customFormat="1" ht="16.5">
      <c r="A986" s="75"/>
      <c r="B986" s="32"/>
      <c r="C986" s="32"/>
      <c r="D986" s="32"/>
      <c r="E986" s="32"/>
      <c r="F986" s="32"/>
      <c r="G986" s="32"/>
      <c r="H986" s="76"/>
      <c r="I986" s="77"/>
    </row>
    <row r="987" spans="1:9" s="78" customFormat="1" ht="16.5">
      <c r="A987" s="75"/>
      <c r="B987" s="32"/>
      <c r="C987" s="32"/>
      <c r="D987" s="32"/>
      <c r="E987" s="32"/>
      <c r="F987" s="32"/>
      <c r="G987" s="32"/>
      <c r="H987" s="76"/>
      <c r="I987" s="77"/>
    </row>
    <row r="988" spans="1:9" s="78" customFormat="1" ht="16.5">
      <c r="A988" s="75"/>
      <c r="B988" s="32"/>
      <c r="C988" s="32"/>
      <c r="D988" s="32"/>
      <c r="E988" s="32"/>
      <c r="F988" s="32"/>
      <c r="G988" s="32"/>
      <c r="H988" s="76"/>
      <c r="I988" s="77"/>
    </row>
    <row r="989" spans="1:9" s="78" customFormat="1" ht="16.5">
      <c r="A989" s="75"/>
      <c r="B989" s="32"/>
      <c r="C989" s="32"/>
      <c r="D989" s="32"/>
      <c r="E989" s="32"/>
      <c r="F989" s="32"/>
      <c r="G989" s="32"/>
      <c r="H989" s="76"/>
      <c r="I989" s="77"/>
    </row>
  </sheetData>
  <sheetProtection insertRows="0" deleteRows="0" selectLockedCells="1"/>
  <protectedRanges>
    <protectedRange sqref="B7:H87" name="区域1_1"/>
  </protectedRanges>
  <mergeCells count="2">
    <mergeCell ref="A1:H1"/>
    <mergeCell ref="C2:H2"/>
  </mergeCells>
  <phoneticPr fontId="1" type="noConversion"/>
  <conditionalFormatting sqref="A255:A989">
    <cfRule type="duplicateValues" dxfId="1" priority="1" stopIfTrue="1"/>
    <cfRule type="duplicateValues" dxfId="0" priority="2" stopIfTrue="1"/>
  </conditionalFormatting>
  <dataValidations count="16">
    <dataValidation type="whole" imeMode="off" showInputMessage="1" showErrorMessage="1" errorTitle="出错提示：" error="1.输入货物件数即可（整数），无需输入单位 “件”。_x000a_2.请输入整数。" promptTitle="提示：" prompt="输入货物件数即可（整数），无需输入单位 “件”。" sqref="WVK983213:WVK1048576 SV7:SV87 ACR7:ACR87 AMN7:AMN87 AWJ7:AWJ87 BGF7:BGF87 BQB7:BQB87 BZX7:BZX87 CJT7:CJT87 CTP7:CTP87 DDL7:DDL87 DNH7:DNH87 DXD7:DXD87 EGZ7:EGZ87 EQV7:EQV87 FAR7:FAR87 FKN7:FKN87 FUJ7:FUJ87 GEF7:GEF87 GOB7:GOB87 GXX7:GXX87 HHT7:HHT87 HRP7:HRP87 IBL7:IBL87 ILH7:ILH87 IVD7:IVD87 JEZ7:JEZ87 JOV7:JOV87 JYR7:JYR87 KIN7:KIN87 KSJ7:KSJ87 LCF7:LCF87 LMB7:LMB87 LVX7:LVX87 MFT7:MFT87 MPP7:MPP87 MZL7:MZL87 NJH7:NJH87 NTD7:NTD87 OCZ7:OCZ87 OMV7:OMV87 OWR7:OWR87 PGN7:PGN87 PQJ7:PQJ87 QAF7:QAF87 QKB7:QKB87 QTX7:QTX87 RDT7:RDT87 RNP7:RNP87 RXL7:RXL87 SHH7:SHH87 SRD7:SRD87 TAZ7:TAZ87 TKV7:TKV87 TUR7:TUR87 UEN7:UEN87 UOJ7:UOJ87 UYF7:UYF87 VIB7:VIB87 VRX7:VRX87 WBT7:WBT87 WLP7:WLP87 WVL7:WVL87 IZ7:IZ87 D65643:D65673 IZ65643:IZ65673 SV65643:SV65673 ACR65643:ACR65673 AMN65643:AMN65673 AWJ65643:AWJ65673 BGF65643:BGF65673 BQB65643:BQB65673 BZX65643:BZX65673 CJT65643:CJT65673 CTP65643:CTP65673 DDL65643:DDL65673 DNH65643:DNH65673 DXD65643:DXD65673 EGZ65643:EGZ65673 EQV65643:EQV65673 FAR65643:FAR65673 FKN65643:FKN65673 FUJ65643:FUJ65673 GEF65643:GEF65673 GOB65643:GOB65673 GXX65643:GXX65673 HHT65643:HHT65673 HRP65643:HRP65673 IBL65643:IBL65673 ILH65643:ILH65673 IVD65643:IVD65673 JEZ65643:JEZ65673 JOV65643:JOV65673 JYR65643:JYR65673 KIN65643:KIN65673 KSJ65643:KSJ65673 LCF65643:LCF65673 LMB65643:LMB65673 LVX65643:LVX65673 MFT65643:MFT65673 MPP65643:MPP65673 MZL65643:MZL65673 NJH65643:NJH65673 NTD65643:NTD65673 OCZ65643:OCZ65673 OMV65643:OMV65673 OWR65643:OWR65673 PGN65643:PGN65673 PQJ65643:PQJ65673 QAF65643:QAF65673 QKB65643:QKB65673 QTX65643:QTX65673 RDT65643:RDT65673 RNP65643:RNP65673 RXL65643:RXL65673 SHH65643:SHH65673 SRD65643:SRD65673 TAZ65643:TAZ65673 TKV65643:TKV65673 TUR65643:TUR65673 UEN65643:UEN65673 UOJ65643:UOJ65673 UYF65643:UYF65673 VIB65643:VIB65673 VRX65643:VRX65673 WBT65643:WBT65673 WLP65643:WLP65673 WVL65643:WVL65673 D131179:D131209 IZ131179:IZ131209 SV131179:SV131209 ACR131179:ACR131209 AMN131179:AMN131209 AWJ131179:AWJ131209 BGF131179:BGF131209 BQB131179:BQB131209 BZX131179:BZX131209 CJT131179:CJT131209 CTP131179:CTP131209 DDL131179:DDL131209 DNH131179:DNH131209 DXD131179:DXD131209 EGZ131179:EGZ131209 EQV131179:EQV131209 FAR131179:FAR131209 FKN131179:FKN131209 FUJ131179:FUJ131209 GEF131179:GEF131209 GOB131179:GOB131209 GXX131179:GXX131209 HHT131179:HHT131209 HRP131179:HRP131209 IBL131179:IBL131209 ILH131179:ILH131209 IVD131179:IVD131209 JEZ131179:JEZ131209 JOV131179:JOV131209 JYR131179:JYR131209 KIN131179:KIN131209 KSJ131179:KSJ131209 LCF131179:LCF131209 LMB131179:LMB131209 LVX131179:LVX131209 MFT131179:MFT131209 MPP131179:MPP131209 MZL131179:MZL131209 NJH131179:NJH131209 NTD131179:NTD131209 OCZ131179:OCZ131209 OMV131179:OMV131209 OWR131179:OWR131209 PGN131179:PGN131209 PQJ131179:PQJ131209 QAF131179:QAF131209 QKB131179:QKB131209 QTX131179:QTX131209 RDT131179:RDT131209 RNP131179:RNP131209 RXL131179:RXL131209 SHH131179:SHH131209 SRD131179:SRD131209 TAZ131179:TAZ131209 TKV131179:TKV131209 TUR131179:TUR131209 UEN131179:UEN131209 UOJ131179:UOJ131209 UYF131179:UYF131209 VIB131179:VIB131209 VRX131179:VRX131209 WBT131179:WBT131209 WLP131179:WLP131209 WVL131179:WVL131209 D196715:D196745 IZ196715:IZ196745 SV196715:SV196745 ACR196715:ACR196745 AMN196715:AMN196745 AWJ196715:AWJ196745 BGF196715:BGF196745 BQB196715:BQB196745 BZX196715:BZX196745 CJT196715:CJT196745 CTP196715:CTP196745 DDL196715:DDL196745 DNH196715:DNH196745 DXD196715:DXD196745 EGZ196715:EGZ196745 EQV196715:EQV196745 FAR196715:FAR196745 FKN196715:FKN196745 FUJ196715:FUJ196745 GEF196715:GEF196745 GOB196715:GOB196745 GXX196715:GXX196745 HHT196715:HHT196745 HRP196715:HRP196745 IBL196715:IBL196745 ILH196715:ILH196745 IVD196715:IVD196745 JEZ196715:JEZ196745 JOV196715:JOV196745 JYR196715:JYR196745 KIN196715:KIN196745 KSJ196715:KSJ196745 LCF196715:LCF196745 LMB196715:LMB196745 LVX196715:LVX196745 MFT196715:MFT196745 MPP196715:MPP196745 MZL196715:MZL196745 NJH196715:NJH196745 NTD196715:NTD196745 OCZ196715:OCZ196745 OMV196715:OMV196745 OWR196715:OWR196745 PGN196715:PGN196745 PQJ196715:PQJ196745 QAF196715:QAF196745 QKB196715:QKB196745 QTX196715:QTX196745 RDT196715:RDT196745 RNP196715:RNP196745 RXL196715:RXL196745 SHH196715:SHH196745 SRD196715:SRD196745 TAZ196715:TAZ196745 TKV196715:TKV196745 TUR196715:TUR196745 UEN196715:UEN196745 UOJ196715:UOJ196745 UYF196715:UYF196745 VIB196715:VIB196745 VRX196715:VRX196745 WBT196715:WBT196745 WLP196715:WLP196745 WVL196715:WVL196745 D262251:D262281 IZ262251:IZ262281 SV262251:SV262281 ACR262251:ACR262281 AMN262251:AMN262281 AWJ262251:AWJ262281 BGF262251:BGF262281 BQB262251:BQB262281 BZX262251:BZX262281 CJT262251:CJT262281 CTP262251:CTP262281 DDL262251:DDL262281 DNH262251:DNH262281 DXD262251:DXD262281 EGZ262251:EGZ262281 EQV262251:EQV262281 FAR262251:FAR262281 FKN262251:FKN262281 FUJ262251:FUJ262281 GEF262251:GEF262281 GOB262251:GOB262281 GXX262251:GXX262281 HHT262251:HHT262281 HRP262251:HRP262281 IBL262251:IBL262281 ILH262251:ILH262281 IVD262251:IVD262281 JEZ262251:JEZ262281 JOV262251:JOV262281 JYR262251:JYR262281 KIN262251:KIN262281 KSJ262251:KSJ262281 LCF262251:LCF262281 LMB262251:LMB262281 LVX262251:LVX262281 MFT262251:MFT262281 MPP262251:MPP262281 MZL262251:MZL262281 NJH262251:NJH262281 NTD262251:NTD262281 OCZ262251:OCZ262281 OMV262251:OMV262281 OWR262251:OWR262281 PGN262251:PGN262281 PQJ262251:PQJ262281 QAF262251:QAF262281 QKB262251:QKB262281 QTX262251:QTX262281 RDT262251:RDT262281 RNP262251:RNP262281 RXL262251:RXL262281 SHH262251:SHH262281 SRD262251:SRD262281 TAZ262251:TAZ262281 TKV262251:TKV262281 TUR262251:TUR262281 UEN262251:UEN262281 UOJ262251:UOJ262281 UYF262251:UYF262281 VIB262251:VIB262281 VRX262251:VRX262281 WBT262251:WBT262281 WLP262251:WLP262281 WVL262251:WVL262281 D327787:D327817 IZ327787:IZ327817 SV327787:SV327817 ACR327787:ACR327817 AMN327787:AMN327817 AWJ327787:AWJ327817 BGF327787:BGF327817 BQB327787:BQB327817 BZX327787:BZX327817 CJT327787:CJT327817 CTP327787:CTP327817 DDL327787:DDL327817 DNH327787:DNH327817 DXD327787:DXD327817 EGZ327787:EGZ327817 EQV327787:EQV327817 FAR327787:FAR327817 FKN327787:FKN327817 FUJ327787:FUJ327817 GEF327787:GEF327817 GOB327787:GOB327817 GXX327787:GXX327817 HHT327787:HHT327817 HRP327787:HRP327817 IBL327787:IBL327817 ILH327787:ILH327817 IVD327787:IVD327817 JEZ327787:JEZ327817 JOV327787:JOV327817 JYR327787:JYR327817 KIN327787:KIN327817 KSJ327787:KSJ327817 LCF327787:LCF327817 LMB327787:LMB327817 LVX327787:LVX327817 MFT327787:MFT327817 MPP327787:MPP327817 MZL327787:MZL327817 NJH327787:NJH327817 NTD327787:NTD327817 OCZ327787:OCZ327817 OMV327787:OMV327817 OWR327787:OWR327817 PGN327787:PGN327817 PQJ327787:PQJ327817 QAF327787:QAF327817 QKB327787:QKB327817 QTX327787:QTX327817 RDT327787:RDT327817 RNP327787:RNP327817 RXL327787:RXL327817 SHH327787:SHH327817 SRD327787:SRD327817 TAZ327787:TAZ327817 TKV327787:TKV327817 TUR327787:TUR327817 UEN327787:UEN327817 UOJ327787:UOJ327817 UYF327787:UYF327817 VIB327787:VIB327817 VRX327787:VRX327817 WBT327787:WBT327817 WLP327787:WLP327817 WVL327787:WVL327817 D393323:D393353 IZ393323:IZ393353 SV393323:SV393353 ACR393323:ACR393353 AMN393323:AMN393353 AWJ393323:AWJ393353 BGF393323:BGF393353 BQB393323:BQB393353 BZX393323:BZX393353 CJT393323:CJT393353 CTP393323:CTP393353 DDL393323:DDL393353 DNH393323:DNH393353 DXD393323:DXD393353 EGZ393323:EGZ393353 EQV393323:EQV393353 FAR393323:FAR393353 FKN393323:FKN393353 FUJ393323:FUJ393353 GEF393323:GEF393353 GOB393323:GOB393353 GXX393323:GXX393353 HHT393323:HHT393353 HRP393323:HRP393353 IBL393323:IBL393353 ILH393323:ILH393353 IVD393323:IVD393353 JEZ393323:JEZ393353 JOV393323:JOV393353 JYR393323:JYR393353 KIN393323:KIN393353 KSJ393323:KSJ393353 LCF393323:LCF393353 LMB393323:LMB393353 LVX393323:LVX393353 MFT393323:MFT393353 MPP393323:MPP393353 MZL393323:MZL393353 NJH393323:NJH393353 NTD393323:NTD393353 OCZ393323:OCZ393353 OMV393323:OMV393353 OWR393323:OWR393353 PGN393323:PGN393353 PQJ393323:PQJ393353 QAF393323:QAF393353 QKB393323:QKB393353 QTX393323:QTX393353 RDT393323:RDT393353 RNP393323:RNP393353 RXL393323:RXL393353 SHH393323:SHH393353 SRD393323:SRD393353 TAZ393323:TAZ393353 TKV393323:TKV393353 TUR393323:TUR393353 UEN393323:UEN393353 UOJ393323:UOJ393353 UYF393323:UYF393353 VIB393323:VIB393353 VRX393323:VRX393353 WBT393323:WBT393353 WLP393323:WLP393353 WVL393323:WVL393353 D458859:D458889 IZ458859:IZ458889 SV458859:SV458889 ACR458859:ACR458889 AMN458859:AMN458889 AWJ458859:AWJ458889 BGF458859:BGF458889 BQB458859:BQB458889 BZX458859:BZX458889 CJT458859:CJT458889 CTP458859:CTP458889 DDL458859:DDL458889 DNH458859:DNH458889 DXD458859:DXD458889 EGZ458859:EGZ458889 EQV458859:EQV458889 FAR458859:FAR458889 FKN458859:FKN458889 FUJ458859:FUJ458889 GEF458859:GEF458889 GOB458859:GOB458889 GXX458859:GXX458889 HHT458859:HHT458889 HRP458859:HRP458889 IBL458859:IBL458889 ILH458859:ILH458889 IVD458859:IVD458889 JEZ458859:JEZ458889 JOV458859:JOV458889 JYR458859:JYR458889 KIN458859:KIN458889 KSJ458859:KSJ458889 LCF458859:LCF458889 LMB458859:LMB458889 LVX458859:LVX458889 MFT458859:MFT458889 MPP458859:MPP458889 MZL458859:MZL458889 NJH458859:NJH458889 NTD458859:NTD458889 OCZ458859:OCZ458889 OMV458859:OMV458889 OWR458859:OWR458889 PGN458859:PGN458889 PQJ458859:PQJ458889 QAF458859:QAF458889 QKB458859:QKB458889 QTX458859:QTX458889 RDT458859:RDT458889 RNP458859:RNP458889 RXL458859:RXL458889 SHH458859:SHH458889 SRD458859:SRD458889 TAZ458859:TAZ458889 TKV458859:TKV458889 TUR458859:TUR458889 UEN458859:UEN458889 UOJ458859:UOJ458889 UYF458859:UYF458889 VIB458859:VIB458889 VRX458859:VRX458889 WBT458859:WBT458889 WLP458859:WLP458889 WVL458859:WVL458889 D524395:D524425 IZ524395:IZ524425 SV524395:SV524425 ACR524395:ACR524425 AMN524395:AMN524425 AWJ524395:AWJ524425 BGF524395:BGF524425 BQB524395:BQB524425 BZX524395:BZX524425 CJT524395:CJT524425 CTP524395:CTP524425 DDL524395:DDL524425 DNH524395:DNH524425 DXD524395:DXD524425 EGZ524395:EGZ524425 EQV524395:EQV524425 FAR524395:FAR524425 FKN524395:FKN524425 FUJ524395:FUJ524425 GEF524395:GEF524425 GOB524395:GOB524425 GXX524395:GXX524425 HHT524395:HHT524425 HRP524395:HRP524425 IBL524395:IBL524425 ILH524395:ILH524425 IVD524395:IVD524425 JEZ524395:JEZ524425 JOV524395:JOV524425 JYR524395:JYR524425 KIN524395:KIN524425 KSJ524395:KSJ524425 LCF524395:LCF524425 LMB524395:LMB524425 LVX524395:LVX524425 MFT524395:MFT524425 MPP524395:MPP524425 MZL524395:MZL524425 NJH524395:NJH524425 NTD524395:NTD524425 OCZ524395:OCZ524425 OMV524395:OMV524425 OWR524395:OWR524425 PGN524395:PGN524425 PQJ524395:PQJ524425 QAF524395:QAF524425 QKB524395:QKB524425 QTX524395:QTX524425 RDT524395:RDT524425 RNP524395:RNP524425 RXL524395:RXL524425 SHH524395:SHH524425 SRD524395:SRD524425 TAZ524395:TAZ524425 TKV524395:TKV524425 TUR524395:TUR524425 UEN524395:UEN524425 UOJ524395:UOJ524425 UYF524395:UYF524425 VIB524395:VIB524425 VRX524395:VRX524425 WBT524395:WBT524425 WLP524395:WLP524425 WVL524395:WVL524425 D589931:D589961 IZ589931:IZ589961 SV589931:SV589961 ACR589931:ACR589961 AMN589931:AMN589961 AWJ589931:AWJ589961 BGF589931:BGF589961 BQB589931:BQB589961 BZX589931:BZX589961 CJT589931:CJT589961 CTP589931:CTP589961 DDL589931:DDL589961 DNH589931:DNH589961 DXD589931:DXD589961 EGZ589931:EGZ589961 EQV589931:EQV589961 FAR589931:FAR589961 FKN589931:FKN589961 FUJ589931:FUJ589961 GEF589931:GEF589961 GOB589931:GOB589961 GXX589931:GXX589961 HHT589931:HHT589961 HRP589931:HRP589961 IBL589931:IBL589961 ILH589931:ILH589961 IVD589931:IVD589961 JEZ589931:JEZ589961 JOV589931:JOV589961 JYR589931:JYR589961 KIN589931:KIN589961 KSJ589931:KSJ589961 LCF589931:LCF589961 LMB589931:LMB589961 LVX589931:LVX589961 MFT589931:MFT589961 MPP589931:MPP589961 MZL589931:MZL589961 NJH589931:NJH589961 NTD589931:NTD589961 OCZ589931:OCZ589961 OMV589931:OMV589961 OWR589931:OWR589961 PGN589931:PGN589961 PQJ589931:PQJ589961 QAF589931:QAF589961 QKB589931:QKB589961 QTX589931:QTX589961 RDT589931:RDT589961 RNP589931:RNP589961 RXL589931:RXL589961 SHH589931:SHH589961 SRD589931:SRD589961 TAZ589931:TAZ589961 TKV589931:TKV589961 TUR589931:TUR589961 UEN589931:UEN589961 UOJ589931:UOJ589961 UYF589931:UYF589961 VIB589931:VIB589961 VRX589931:VRX589961 WBT589931:WBT589961 WLP589931:WLP589961 WVL589931:WVL589961 D655467:D655497 IZ655467:IZ655497 SV655467:SV655497 ACR655467:ACR655497 AMN655467:AMN655497 AWJ655467:AWJ655497 BGF655467:BGF655497 BQB655467:BQB655497 BZX655467:BZX655497 CJT655467:CJT655497 CTP655467:CTP655497 DDL655467:DDL655497 DNH655467:DNH655497 DXD655467:DXD655497 EGZ655467:EGZ655497 EQV655467:EQV655497 FAR655467:FAR655497 FKN655467:FKN655497 FUJ655467:FUJ655497 GEF655467:GEF655497 GOB655467:GOB655497 GXX655467:GXX655497 HHT655467:HHT655497 HRP655467:HRP655497 IBL655467:IBL655497 ILH655467:ILH655497 IVD655467:IVD655497 JEZ655467:JEZ655497 JOV655467:JOV655497 JYR655467:JYR655497 KIN655467:KIN655497 KSJ655467:KSJ655497 LCF655467:LCF655497 LMB655467:LMB655497 LVX655467:LVX655497 MFT655467:MFT655497 MPP655467:MPP655497 MZL655467:MZL655497 NJH655467:NJH655497 NTD655467:NTD655497 OCZ655467:OCZ655497 OMV655467:OMV655497 OWR655467:OWR655497 PGN655467:PGN655497 PQJ655467:PQJ655497 QAF655467:QAF655497 QKB655467:QKB655497 QTX655467:QTX655497 RDT655467:RDT655497 RNP655467:RNP655497 RXL655467:RXL655497 SHH655467:SHH655497 SRD655467:SRD655497 TAZ655467:TAZ655497 TKV655467:TKV655497 TUR655467:TUR655497 UEN655467:UEN655497 UOJ655467:UOJ655497 UYF655467:UYF655497 VIB655467:VIB655497 VRX655467:VRX655497 WBT655467:WBT655497 WLP655467:WLP655497 WVL655467:WVL655497 D721003:D721033 IZ721003:IZ721033 SV721003:SV721033 ACR721003:ACR721033 AMN721003:AMN721033 AWJ721003:AWJ721033 BGF721003:BGF721033 BQB721003:BQB721033 BZX721003:BZX721033 CJT721003:CJT721033 CTP721003:CTP721033 DDL721003:DDL721033 DNH721003:DNH721033 DXD721003:DXD721033 EGZ721003:EGZ721033 EQV721003:EQV721033 FAR721003:FAR721033 FKN721003:FKN721033 FUJ721003:FUJ721033 GEF721003:GEF721033 GOB721003:GOB721033 GXX721003:GXX721033 HHT721003:HHT721033 HRP721003:HRP721033 IBL721003:IBL721033 ILH721003:ILH721033 IVD721003:IVD721033 JEZ721003:JEZ721033 JOV721003:JOV721033 JYR721003:JYR721033 KIN721003:KIN721033 KSJ721003:KSJ721033 LCF721003:LCF721033 LMB721003:LMB721033 LVX721003:LVX721033 MFT721003:MFT721033 MPP721003:MPP721033 MZL721003:MZL721033 NJH721003:NJH721033 NTD721003:NTD721033 OCZ721003:OCZ721033 OMV721003:OMV721033 OWR721003:OWR721033 PGN721003:PGN721033 PQJ721003:PQJ721033 QAF721003:QAF721033 QKB721003:QKB721033 QTX721003:QTX721033 RDT721003:RDT721033 RNP721003:RNP721033 RXL721003:RXL721033 SHH721003:SHH721033 SRD721003:SRD721033 TAZ721003:TAZ721033 TKV721003:TKV721033 TUR721003:TUR721033 UEN721003:UEN721033 UOJ721003:UOJ721033 UYF721003:UYF721033 VIB721003:VIB721033 VRX721003:VRX721033 WBT721003:WBT721033 WLP721003:WLP721033 WVL721003:WVL721033 D786539:D786569 IZ786539:IZ786569 SV786539:SV786569 ACR786539:ACR786569 AMN786539:AMN786569 AWJ786539:AWJ786569 BGF786539:BGF786569 BQB786539:BQB786569 BZX786539:BZX786569 CJT786539:CJT786569 CTP786539:CTP786569 DDL786539:DDL786569 DNH786539:DNH786569 DXD786539:DXD786569 EGZ786539:EGZ786569 EQV786539:EQV786569 FAR786539:FAR786569 FKN786539:FKN786569 FUJ786539:FUJ786569 GEF786539:GEF786569 GOB786539:GOB786569 GXX786539:GXX786569 HHT786539:HHT786569 HRP786539:HRP786569 IBL786539:IBL786569 ILH786539:ILH786569 IVD786539:IVD786569 JEZ786539:JEZ786569 JOV786539:JOV786569 JYR786539:JYR786569 KIN786539:KIN786569 KSJ786539:KSJ786569 LCF786539:LCF786569 LMB786539:LMB786569 LVX786539:LVX786569 MFT786539:MFT786569 MPP786539:MPP786569 MZL786539:MZL786569 NJH786539:NJH786569 NTD786539:NTD786569 OCZ786539:OCZ786569 OMV786539:OMV786569 OWR786539:OWR786569 PGN786539:PGN786569 PQJ786539:PQJ786569 QAF786539:QAF786569 QKB786539:QKB786569 QTX786539:QTX786569 RDT786539:RDT786569 RNP786539:RNP786569 RXL786539:RXL786569 SHH786539:SHH786569 SRD786539:SRD786569 TAZ786539:TAZ786569 TKV786539:TKV786569 TUR786539:TUR786569 UEN786539:UEN786569 UOJ786539:UOJ786569 UYF786539:UYF786569 VIB786539:VIB786569 VRX786539:VRX786569 WBT786539:WBT786569 WLP786539:WLP786569 WVL786539:WVL786569 D852075:D852105 IZ852075:IZ852105 SV852075:SV852105 ACR852075:ACR852105 AMN852075:AMN852105 AWJ852075:AWJ852105 BGF852075:BGF852105 BQB852075:BQB852105 BZX852075:BZX852105 CJT852075:CJT852105 CTP852075:CTP852105 DDL852075:DDL852105 DNH852075:DNH852105 DXD852075:DXD852105 EGZ852075:EGZ852105 EQV852075:EQV852105 FAR852075:FAR852105 FKN852075:FKN852105 FUJ852075:FUJ852105 GEF852075:GEF852105 GOB852075:GOB852105 GXX852075:GXX852105 HHT852075:HHT852105 HRP852075:HRP852105 IBL852075:IBL852105 ILH852075:ILH852105 IVD852075:IVD852105 JEZ852075:JEZ852105 JOV852075:JOV852105 JYR852075:JYR852105 KIN852075:KIN852105 KSJ852075:KSJ852105 LCF852075:LCF852105 LMB852075:LMB852105 LVX852075:LVX852105 MFT852075:MFT852105 MPP852075:MPP852105 MZL852075:MZL852105 NJH852075:NJH852105 NTD852075:NTD852105 OCZ852075:OCZ852105 OMV852075:OMV852105 OWR852075:OWR852105 PGN852075:PGN852105 PQJ852075:PQJ852105 QAF852075:QAF852105 QKB852075:QKB852105 QTX852075:QTX852105 RDT852075:RDT852105 RNP852075:RNP852105 RXL852075:RXL852105 SHH852075:SHH852105 SRD852075:SRD852105 TAZ852075:TAZ852105 TKV852075:TKV852105 TUR852075:TUR852105 UEN852075:UEN852105 UOJ852075:UOJ852105 UYF852075:UYF852105 VIB852075:VIB852105 VRX852075:VRX852105 WBT852075:WBT852105 WLP852075:WLP852105 WVL852075:WVL852105 D917611:D917641 IZ917611:IZ917641 SV917611:SV917641 ACR917611:ACR917641 AMN917611:AMN917641 AWJ917611:AWJ917641 BGF917611:BGF917641 BQB917611:BQB917641 BZX917611:BZX917641 CJT917611:CJT917641 CTP917611:CTP917641 DDL917611:DDL917641 DNH917611:DNH917641 DXD917611:DXD917641 EGZ917611:EGZ917641 EQV917611:EQV917641 FAR917611:FAR917641 FKN917611:FKN917641 FUJ917611:FUJ917641 GEF917611:GEF917641 GOB917611:GOB917641 GXX917611:GXX917641 HHT917611:HHT917641 HRP917611:HRP917641 IBL917611:IBL917641 ILH917611:ILH917641 IVD917611:IVD917641 JEZ917611:JEZ917641 JOV917611:JOV917641 JYR917611:JYR917641 KIN917611:KIN917641 KSJ917611:KSJ917641 LCF917611:LCF917641 LMB917611:LMB917641 LVX917611:LVX917641 MFT917611:MFT917641 MPP917611:MPP917641 MZL917611:MZL917641 NJH917611:NJH917641 NTD917611:NTD917641 OCZ917611:OCZ917641 OMV917611:OMV917641 OWR917611:OWR917641 PGN917611:PGN917641 PQJ917611:PQJ917641 QAF917611:QAF917641 QKB917611:QKB917641 QTX917611:QTX917641 RDT917611:RDT917641 RNP917611:RNP917641 RXL917611:RXL917641 SHH917611:SHH917641 SRD917611:SRD917641 TAZ917611:TAZ917641 TKV917611:TKV917641 TUR917611:TUR917641 UEN917611:UEN917641 UOJ917611:UOJ917641 UYF917611:UYF917641 VIB917611:VIB917641 VRX917611:VRX917641 WBT917611:WBT917641 WLP917611:WLP917641 WVL917611:WVL917641 D983147:D983177 IZ983147:IZ983177 SV983147:SV983177 ACR983147:ACR983177 AMN983147:AMN983177 AWJ983147:AWJ983177 BGF983147:BGF983177 BQB983147:BQB983177 BZX983147:BZX983177 CJT983147:CJT983177 CTP983147:CTP983177 DDL983147:DDL983177 DNH983147:DNH983177 DXD983147:DXD983177 EGZ983147:EGZ983177 EQV983147:EQV983177 FAR983147:FAR983177 FKN983147:FKN983177 FUJ983147:FUJ983177 GEF983147:GEF983177 GOB983147:GOB983177 GXX983147:GXX983177 HHT983147:HHT983177 HRP983147:HRP983177 IBL983147:IBL983177 ILH983147:ILH983177 IVD983147:IVD983177 JEZ983147:JEZ983177 JOV983147:JOV983177 JYR983147:JYR983177 KIN983147:KIN983177 KSJ983147:KSJ983177 LCF983147:LCF983177 LMB983147:LMB983177 LVX983147:LVX983177 MFT983147:MFT983177 MPP983147:MPP983177 MZL983147:MZL983177 NJH983147:NJH983177 NTD983147:NTD983177 OCZ983147:OCZ983177 OMV983147:OMV983177 OWR983147:OWR983177 PGN983147:PGN983177 PQJ983147:PQJ983177 QAF983147:QAF983177 QKB983147:QKB983177 QTX983147:QTX983177 RDT983147:RDT983177 RNP983147:RNP983177 RXL983147:RXL983177 SHH983147:SHH983177 SRD983147:SRD983177 TAZ983147:TAZ983177 TKV983147:TKV983177 TUR983147:TUR983177 UEN983147:UEN983177 UOJ983147:UOJ983177 UYF983147:UYF983177 VIB983147:VIB983177 VRX983147:VRX983177 WBT983147:WBT983177 WLP983147:WLP983177 WVL983147:WVL983177 D7:D87 IY173:IY65636 SU173:SU65636 ACQ173:ACQ65636 AMM173:AMM65636 AWI173:AWI65636 BGE173:BGE65636 BQA173:BQA65636 BZW173:BZW65636 CJS173:CJS65636 CTO173:CTO65636 DDK173:DDK65636 DNG173:DNG65636 DXC173:DXC65636 EGY173:EGY65636 EQU173:EQU65636 FAQ173:FAQ65636 FKM173:FKM65636 FUI173:FUI65636 GEE173:GEE65636 GOA173:GOA65636 GXW173:GXW65636 HHS173:HHS65636 HRO173:HRO65636 IBK173:IBK65636 ILG173:ILG65636 IVC173:IVC65636 JEY173:JEY65636 JOU173:JOU65636 JYQ173:JYQ65636 KIM173:KIM65636 KSI173:KSI65636 LCE173:LCE65636 LMA173:LMA65636 LVW173:LVW65636 MFS173:MFS65636 MPO173:MPO65636 MZK173:MZK65636 NJG173:NJG65636 NTC173:NTC65636 OCY173:OCY65636 OMU173:OMU65636 OWQ173:OWQ65636 PGM173:PGM65636 PQI173:PQI65636 QAE173:QAE65636 QKA173:QKA65636 QTW173:QTW65636 RDS173:RDS65636 RNO173:RNO65636 RXK173:RXK65636 SHG173:SHG65636 SRC173:SRC65636 TAY173:TAY65636 TKU173:TKU65636 TUQ173:TUQ65636 UEM173:UEM65636 UOI173:UOI65636 UYE173:UYE65636 VIA173:VIA65636 VRW173:VRW65636 WBS173:WBS65636 WLO173:WLO65636 WVK173:WVK65636 C65709:C131172 IY65709:IY131172 SU65709:SU131172 ACQ65709:ACQ131172 AMM65709:AMM131172 AWI65709:AWI131172 BGE65709:BGE131172 BQA65709:BQA131172 BZW65709:BZW131172 CJS65709:CJS131172 CTO65709:CTO131172 DDK65709:DDK131172 DNG65709:DNG131172 DXC65709:DXC131172 EGY65709:EGY131172 EQU65709:EQU131172 FAQ65709:FAQ131172 FKM65709:FKM131172 FUI65709:FUI131172 GEE65709:GEE131172 GOA65709:GOA131172 GXW65709:GXW131172 HHS65709:HHS131172 HRO65709:HRO131172 IBK65709:IBK131172 ILG65709:ILG131172 IVC65709:IVC131172 JEY65709:JEY131172 JOU65709:JOU131172 JYQ65709:JYQ131172 KIM65709:KIM131172 KSI65709:KSI131172 LCE65709:LCE131172 LMA65709:LMA131172 LVW65709:LVW131172 MFS65709:MFS131172 MPO65709:MPO131172 MZK65709:MZK131172 NJG65709:NJG131172 NTC65709:NTC131172 OCY65709:OCY131172 OMU65709:OMU131172 OWQ65709:OWQ131172 PGM65709:PGM131172 PQI65709:PQI131172 QAE65709:QAE131172 QKA65709:QKA131172 QTW65709:QTW131172 RDS65709:RDS131172 RNO65709:RNO131172 RXK65709:RXK131172 SHG65709:SHG131172 SRC65709:SRC131172 TAY65709:TAY131172 TKU65709:TKU131172 TUQ65709:TUQ131172 UEM65709:UEM131172 UOI65709:UOI131172 UYE65709:UYE131172 VIA65709:VIA131172 VRW65709:VRW131172 WBS65709:WBS131172 WLO65709:WLO131172 WVK65709:WVK131172 C131245:C196708 IY131245:IY196708 SU131245:SU196708 ACQ131245:ACQ196708 AMM131245:AMM196708 AWI131245:AWI196708 BGE131245:BGE196708 BQA131245:BQA196708 BZW131245:BZW196708 CJS131245:CJS196708 CTO131245:CTO196708 DDK131245:DDK196708 DNG131245:DNG196708 DXC131245:DXC196708 EGY131245:EGY196708 EQU131245:EQU196708 FAQ131245:FAQ196708 FKM131245:FKM196708 FUI131245:FUI196708 GEE131245:GEE196708 GOA131245:GOA196708 GXW131245:GXW196708 HHS131245:HHS196708 HRO131245:HRO196708 IBK131245:IBK196708 ILG131245:ILG196708 IVC131245:IVC196708 JEY131245:JEY196708 JOU131245:JOU196708 JYQ131245:JYQ196708 KIM131245:KIM196708 KSI131245:KSI196708 LCE131245:LCE196708 LMA131245:LMA196708 LVW131245:LVW196708 MFS131245:MFS196708 MPO131245:MPO196708 MZK131245:MZK196708 NJG131245:NJG196708 NTC131245:NTC196708 OCY131245:OCY196708 OMU131245:OMU196708 OWQ131245:OWQ196708 PGM131245:PGM196708 PQI131245:PQI196708 QAE131245:QAE196708 QKA131245:QKA196708 QTW131245:QTW196708 RDS131245:RDS196708 RNO131245:RNO196708 RXK131245:RXK196708 SHG131245:SHG196708 SRC131245:SRC196708 TAY131245:TAY196708 TKU131245:TKU196708 TUQ131245:TUQ196708 UEM131245:UEM196708 UOI131245:UOI196708 UYE131245:UYE196708 VIA131245:VIA196708 VRW131245:VRW196708 WBS131245:WBS196708 WLO131245:WLO196708 WVK131245:WVK196708 C196781:C262244 IY196781:IY262244 SU196781:SU262244 ACQ196781:ACQ262244 AMM196781:AMM262244 AWI196781:AWI262244 BGE196781:BGE262244 BQA196781:BQA262244 BZW196781:BZW262244 CJS196781:CJS262244 CTO196781:CTO262244 DDK196781:DDK262244 DNG196781:DNG262244 DXC196781:DXC262244 EGY196781:EGY262244 EQU196781:EQU262244 FAQ196781:FAQ262244 FKM196781:FKM262244 FUI196781:FUI262244 GEE196781:GEE262244 GOA196781:GOA262244 GXW196781:GXW262244 HHS196781:HHS262244 HRO196781:HRO262244 IBK196781:IBK262244 ILG196781:ILG262244 IVC196781:IVC262244 JEY196781:JEY262244 JOU196781:JOU262244 JYQ196781:JYQ262244 KIM196781:KIM262244 KSI196781:KSI262244 LCE196781:LCE262244 LMA196781:LMA262244 LVW196781:LVW262244 MFS196781:MFS262244 MPO196781:MPO262244 MZK196781:MZK262244 NJG196781:NJG262244 NTC196781:NTC262244 OCY196781:OCY262244 OMU196781:OMU262244 OWQ196781:OWQ262244 PGM196781:PGM262244 PQI196781:PQI262244 QAE196781:QAE262244 QKA196781:QKA262244 QTW196781:QTW262244 RDS196781:RDS262244 RNO196781:RNO262244 RXK196781:RXK262244 SHG196781:SHG262244 SRC196781:SRC262244 TAY196781:TAY262244 TKU196781:TKU262244 TUQ196781:TUQ262244 UEM196781:UEM262244 UOI196781:UOI262244 UYE196781:UYE262244 VIA196781:VIA262244 VRW196781:VRW262244 WBS196781:WBS262244 WLO196781:WLO262244 WVK196781:WVK262244 C262317:C327780 IY262317:IY327780 SU262317:SU327780 ACQ262317:ACQ327780 AMM262317:AMM327780 AWI262317:AWI327780 BGE262317:BGE327780 BQA262317:BQA327780 BZW262317:BZW327780 CJS262317:CJS327780 CTO262317:CTO327780 DDK262317:DDK327780 DNG262317:DNG327780 DXC262317:DXC327780 EGY262317:EGY327780 EQU262317:EQU327780 FAQ262317:FAQ327780 FKM262317:FKM327780 FUI262317:FUI327780 GEE262317:GEE327780 GOA262317:GOA327780 GXW262317:GXW327780 HHS262317:HHS327780 HRO262317:HRO327780 IBK262317:IBK327780 ILG262317:ILG327780 IVC262317:IVC327780 JEY262317:JEY327780 JOU262317:JOU327780 JYQ262317:JYQ327780 KIM262317:KIM327780 KSI262317:KSI327780 LCE262317:LCE327780 LMA262317:LMA327780 LVW262317:LVW327780 MFS262317:MFS327780 MPO262317:MPO327780 MZK262317:MZK327780 NJG262317:NJG327780 NTC262317:NTC327780 OCY262317:OCY327780 OMU262317:OMU327780 OWQ262317:OWQ327780 PGM262317:PGM327780 PQI262317:PQI327780 QAE262317:QAE327780 QKA262317:QKA327780 QTW262317:QTW327780 RDS262317:RDS327780 RNO262317:RNO327780 RXK262317:RXK327780 SHG262317:SHG327780 SRC262317:SRC327780 TAY262317:TAY327780 TKU262317:TKU327780 TUQ262317:TUQ327780 UEM262317:UEM327780 UOI262317:UOI327780 UYE262317:UYE327780 VIA262317:VIA327780 VRW262317:VRW327780 WBS262317:WBS327780 WLO262317:WLO327780 WVK262317:WVK327780 C327853:C393316 IY327853:IY393316 SU327853:SU393316 ACQ327853:ACQ393316 AMM327853:AMM393316 AWI327853:AWI393316 BGE327853:BGE393316 BQA327853:BQA393316 BZW327853:BZW393316 CJS327853:CJS393316 CTO327853:CTO393316 DDK327853:DDK393316 DNG327853:DNG393316 DXC327853:DXC393316 EGY327853:EGY393316 EQU327853:EQU393316 FAQ327853:FAQ393316 FKM327853:FKM393316 FUI327853:FUI393316 GEE327853:GEE393316 GOA327853:GOA393316 GXW327853:GXW393316 HHS327853:HHS393316 HRO327853:HRO393316 IBK327853:IBK393316 ILG327853:ILG393316 IVC327853:IVC393316 JEY327853:JEY393316 JOU327853:JOU393316 JYQ327853:JYQ393316 KIM327853:KIM393316 KSI327853:KSI393316 LCE327853:LCE393316 LMA327853:LMA393316 LVW327853:LVW393316 MFS327853:MFS393316 MPO327853:MPO393316 MZK327853:MZK393316 NJG327853:NJG393316 NTC327853:NTC393316 OCY327853:OCY393316 OMU327853:OMU393316 OWQ327853:OWQ393316 PGM327853:PGM393316 PQI327853:PQI393316 QAE327853:QAE393316 QKA327853:QKA393316 QTW327853:QTW393316 RDS327853:RDS393316 RNO327853:RNO393316 RXK327853:RXK393316 SHG327853:SHG393316 SRC327853:SRC393316 TAY327853:TAY393316 TKU327853:TKU393316 TUQ327853:TUQ393316 UEM327853:UEM393316 UOI327853:UOI393316 UYE327853:UYE393316 VIA327853:VIA393316 VRW327853:VRW393316 WBS327853:WBS393316 WLO327853:WLO393316 WVK327853:WVK393316 C393389:C458852 IY393389:IY458852 SU393389:SU458852 ACQ393389:ACQ458852 AMM393389:AMM458852 AWI393389:AWI458852 BGE393389:BGE458852 BQA393389:BQA458852 BZW393389:BZW458852 CJS393389:CJS458852 CTO393389:CTO458852 DDK393389:DDK458852 DNG393389:DNG458852 DXC393389:DXC458852 EGY393389:EGY458852 EQU393389:EQU458852 FAQ393389:FAQ458852 FKM393389:FKM458852 FUI393389:FUI458852 GEE393389:GEE458852 GOA393389:GOA458852 GXW393389:GXW458852 HHS393389:HHS458852 HRO393389:HRO458852 IBK393389:IBK458852 ILG393389:ILG458852 IVC393389:IVC458852 JEY393389:JEY458852 JOU393389:JOU458852 JYQ393389:JYQ458852 KIM393389:KIM458852 KSI393389:KSI458852 LCE393389:LCE458852 LMA393389:LMA458852 LVW393389:LVW458852 MFS393389:MFS458852 MPO393389:MPO458852 MZK393389:MZK458852 NJG393389:NJG458852 NTC393389:NTC458852 OCY393389:OCY458852 OMU393389:OMU458852 OWQ393389:OWQ458852 PGM393389:PGM458852 PQI393389:PQI458852 QAE393389:QAE458852 QKA393389:QKA458852 QTW393389:QTW458852 RDS393389:RDS458852 RNO393389:RNO458852 RXK393389:RXK458852 SHG393389:SHG458852 SRC393389:SRC458852 TAY393389:TAY458852 TKU393389:TKU458852 TUQ393389:TUQ458852 UEM393389:UEM458852 UOI393389:UOI458852 UYE393389:UYE458852 VIA393389:VIA458852 VRW393389:VRW458852 WBS393389:WBS458852 WLO393389:WLO458852 WVK393389:WVK458852 C458925:C524388 IY458925:IY524388 SU458925:SU524388 ACQ458925:ACQ524388 AMM458925:AMM524388 AWI458925:AWI524388 BGE458925:BGE524388 BQA458925:BQA524388 BZW458925:BZW524388 CJS458925:CJS524388 CTO458925:CTO524388 DDK458925:DDK524388 DNG458925:DNG524388 DXC458925:DXC524388 EGY458925:EGY524388 EQU458925:EQU524388 FAQ458925:FAQ524388 FKM458925:FKM524388 FUI458925:FUI524388 GEE458925:GEE524388 GOA458925:GOA524388 GXW458925:GXW524388 HHS458925:HHS524388 HRO458925:HRO524388 IBK458925:IBK524388 ILG458925:ILG524388 IVC458925:IVC524388 JEY458925:JEY524388 JOU458925:JOU524388 JYQ458925:JYQ524388 KIM458925:KIM524388 KSI458925:KSI524388 LCE458925:LCE524388 LMA458925:LMA524388 LVW458925:LVW524388 MFS458925:MFS524388 MPO458925:MPO524388 MZK458925:MZK524388 NJG458925:NJG524388 NTC458925:NTC524388 OCY458925:OCY524388 OMU458925:OMU524388 OWQ458925:OWQ524388 PGM458925:PGM524388 PQI458925:PQI524388 QAE458925:QAE524388 QKA458925:QKA524388 QTW458925:QTW524388 RDS458925:RDS524388 RNO458925:RNO524388 RXK458925:RXK524388 SHG458925:SHG524388 SRC458925:SRC524388 TAY458925:TAY524388 TKU458925:TKU524388 TUQ458925:TUQ524388 UEM458925:UEM524388 UOI458925:UOI524388 UYE458925:UYE524388 VIA458925:VIA524388 VRW458925:VRW524388 WBS458925:WBS524388 WLO458925:WLO524388 WVK458925:WVK524388 C524461:C589924 IY524461:IY589924 SU524461:SU589924 ACQ524461:ACQ589924 AMM524461:AMM589924 AWI524461:AWI589924 BGE524461:BGE589924 BQA524461:BQA589924 BZW524461:BZW589924 CJS524461:CJS589924 CTO524461:CTO589924 DDK524461:DDK589924 DNG524461:DNG589924 DXC524461:DXC589924 EGY524461:EGY589924 EQU524461:EQU589924 FAQ524461:FAQ589924 FKM524461:FKM589924 FUI524461:FUI589924 GEE524461:GEE589924 GOA524461:GOA589924 GXW524461:GXW589924 HHS524461:HHS589924 HRO524461:HRO589924 IBK524461:IBK589924 ILG524461:ILG589924 IVC524461:IVC589924 JEY524461:JEY589924 JOU524461:JOU589924 JYQ524461:JYQ589924 KIM524461:KIM589924 KSI524461:KSI589924 LCE524461:LCE589924 LMA524461:LMA589924 LVW524461:LVW589924 MFS524461:MFS589924 MPO524461:MPO589924 MZK524461:MZK589924 NJG524461:NJG589924 NTC524461:NTC589924 OCY524461:OCY589924 OMU524461:OMU589924 OWQ524461:OWQ589924 PGM524461:PGM589924 PQI524461:PQI589924 QAE524461:QAE589924 QKA524461:QKA589924 QTW524461:QTW589924 RDS524461:RDS589924 RNO524461:RNO589924 RXK524461:RXK589924 SHG524461:SHG589924 SRC524461:SRC589924 TAY524461:TAY589924 TKU524461:TKU589924 TUQ524461:TUQ589924 UEM524461:UEM589924 UOI524461:UOI589924 UYE524461:UYE589924 VIA524461:VIA589924 VRW524461:VRW589924 WBS524461:WBS589924 WLO524461:WLO589924 WVK524461:WVK589924 C589997:C655460 IY589997:IY655460 SU589997:SU655460 ACQ589997:ACQ655460 AMM589997:AMM655460 AWI589997:AWI655460 BGE589997:BGE655460 BQA589997:BQA655460 BZW589997:BZW655460 CJS589997:CJS655460 CTO589997:CTO655460 DDK589997:DDK655460 DNG589997:DNG655460 DXC589997:DXC655460 EGY589997:EGY655460 EQU589997:EQU655460 FAQ589997:FAQ655460 FKM589997:FKM655460 FUI589997:FUI655460 GEE589997:GEE655460 GOA589997:GOA655460 GXW589997:GXW655460 HHS589997:HHS655460 HRO589997:HRO655460 IBK589997:IBK655460 ILG589997:ILG655460 IVC589997:IVC655460 JEY589997:JEY655460 JOU589997:JOU655460 JYQ589997:JYQ655460 KIM589997:KIM655460 KSI589997:KSI655460 LCE589997:LCE655460 LMA589997:LMA655460 LVW589997:LVW655460 MFS589997:MFS655460 MPO589997:MPO655460 MZK589997:MZK655460 NJG589997:NJG655460 NTC589997:NTC655460 OCY589997:OCY655460 OMU589997:OMU655460 OWQ589997:OWQ655460 PGM589997:PGM655460 PQI589997:PQI655460 QAE589997:QAE655460 QKA589997:QKA655460 QTW589997:QTW655460 RDS589997:RDS655460 RNO589997:RNO655460 RXK589997:RXK655460 SHG589997:SHG655460 SRC589997:SRC655460 TAY589997:TAY655460 TKU589997:TKU655460 TUQ589997:TUQ655460 UEM589997:UEM655460 UOI589997:UOI655460 UYE589997:UYE655460 VIA589997:VIA655460 VRW589997:VRW655460 WBS589997:WBS655460 WLO589997:WLO655460 WVK589997:WVK655460 C655533:C720996 IY655533:IY720996 SU655533:SU720996 ACQ655533:ACQ720996 AMM655533:AMM720996 AWI655533:AWI720996 BGE655533:BGE720996 BQA655533:BQA720996 BZW655533:BZW720996 CJS655533:CJS720996 CTO655533:CTO720996 DDK655533:DDK720996 DNG655533:DNG720996 DXC655533:DXC720996 EGY655533:EGY720996 EQU655533:EQU720996 FAQ655533:FAQ720996 FKM655533:FKM720996 FUI655533:FUI720996 GEE655533:GEE720996 GOA655533:GOA720996 GXW655533:GXW720996 HHS655533:HHS720996 HRO655533:HRO720996 IBK655533:IBK720996 ILG655533:ILG720996 IVC655533:IVC720996 JEY655533:JEY720996 JOU655533:JOU720996 JYQ655533:JYQ720996 KIM655533:KIM720996 KSI655533:KSI720996 LCE655533:LCE720996 LMA655533:LMA720996 LVW655533:LVW720996 MFS655533:MFS720996 MPO655533:MPO720996 MZK655533:MZK720996 NJG655533:NJG720996 NTC655533:NTC720996 OCY655533:OCY720996 OMU655533:OMU720996 OWQ655533:OWQ720996 PGM655533:PGM720996 PQI655533:PQI720996 QAE655533:QAE720996 QKA655533:QKA720996 QTW655533:QTW720996 RDS655533:RDS720996 RNO655533:RNO720996 RXK655533:RXK720996 SHG655533:SHG720996 SRC655533:SRC720996 TAY655533:TAY720996 TKU655533:TKU720996 TUQ655533:TUQ720996 UEM655533:UEM720996 UOI655533:UOI720996 UYE655533:UYE720996 VIA655533:VIA720996 VRW655533:VRW720996 WBS655533:WBS720996 WLO655533:WLO720996 WVK655533:WVK720996 C721069:C786532 IY721069:IY786532 SU721069:SU786532 ACQ721069:ACQ786532 AMM721069:AMM786532 AWI721069:AWI786532 BGE721069:BGE786532 BQA721069:BQA786532 BZW721069:BZW786532 CJS721069:CJS786532 CTO721069:CTO786532 DDK721069:DDK786532 DNG721069:DNG786532 DXC721069:DXC786532 EGY721069:EGY786532 EQU721069:EQU786532 FAQ721069:FAQ786532 FKM721069:FKM786532 FUI721069:FUI786532 GEE721069:GEE786532 GOA721069:GOA786532 GXW721069:GXW786532 HHS721069:HHS786532 HRO721069:HRO786532 IBK721069:IBK786532 ILG721069:ILG786532 IVC721069:IVC786532 JEY721069:JEY786532 JOU721069:JOU786532 JYQ721069:JYQ786532 KIM721069:KIM786532 KSI721069:KSI786532 LCE721069:LCE786532 LMA721069:LMA786532 LVW721069:LVW786532 MFS721069:MFS786532 MPO721069:MPO786532 MZK721069:MZK786532 NJG721069:NJG786532 NTC721069:NTC786532 OCY721069:OCY786532 OMU721069:OMU786532 OWQ721069:OWQ786532 PGM721069:PGM786532 PQI721069:PQI786532 QAE721069:QAE786532 QKA721069:QKA786532 QTW721069:QTW786532 RDS721069:RDS786532 RNO721069:RNO786532 RXK721069:RXK786532 SHG721069:SHG786532 SRC721069:SRC786532 TAY721069:TAY786532 TKU721069:TKU786532 TUQ721069:TUQ786532 UEM721069:UEM786532 UOI721069:UOI786532 UYE721069:UYE786532 VIA721069:VIA786532 VRW721069:VRW786532 WBS721069:WBS786532 WLO721069:WLO786532 WVK721069:WVK786532 C786605:C852068 IY786605:IY852068 SU786605:SU852068 ACQ786605:ACQ852068 AMM786605:AMM852068 AWI786605:AWI852068 BGE786605:BGE852068 BQA786605:BQA852068 BZW786605:BZW852068 CJS786605:CJS852068 CTO786605:CTO852068 DDK786605:DDK852068 DNG786605:DNG852068 DXC786605:DXC852068 EGY786605:EGY852068 EQU786605:EQU852068 FAQ786605:FAQ852068 FKM786605:FKM852068 FUI786605:FUI852068 GEE786605:GEE852068 GOA786605:GOA852068 GXW786605:GXW852068 HHS786605:HHS852068 HRO786605:HRO852068 IBK786605:IBK852068 ILG786605:ILG852068 IVC786605:IVC852068 JEY786605:JEY852068 JOU786605:JOU852068 JYQ786605:JYQ852068 KIM786605:KIM852068 KSI786605:KSI852068 LCE786605:LCE852068 LMA786605:LMA852068 LVW786605:LVW852068 MFS786605:MFS852068 MPO786605:MPO852068 MZK786605:MZK852068 NJG786605:NJG852068 NTC786605:NTC852068 OCY786605:OCY852068 OMU786605:OMU852068 OWQ786605:OWQ852068 PGM786605:PGM852068 PQI786605:PQI852068 QAE786605:QAE852068 QKA786605:QKA852068 QTW786605:QTW852068 RDS786605:RDS852068 RNO786605:RNO852068 RXK786605:RXK852068 SHG786605:SHG852068 SRC786605:SRC852068 TAY786605:TAY852068 TKU786605:TKU852068 TUQ786605:TUQ852068 UEM786605:UEM852068 UOI786605:UOI852068 UYE786605:UYE852068 VIA786605:VIA852068 VRW786605:VRW852068 WBS786605:WBS852068 WLO786605:WLO852068 WVK786605:WVK852068 C852141:C917604 IY852141:IY917604 SU852141:SU917604 ACQ852141:ACQ917604 AMM852141:AMM917604 AWI852141:AWI917604 BGE852141:BGE917604 BQA852141:BQA917604 BZW852141:BZW917604 CJS852141:CJS917604 CTO852141:CTO917604 DDK852141:DDK917604 DNG852141:DNG917604 DXC852141:DXC917604 EGY852141:EGY917604 EQU852141:EQU917604 FAQ852141:FAQ917604 FKM852141:FKM917604 FUI852141:FUI917604 GEE852141:GEE917604 GOA852141:GOA917604 GXW852141:GXW917604 HHS852141:HHS917604 HRO852141:HRO917604 IBK852141:IBK917604 ILG852141:ILG917604 IVC852141:IVC917604 JEY852141:JEY917604 JOU852141:JOU917604 JYQ852141:JYQ917604 KIM852141:KIM917604 KSI852141:KSI917604 LCE852141:LCE917604 LMA852141:LMA917604 LVW852141:LVW917604 MFS852141:MFS917604 MPO852141:MPO917604 MZK852141:MZK917604 NJG852141:NJG917604 NTC852141:NTC917604 OCY852141:OCY917604 OMU852141:OMU917604 OWQ852141:OWQ917604 PGM852141:PGM917604 PQI852141:PQI917604 QAE852141:QAE917604 QKA852141:QKA917604 QTW852141:QTW917604 RDS852141:RDS917604 RNO852141:RNO917604 RXK852141:RXK917604 SHG852141:SHG917604 SRC852141:SRC917604 TAY852141:TAY917604 TKU852141:TKU917604 TUQ852141:TUQ917604 UEM852141:UEM917604 UOI852141:UOI917604 UYE852141:UYE917604 VIA852141:VIA917604 VRW852141:VRW917604 WBS852141:WBS917604 WLO852141:WLO917604 WVK852141:WVK917604 C917677:C983140 IY917677:IY983140 SU917677:SU983140 ACQ917677:ACQ983140 AMM917677:AMM983140 AWI917677:AWI983140 BGE917677:BGE983140 BQA917677:BQA983140 BZW917677:BZW983140 CJS917677:CJS983140 CTO917677:CTO983140 DDK917677:DDK983140 DNG917677:DNG983140 DXC917677:DXC983140 EGY917677:EGY983140 EQU917677:EQU983140 FAQ917677:FAQ983140 FKM917677:FKM983140 FUI917677:FUI983140 GEE917677:GEE983140 GOA917677:GOA983140 GXW917677:GXW983140 HHS917677:HHS983140 HRO917677:HRO983140 IBK917677:IBK983140 ILG917677:ILG983140 IVC917677:IVC983140 JEY917677:JEY983140 JOU917677:JOU983140 JYQ917677:JYQ983140 KIM917677:KIM983140 KSI917677:KSI983140 LCE917677:LCE983140 LMA917677:LMA983140 LVW917677:LVW983140 MFS917677:MFS983140 MPO917677:MPO983140 MZK917677:MZK983140 NJG917677:NJG983140 NTC917677:NTC983140 OCY917677:OCY983140 OMU917677:OMU983140 OWQ917677:OWQ983140 PGM917677:PGM983140 PQI917677:PQI983140 QAE917677:QAE983140 QKA917677:QKA983140 QTW917677:QTW983140 RDS917677:RDS983140 RNO917677:RNO983140 RXK917677:RXK983140 SHG917677:SHG983140 SRC917677:SRC983140 TAY917677:TAY983140 TKU917677:TKU983140 TUQ917677:TUQ983140 UEM917677:UEM983140 UOI917677:UOI983140 UYE917677:UYE983140 VIA917677:VIA983140 VRW917677:VRW983140 WBS917677:WBS983140 WLO917677:WLO983140 WVK917677:WVK983140 C983213:C1048576 IY983213:IY1048576 SU983213:SU1048576 ACQ983213:ACQ1048576 AMM983213:AMM1048576 AWI983213:AWI1048576 BGE983213:BGE1048576 BQA983213:BQA1048576 BZW983213:BZW1048576 CJS983213:CJS1048576 CTO983213:CTO1048576 DDK983213:DDK1048576 DNG983213:DNG1048576 DXC983213:DXC1048576 EGY983213:EGY1048576 EQU983213:EQU1048576 FAQ983213:FAQ1048576 FKM983213:FKM1048576 FUI983213:FUI1048576 GEE983213:GEE1048576 GOA983213:GOA1048576 GXW983213:GXW1048576 HHS983213:HHS1048576 HRO983213:HRO1048576 IBK983213:IBK1048576 ILG983213:ILG1048576 IVC983213:IVC1048576 JEY983213:JEY1048576 JOU983213:JOU1048576 JYQ983213:JYQ1048576 KIM983213:KIM1048576 KSI983213:KSI1048576 LCE983213:LCE1048576 LMA983213:LMA1048576 LVW983213:LVW1048576 MFS983213:MFS1048576 MPO983213:MPO1048576 MZK983213:MZK1048576 NJG983213:NJG1048576 NTC983213:NTC1048576 OCY983213:OCY1048576 OMU983213:OMU1048576 OWQ983213:OWQ1048576 PGM983213:PGM1048576 PQI983213:PQI1048576 QAE983213:QAE1048576 QKA983213:QKA1048576 QTW983213:QTW1048576 RDS983213:RDS1048576 RNO983213:RNO1048576 RXK983213:RXK1048576 SHG983213:SHG1048576 SRC983213:SRC1048576 TAY983213:TAY1048576 TKU983213:TKU1048576 TUQ983213:TUQ1048576 UEM983213:UEM1048576 UOI983213:UOI1048576 UYE983213:UYE1048576 VIA983213:VIA1048576 VRW983213:VRW1048576 WBS983213:WBS1048576 WLO983213:WLO1048576 C173:C65636">
      <formula1>1</formula1>
      <formula2>100000</formula2>
    </dataValidation>
    <dataValidation type="decimal" imeMode="off" showInputMessage="1" showErrorMessage="1" errorTitle="提示：" error="1.无需输入“单位”KG。_x000a_2.请输入数字。_x000a_3.重量超出范围。" promptTitle="提示：" prompt="无需输入“单位”KG。" sqref="WVL983213:WVL1048576 SX7:SX87 ACT7:ACT87 AMP7:AMP87 AWL7:AWL87 BGH7:BGH87 BQD7:BQD87 BZZ7:BZZ87 CJV7:CJV87 CTR7:CTR87 DDN7:DDN87 DNJ7:DNJ87 DXF7:DXF87 EHB7:EHB87 EQX7:EQX87 FAT7:FAT87 FKP7:FKP87 FUL7:FUL87 GEH7:GEH87 GOD7:GOD87 GXZ7:GXZ87 HHV7:HHV87 HRR7:HRR87 IBN7:IBN87 ILJ7:ILJ87 IVF7:IVF87 JFB7:JFB87 JOX7:JOX87 JYT7:JYT87 KIP7:KIP87 KSL7:KSL87 LCH7:LCH87 LMD7:LMD87 LVZ7:LVZ87 MFV7:MFV87 MPR7:MPR87 MZN7:MZN87 NJJ7:NJJ87 NTF7:NTF87 ODB7:ODB87 OMX7:OMX87 OWT7:OWT87 PGP7:PGP87 PQL7:PQL87 QAH7:QAH87 QKD7:QKD87 QTZ7:QTZ87 RDV7:RDV87 RNR7:RNR87 RXN7:RXN87 SHJ7:SHJ87 SRF7:SRF87 TBB7:TBB87 TKX7:TKX87 TUT7:TUT87 UEP7:UEP87 UOL7:UOL87 UYH7:UYH87 VID7:VID87 VRZ7:VRZ87 WBV7:WBV87 WLR7:WLR87 WVN7:WVN87 JB7:JB87 F65643:F65673 JB65643:JB65673 SX65643:SX65673 ACT65643:ACT65673 AMP65643:AMP65673 AWL65643:AWL65673 BGH65643:BGH65673 BQD65643:BQD65673 BZZ65643:BZZ65673 CJV65643:CJV65673 CTR65643:CTR65673 DDN65643:DDN65673 DNJ65643:DNJ65673 DXF65643:DXF65673 EHB65643:EHB65673 EQX65643:EQX65673 FAT65643:FAT65673 FKP65643:FKP65673 FUL65643:FUL65673 GEH65643:GEH65673 GOD65643:GOD65673 GXZ65643:GXZ65673 HHV65643:HHV65673 HRR65643:HRR65673 IBN65643:IBN65673 ILJ65643:ILJ65673 IVF65643:IVF65673 JFB65643:JFB65673 JOX65643:JOX65673 JYT65643:JYT65673 KIP65643:KIP65673 KSL65643:KSL65673 LCH65643:LCH65673 LMD65643:LMD65673 LVZ65643:LVZ65673 MFV65643:MFV65673 MPR65643:MPR65673 MZN65643:MZN65673 NJJ65643:NJJ65673 NTF65643:NTF65673 ODB65643:ODB65673 OMX65643:OMX65673 OWT65643:OWT65673 PGP65643:PGP65673 PQL65643:PQL65673 QAH65643:QAH65673 QKD65643:QKD65673 QTZ65643:QTZ65673 RDV65643:RDV65673 RNR65643:RNR65673 RXN65643:RXN65673 SHJ65643:SHJ65673 SRF65643:SRF65673 TBB65643:TBB65673 TKX65643:TKX65673 TUT65643:TUT65673 UEP65643:UEP65673 UOL65643:UOL65673 UYH65643:UYH65673 VID65643:VID65673 VRZ65643:VRZ65673 WBV65643:WBV65673 WLR65643:WLR65673 WVN65643:WVN65673 F131179:F131209 JB131179:JB131209 SX131179:SX131209 ACT131179:ACT131209 AMP131179:AMP131209 AWL131179:AWL131209 BGH131179:BGH131209 BQD131179:BQD131209 BZZ131179:BZZ131209 CJV131179:CJV131209 CTR131179:CTR131209 DDN131179:DDN131209 DNJ131179:DNJ131209 DXF131179:DXF131209 EHB131179:EHB131209 EQX131179:EQX131209 FAT131179:FAT131209 FKP131179:FKP131209 FUL131179:FUL131209 GEH131179:GEH131209 GOD131179:GOD131209 GXZ131179:GXZ131209 HHV131179:HHV131209 HRR131179:HRR131209 IBN131179:IBN131209 ILJ131179:ILJ131209 IVF131179:IVF131209 JFB131179:JFB131209 JOX131179:JOX131209 JYT131179:JYT131209 KIP131179:KIP131209 KSL131179:KSL131209 LCH131179:LCH131209 LMD131179:LMD131209 LVZ131179:LVZ131209 MFV131179:MFV131209 MPR131179:MPR131209 MZN131179:MZN131209 NJJ131179:NJJ131209 NTF131179:NTF131209 ODB131179:ODB131209 OMX131179:OMX131209 OWT131179:OWT131209 PGP131179:PGP131209 PQL131179:PQL131209 QAH131179:QAH131209 QKD131179:QKD131209 QTZ131179:QTZ131209 RDV131179:RDV131209 RNR131179:RNR131209 RXN131179:RXN131209 SHJ131179:SHJ131209 SRF131179:SRF131209 TBB131179:TBB131209 TKX131179:TKX131209 TUT131179:TUT131209 UEP131179:UEP131209 UOL131179:UOL131209 UYH131179:UYH131209 VID131179:VID131209 VRZ131179:VRZ131209 WBV131179:WBV131209 WLR131179:WLR131209 WVN131179:WVN131209 F196715:F196745 JB196715:JB196745 SX196715:SX196745 ACT196715:ACT196745 AMP196715:AMP196745 AWL196715:AWL196745 BGH196715:BGH196745 BQD196715:BQD196745 BZZ196715:BZZ196745 CJV196715:CJV196745 CTR196715:CTR196745 DDN196715:DDN196745 DNJ196715:DNJ196745 DXF196715:DXF196745 EHB196715:EHB196745 EQX196715:EQX196745 FAT196715:FAT196745 FKP196715:FKP196745 FUL196715:FUL196745 GEH196715:GEH196745 GOD196715:GOD196745 GXZ196715:GXZ196745 HHV196715:HHV196745 HRR196715:HRR196745 IBN196715:IBN196745 ILJ196715:ILJ196745 IVF196715:IVF196745 JFB196715:JFB196745 JOX196715:JOX196745 JYT196715:JYT196745 KIP196715:KIP196745 KSL196715:KSL196745 LCH196715:LCH196745 LMD196715:LMD196745 LVZ196715:LVZ196745 MFV196715:MFV196745 MPR196715:MPR196745 MZN196715:MZN196745 NJJ196715:NJJ196745 NTF196715:NTF196745 ODB196715:ODB196745 OMX196715:OMX196745 OWT196715:OWT196745 PGP196715:PGP196745 PQL196715:PQL196745 QAH196715:QAH196745 QKD196715:QKD196745 QTZ196715:QTZ196745 RDV196715:RDV196745 RNR196715:RNR196745 RXN196715:RXN196745 SHJ196715:SHJ196745 SRF196715:SRF196745 TBB196715:TBB196745 TKX196715:TKX196745 TUT196715:TUT196745 UEP196715:UEP196745 UOL196715:UOL196745 UYH196715:UYH196745 VID196715:VID196745 VRZ196715:VRZ196745 WBV196715:WBV196745 WLR196715:WLR196745 WVN196715:WVN196745 F262251:F262281 JB262251:JB262281 SX262251:SX262281 ACT262251:ACT262281 AMP262251:AMP262281 AWL262251:AWL262281 BGH262251:BGH262281 BQD262251:BQD262281 BZZ262251:BZZ262281 CJV262251:CJV262281 CTR262251:CTR262281 DDN262251:DDN262281 DNJ262251:DNJ262281 DXF262251:DXF262281 EHB262251:EHB262281 EQX262251:EQX262281 FAT262251:FAT262281 FKP262251:FKP262281 FUL262251:FUL262281 GEH262251:GEH262281 GOD262251:GOD262281 GXZ262251:GXZ262281 HHV262251:HHV262281 HRR262251:HRR262281 IBN262251:IBN262281 ILJ262251:ILJ262281 IVF262251:IVF262281 JFB262251:JFB262281 JOX262251:JOX262281 JYT262251:JYT262281 KIP262251:KIP262281 KSL262251:KSL262281 LCH262251:LCH262281 LMD262251:LMD262281 LVZ262251:LVZ262281 MFV262251:MFV262281 MPR262251:MPR262281 MZN262251:MZN262281 NJJ262251:NJJ262281 NTF262251:NTF262281 ODB262251:ODB262281 OMX262251:OMX262281 OWT262251:OWT262281 PGP262251:PGP262281 PQL262251:PQL262281 QAH262251:QAH262281 QKD262251:QKD262281 QTZ262251:QTZ262281 RDV262251:RDV262281 RNR262251:RNR262281 RXN262251:RXN262281 SHJ262251:SHJ262281 SRF262251:SRF262281 TBB262251:TBB262281 TKX262251:TKX262281 TUT262251:TUT262281 UEP262251:UEP262281 UOL262251:UOL262281 UYH262251:UYH262281 VID262251:VID262281 VRZ262251:VRZ262281 WBV262251:WBV262281 WLR262251:WLR262281 WVN262251:WVN262281 F327787:F327817 JB327787:JB327817 SX327787:SX327817 ACT327787:ACT327817 AMP327787:AMP327817 AWL327787:AWL327817 BGH327787:BGH327817 BQD327787:BQD327817 BZZ327787:BZZ327817 CJV327787:CJV327817 CTR327787:CTR327817 DDN327787:DDN327817 DNJ327787:DNJ327817 DXF327787:DXF327817 EHB327787:EHB327817 EQX327787:EQX327817 FAT327787:FAT327817 FKP327787:FKP327817 FUL327787:FUL327817 GEH327787:GEH327817 GOD327787:GOD327817 GXZ327787:GXZ327817 HHV327787:HHV327817 HRR327787:HRR327817 IBN327787:IBN327817 ILJ327787:ILJ327817 IVF327787:IVF327817 JFB327787:JFB327817 JOX327787:JOX327817 JYT327787:JYT327817 KIP327787:KIP327817 KSL327787:KSL327817 LCH327787:LCH327817 LMD327787:LMD327817 LVZ327787:LVZ327817 MFV327787:MFV327817 MPR327787:MPR327817 MZN327787:MZN327817 NJJ327787:NJJ327817 NTF327787:NTF327817 ODB327787:ODB327817 OMX327787:OMX327817 OWT327787:OWT327817 PGP327787:PGP327817 PQL327787:PQL327817 QAH327787:QAH327817 QKD327787:QKD327817 QTZ327787:QTZ327817 RDV327787:RDV327817 RNR327787:RNR327817 RXN327787:RXN327817 SHJ327787:SHJ327817 SRF327787:SRF327817 TBB327787:TBB327817 TKX327787:TKX327817 TUT327787:TUT327817 UEP327787:UEP327817 UOL327787:UOL327817 UYH327787:UYH327817 VID327787:VID327817 VRZ327787:VRZ327817 WBV327787:WBV327817 WLR327787:WLR327817 WVN327787:WVN327817 F393323:F393353 JB393323:JB393353 SX393323:SX393353 ACT393323:ACT393353 AMP393323:AMP393353 AWL393323:AWL393353 BGH393323:BGH393353 BQD393323:BQD393353 BZZ393323:BZZ393353 CJV393323:CJV393353 CTR393323:CTR393353 DDN393323:DDN393353 DNJ393323:DNJ393353 DXF393323:DXF393353 EHB393323:EHB393353 EQX393323:EQX393353 FAT393323:FAT393353 FKP393323:FKP393353 FUL393323:FUL393353 GEH393323:GEH393353 GOD393323:GOD393353 GXZ393323:GXZ393353 HHV393323:HHV393353 HRR393323:HRR393353 IBN393323:IBN393353 ILJ393323:ILJ393353 IVF393323:IVF393353 JFB393323:JFB393353 JOX393323:JOX393353 JYT393323:JYT393353 KIP393323:KIP393353 KSL393323:KSL393353 LCH393323:LCH393353 LMD393323:LMD393353 LVZ393323:LVZ393353 MFV393323:MFV393353 MPR393323:MPR393353 MZN393323:MZN393353 NJJ393323:NJJ393353 NTF393323:NTF393353 ODB393323:ODB393353 OMX393323:OMX393353 OWT393323:OWT393353 PGP393323:PGP393353 PQL393323:PQL393353 QAH393323:QAH393353 QKD393323:QKD393353 QTZ393323:QTZ393353 RDV393323:RDV393353 RNR393323:RNR393353 RXN393323:RXN393353 SHJ393323:SHJ393353 SRF393323:SRF393353 TBB393323:TBB393353 TKX393323:TKX393353 TUT393323:TUT393353 UEP393323:UEP393353 UOL393323:UOL393353 UYH393323:UYH393353 VID393323:VID393353 VRZ393323:VRZ393353 WBV393323:WBV393353 WLR393323:WLR393353 WVN393323:WVN393353 F458859:F458889 JB458859:JB458889 SX458859:SX458889 ACT458859:ACT458889 AMP458859:AMP458889 AWL458859:AWL458889 BGH458859:BGH458889 BQD458859:BQD458889 BZZ458859:BZZ458889 CJV458859:CJV458889 CTR458859:CTR458889 DDN458859:DDN458889 DNJ458859:DNJ458889 DXF458859:DXF458889 EHB458859:EHB458889 EQX458859:EQX458889 FAT458859:FAT458889 FKP458859:FKP458889 FUL458859:FUL458889 GEH458859:GEH458889 GOD458859:GOD458889 GXZ458859:GXZ458889 HHV458859:HHV458889 HRR458859:HRR458889 IBN458859:IBN458889 ILJ458859:ILJ458889 IVF458859:IVF458889 JFB458859:JFB458889 JOX458859:JOX458889 JYT458859:JYT458889 KIP458859:KIP458889 KSL458859:KSL458889 LCH458859:LCH458889 LMD458859:LMD458889 LVZ458859:LVZ458889 MFV458859:MFV458889 MPR458859:MPR458889 MZN458859:MZN458889 NJJ458859:NJJ458889 NTF458859:NTF458889 ODB458859:ODB458889 OMX458859:OMX458889 OWT458859:OWT458889 PGP458859:PGP458889 PQL458859:PQL458889 QAH458859:QAH458889 QKD458859:QKD458889 QTZ458859:QTZ458889 RDV458859:RDV458889 RNR458859:RNR458889 RXN458859:RXN458889 SHJ458859:SHJ458889 SRF458859:SRF458889 TBB458859:TBB458889 TKX458859:TKX458889 TUT458859:TUT458889 UEP458859:UEP458889 UOL458859:UOL458889 UYH458859:UYH458889 VID458859:VID458889 VRZ458859:VRZ458889 WBV458859:WBV458889 WLR458859:WLR458889 WVN458859:WVN458889 F524395:F524425 JB524395:JB524425 SX524395:SX524425 ACT524395:ACT524425 AMP524395:AMP524425 AWL524395:AWL524425 BGH524395:BGH524425 BQD524395:BQD524425 BZZ524395:BZZ524425 CJV524395:CJV524425 CTR524395:CTR524425 DDN524395:DDN524425 DNJ524395:DNJ524425 DXF524395:DXF524425 EHB524395:EHB524425 EQX524395:EQX524425 FAT524395:FAT524425 FKP524395:FKP524425 FUL524395:FUL524425 GEH524395:GEH524425 GOD524395:GOD524425 GXZ524395:GXZ524425 HHV524395:HHV524425 HRR524395:HRR524425 IBN524395:IBN524425 ILJ524395:ILJ524425 IVF524395:IVF524425 JFB524395:JFB524425 JOX524395:JOX524425 JYT524395:JYT524425 KIP524395:KIP524425 KSL524395:KSL524425 LCH524395:LCH524425 LMD524395:LMD524425 LVZ524395:LVZ524425 MFV524395:MFV524425 MPR524395:MPR524425 MZN524395:MZN524425 NJJ524395:NJJ524425 NTF524395:NTF524425 ODB524395:ODB524425 OMX524395:OMX524425 OWT524395:OWT524425 PGP524395:PGP524425 PQL524395:PQL524425 QAH524395:QAH524425 QKD524395:QKD524425 QTZ524395:QTZ524425 RDV524395:RDV524425 RNR524395:RNR524425 RXN524395:RXN524425 SHJ524395:SHJ524425 SRF524395:SRF524425 TBB524395:TBB524425 TKX524395:TKX524425 TUT524395:TUT524425 UEP524395:UEP524425 UOL524395:UOL524425 UYH524395:UYH524425 VID524395:VID524425 VRZ524395:VRZ524425 WBV524395:WBV524425 WLR524395:WLR524425 WVN524395:WVN524425 F589931:F589961 JB589931:JB589961 SX589931:SX589961 ACT589931:ACT589961 AMP589931:AMP589961 AWL589931:AWL589961 BGH589931:BGH589961 BQD589931:BQD589961 BZZ589931:BZZ589961 CJV589931:CJV589961 CTR589931:CTR589961 DDN589931:DDN589961 DNJ589931:DNJ589961 DXF589931:DXF589961 EHB589931:EHB589961 EQX589931:EQX589961 FAT589931:FAT589961 FKP589931:FKP589961 FUL589931:FUL589961 GEH589931:GEH589961 GOD589931:GOD589961 GXZ589931:GXZ589961 HHV589931:HHV589961 HRR589931:HRR589961 IBN589931:IBN589961 ILJ589931:ILJ589961 IVF589931:IVF589961 JFB589931:JFB589961 JOX589931:JOX589961 JYT589931:JYT589961 KIP589931:KIP589961 KSL589931:KSL589961 LCH589931:LCH589961 LMD589931:LMD589961 LVZ589931:LVZ589961 MFV589931:MFV589961 MPR589931:MPR589961 MZN589931:MZN589961 NJJ589931:NJJ589961 NTF589931:NTF589961 ODB589931:ODB589961 OMX589931:OMX589961 OWT589931:OWT589961 PGP589931:PGP589961 PQL589931:PQL589961 QAH589931:QAH589961 QKD589931:QKD589961 QTZ589931:QTZ589961 RDV589931:RDV589961 RNR589931:RNR589961 RXN589931:RXN589961 SHJ589931:SHJ589961 SRF589931:SRF589961 TBB589931:TBB589961 TKX589931:TKX589961 TUT589931:TUT589961 UEP589931:UEP589961 UOL589931:UOL589961 UYH589931:UYH589961 VID589931:VID589961 VRZ589931:VRZ589961 WBV589931:WBV589961 WLR589931:WLR589961 WVN589931:WVN589961 F655467:F655497 JB655467:JB655497 SX655467:SX655497 ACT655467:ACT655497 AMP655467:AMP655497 AWL655467:AWL655497 BGH655467:BGH655497 BQD655467:BQD655497 BZZ655467:BZZ655497 CJV655467:CJV655497 CTR655467:CTR655497 DDN655467:DDN655497 DNJ655467:DNJ655497 DXF655467:DXF655497 EHB655467:EHB655497 EQX655467:EQX655497 FAT655467:FAT655497 FKP655467:FKP655497 FUL655467:FUL655497 GEH655467:GEH655497 GOD655467:GOD655497 GXZ655467:GXZ655497 HHV655467:HHV655497 HRR655467:HRR655497 IBN655467:IBN655497 ILJ655467:ILJ655497 IVF655467:IVF655497 JFB655467:JFB655497 JOX655467:JOX655497 JYT655467:JYT655497 KIP655467:KIP655497 KSL655467:KSL655497 LCH655467:LCH655497 LMD655467:LMD655497 LVZ655467:LVZ655497 MFV655467:MFV655497 MPR655467:MPR655497 MZN655467:MZN655497 NJJ655467:NJJ655497 NTF655467:NTF655497 ODB655467:ODB655497 OMX655467:OMX655497 OWT655467:OWT655497 PGP655467:PGP655497 PQL655467:PQL655497 QAH655467:QAH655497 QKD655467:QKD655497 QTZ655467:QTZ655497 RDV655467:RDV655497 RNR655467:RNR655497 RXN655467:RXN655497 SHJ655467:SHJ655497 SRF655467:SRF655497 TBB655467:TBB655497 TKX655467:TKX655497 TUT655467:TUT655497 UEP655467:UEP655497 UOL655467:UOL655497 UYH655467:UYH655497 VID655467:VID655497 VRZ655467:VRZ655497 WBV655467:WBV655497 WLR655467:WLR655497 WVN655467:WVN655497 F721003:F721033 JB721003:JB721033 SX721003:SX721033 ACT721003:ACT721033 AMP721003:AMP721033 AWL721003:AWL721033 BGH721003:BGH721033 BQD721003:BQD721033 BZZ721003:BZZ721033 CJV721003:CJV721033 CTR721003:CTR721033 DDN721003:DDN721033 DNJ721003:DNJ721033 DXF721003:DXF721033 EHB721003:EHB721033 EQX721003:EQX721033 FAT721003:FAT721033 FKP721003:FKP721033 FUL721003:FUL721033 GEH721003:GEH721033 GOD721003:GOD721033 GXZ721003:GXZ721033 HHV721003:HHV721033 HRR721003:HRR721033 IBN721003:IBN721033 ILJ721003:ILJ721033 IVF721003:IVF721033 JFB721003:JFB721033 JOX721003:JOX721033 JYT721003:JYT721033 KIP721003:KIP721033 KSL721003:KSL721033 LCH721003:LCH721033 LMD721003:LMD721033 LVZ721003:LVZ721033 MFV721003:MFV721033 MPR721003:MPR721033 MZN721003:MZN721033 NJJ721003:NJJ721033 NTF721003:NTF721033 ODB721003:ODB721033 OMX721003:OMX721033 OWT721003:OWT721033 PGP721003:PGP721033 PQL721003:PQL721033 QAH721003:QAH721033 QKD721003:QKD721033 QTZ721003:QTZ721033 RDV721003:RDV721033 RNR721003:RNR721033 RXN721003:RXN721033 SHJ721003:SHJ721033 SRF721003:SRF721033 TBB721003:TBB721033 TKX721003:TKX721033 TUT721003:TUT721033 UEP721003:UEP721033 UOL721003:UOL721033 UYH721003:UYH721033 VID721003:VID721033 VRZ721003:VRZ721033 WBV721003:WBV721033 WLR721003:WLR721033 WVN721003:WVN721033 F786539:F786569 JB786539:JB786569 SX786539:SX786569 ACT786539:ACT786569 AMP786539:AMP786569 AWL786539:AWL786569 BGH786539:BGH786569 BQD786539:BQD786569 BZZ786539:BZZ786569 CJV786539:CJV786569 CTR786539:CTR786569 DDN786539:DDN786569 DNJ786539:DNJ786569 DXF786539:DXF786569 EHB786539:EHB786569 EQX786539:EQX786569 FAT786539:FAT786569 FKP786539:FKP786569 FUL786539:FUL786569 GEH786539:GEH786569 GOD786539:GOD786569 GXZ786539:GXZ786569 HHV786539:HHV786569 HRR786539:HRR786569 IBN786539:IBN786569 ILJ786539:ILJ786569 IVF786539:IVF786569 JFB786539:JFB786569 JOX786539:JOX786569 JYT786539:JYT786569 KIP786539:KIP786569 KSL786539:KSL786569 LCH786539:LCH786569 LMD786539:LMD786569 LVZ786539:LVZ786569 MFV786539:MFV786569 MPR786539:MPR786569 MZN786539:MZN786569 NJJ786539:NJJ786569 NTF786539:NTF786569 ODB786539:ODB786569 OMX786539:OMX786569 OWT786539:OWT786569 PGP786539:PGP786569 PQL786539:PQL786569 QAH786539:QAH786569 QKD786539:QKD786569 QTZ786539:QTZ786569 RDV786539:RDV786569 RNR786539:RNR786569 RXN786539:RXN786569 SHJ786539:SHJ786569 SRF786539:SRF786569 TBB786539:TBB786569 TKX786539:TKX786569 TUT786539:TUT786569 UEP786539:UEP786569 UOL786539:UOL786569 UYH786539:UYH786569 VID786539:VID786569 VRZ786539:VRZ786569 WBV786539:WBV786569 WLR786539:WLR786569 WVN786539:WVN786569 F852075:F852105 JB852075:JB852105 SX852075:SX852105 ACT852075:ACT852105 AMP852075:AMP852105 AWL852075:AWL852105 BGH852075:BGH852105 BQD852075:BQD852105 BZZ852075:BZZ852105 CJV852075:CJV852105 CTR852075:CTR852105 DDN852075:DDN852105 DNJ852075:DNJ852105 DXF852075:DXF852105 EHB852075:EHB852105 EQX852075:EQX852105 FAT852075:FAT852105 FKP852075:FKP852105 FUL852075:FUL852105 GEH852075:GEH852105 GOD852075:GOD852105 GXZ852075:GXZ852105 HHV852075:HHV852105 HRR852075:HRR852105 IBN852075:IBN852105 ILJ852075:ILJ852105 IVF852075:IVF852105 JFB852075:JFB852105 JOX852075:JOX852105 JYT852075:JYT852105 KIP852075:KIP852105 KSL852075:KSL852105 LCH852075:LCH852105 LMD852075:LMD852105 LVZ852075:LVZ852105 MFV852075:MFV852105 MPR852075:MPR852105 MZN852075:MZN852105 NJJ852075:NJJ852105 NTF852075:NTF852105 ODB852075:ODB852105 OMX852075:OMX852105 OWT852075:OWT852105 PGP852075:PGP852105 PQL852075:PQL852105 QAH852075:QAH852105 QKD852075:QKD852105 QTZ852075:QTZ852105 RDV852075:RDV852105 RNR852075:RNR852105 RXN852075:RXN852105 SHJ852075:SHJ852105 SRF852075:SRF852105 TBB852075:TBB852105 TKX852075:TKX852105 TUT852075:TUT852105 UEP852075:UEP852105 UOL852075:UOL852105 UYH852075:UYH852105 VID852075:VID852105 VRZ852075:VRZ852105 WBV852075:WBV852105 WLR852075:WLR852105 WVN852075:WVN852105 F917611:F917641 JB917611:JB917641 SX917611:SX917641 ACT917611:ACT917641 AMP917611:AMP917641 AWL917611:AWL917641 BGH917611:BGH917641 BQD917611:BQD917641 BZZ917611:BZZ917641 CJV917611:CJV917641 CTR917611:CTR917641 DDN917611:DDN917641 DNJ917611:DNJ917641 DXF917611:DXF917641 EHB917611:EHB917641 EQX917611:EQX917641 FAT917611:FAT917641 FKP917611:FKP917641 FUL917611:FUL917641 GEH917611:GEH917641 GOD917611:GOD917641 GXZ917611:GXZ917641 HHV917611:HHV917641 HRR917611:HRR917641 IBN917611:IBN917641 ILJ917611:ILJ917641 IVF917611:IVF917641 JFB917611:JFB917641 JOX917611:JOX917641 JYT917611:JYT917641 KIP917611:KIP917641 KSL917611:KSL917641 LCH917611:LCH917641 LMD917611:LMD917641 LVZ917611:LVZ917641 MFV917611:MFV917641 MPR917611:MPR917641 MZN917611:MZN917641 NJJ917611:NJJ917641 NTF917611:NTF917641 ODB917611:ODB917641 OMX917611:OMX917641 OWT917611:OWT917641 PGP917611:PGP917641 PQL917611:PQL917641 QAH917611:QAH917641 QKD917611:QKD917641 QTZ917611:QTZ917641 RDV917611:RDV917641 RNR917611:RNR917641 RXN917611:RXN917641 SHJ917611:SHJ917641 SRF917611:SRF917641 TBB917611:TBB917641 TKX917611:TKX917641 TUT917611:TUT917641 UEP917611:UEP917641 UOL917611:UOL917641 UYH917611:UYH917641 VID917611:VID917641 VRZ917611:VRZ917641 WBV917611:WBV917641 WLR917611:WLR917641 WVN917611:WVN917641 F983147:F983177 JB983147:JB983177 SX983147:SX983177 ACT983147:ACT983177 AMP983147:AMP983177 AWL983147:AWL983177 BGH983147:BGH983177 BQD983147:BQD983177 BZZ983147:BZZ983177 CJV983147:CJV983177 CTR983147:CTR983177 DDN983147:DDN983177 DNJ983147:DNJ983177 DXF983147:DXF983177 EHB983147:EHB983177 EQX983147:EQX983177 FAT983147:FAT983177 FKP983147:FKP983177 FUL983147:FUL983177 GEH983147:GEH983177 GOD983147:GOD983177 GXZ983147:GXZ983177 HHV983147:HHV983177 HRR983147:HRR983177 IBN983147:IBN983177 ILJ983147:ILJ983177 IVF983147:IVF983177 JFB983147:JFB983177 JOX983147:JOX983177 JYT983147:JYT983177 KIP983147:KIP983177 KSL983147:KSL983177 LCH983147:LCH983177 LMD983147:LMD983177 LVZ983147:LVZ983177 MFV983147:MFV983177 MPR983147:MPR983177 MZN983147:MZN983177 NJJ983147:NJJ983177 NTF983147:NTF983177 ODB983147:ODB983177 OMX983147:OMX983177 OWT983147:OWT983177 PGP983147:PGP983177 PQL983147:PQL983177 QAH983147:QAH983177 QKD983147:QKD983177 QTZ983147:QTZ983177 RDV983147:RDV983177 RNR983147:RNR983177 RXN983147:RXN983177 SHJ983147:SHJ983177 SRF983147:SRF983177 TBB983147:TBB983177 TKX983147:TKX983177 TUT983147:TUT983177 UEP983147:UEP983177 UOL983147:UOL983177 UYH983147:UYH983177 VID983147:VID983177 VRZ983147:VRZ983177 WBV983147:WBV983177 WLR983147:WLR983177 WVN983147:WVN983177 WLP983213:WLP1048576 IZ173:IZ65636 SV173:SV65636 ACR173:ACR65636 AMN173:AMN65636 AWJ173:AWJ65636 BGF173:BGF65636 BQB173:BQB65636 BZX173:BZX65636 CJT173:CJT65636 CTP173:CTP65636 DDL173:DDL65636 DNH173:DNH65636 DXD173:DXD65636 EGZ173:EGZ65636 EQV173:EQV65636 FAR173:FAR65636 FKN173:FKN65636 FUJ173:FUJ65636 GEF173:GEF65636 GOB173:GOB65636 GXX173:GXX65636 HHT173:HHT65636 HRP173:HRP65636 IBL173:IBL65636 ILH173:ILH65636 IVD173:IVD65636 JEZ173:JEZ65636 JOV173:JOV65636 JYR173:JYR65636 KIN173:KIN65636 KSJ173:KSJ65636 LCF173:LCF65636 LMB173:LMB65636 LVX173:LVX65636 MFT173:MFT65636 MPP173:MPP65636 MZL173:MZL65636 NJH173:NJH65636 NTD173:NTD65636 OCZ173:OCZ65636 OMV173:OMV65636 OWR173:OWR65636 PGN173:PGN65636 PQJ173:PQJ65636 QAF173:QAF65636 QKB173:QKB65636 QTX173:QTX65636 RDT173:RDT65636 RNP173:RNP65636 RXL173:RXL65636 SHH173:SHH65636 SRD173:SRD65636 TAZ173:TAZ65636 TKV173:TKV65636 TUR173:TUR65636 UEN173:UEN65636 UOJ173:UOJ65636 UYF173:UYF65636 VIB173:VIB65636 VRX173:VRX65636 WBT173:WBT65636 WLP173:WLP65636 WVL173:WVL65636 D65709:D131172 IZ65709:IZ131172 SV65709:SV131172 ACR65709:ACR131172 AMN65709:AMN131172 AWJ65709:AWJ131172 BGF65709:BGF131172 BQB65709:BQB131172 BZX65709:BZX131172 CJT65709:CJT131172 CTP65709:CTP131172 DDL65709:DDL131172 DNH65709:DNH131172 DXD65709:DXD131172 EGZ65709:EGZ131172 EQV65709:EQV131172 FAR65709:FAR131172 FKN65709:FKN131172 FUJ65709:FUJ131172 GEF65709:GEF131172 GOB65709:GOB131172 GXX65709:GXX131172 HHT65709:HHT131172 HRP65709:HRP131172 IBL65709:IBL131172 ILH65709:ILH131172 IVD65709:IVD131172 JEZ65709:JEZ131172 JOV65709:JOV131172 JYR65709:JYR131172 KIN65709:KIN131172 KSJ65709:KSJ131172 LCF65709:LCF131172 LMB65709:LMB131172 LVX65709:LVX131172 MFT65709:MFT131172 MPP65709:MPP131172 MZL65709:MZL131172 NJH65709:NJH131172 NTD65709:NTD131172 OCZ65709:OCZ131172 OMV65709:OMV131172 OWR65709:OWR131172 PGN65709:PGN131172 PQJ65709:PQJ131172 QAF65709:QAF131172 QKB65709:QKB131172 QTX65709:QTX131172 RDT65709:RDT131172 RNP65709:RNP131172 RXL65709:RXL131172 SHH65709:SHH131172 SRD65709:SRD131172 TAZ65709:TAZ131172 TKV65709:TKV131172 TUR65709:TUR131172 UEN65709:UEN131172 UOJ65709:UOJ131172 UYF65709:UYF131172 VIB65709:VIB131172 VRX65709:VRX131172 WBT65709:WBT131172 WLP65709:WLP131172 WVL65709:WVL131172 D131245:D196708 IZ131245:IZ196708 SV131245:SV196708 ACR131245:ACR196708 AMN131245:AMN196708 AWJ131245:AWJ196708 BGF131245:BGF196708 BQB131245:BQB196708 BZX131245:BZX196708 CJT131245:CJT196708 CTP131245:CTP196708 DDL131245:DDL196708 DNH131245:DNH196708 DXD131245:DXD196708 EGZ131245:EGZ196708 EQV131245:EQV196708 FAR131245:FAR196708 FKN131245:FKN196708 FUJ131245:FUJ196708 GEF131245:GEF196708 GOB131245:GOB196708 GXX131245:GXX196708 HHT131245:HHT196708 HRP131245:HRP196708 IBL131245:IBL196708 ILH131245:ILH196708 IVD131245:IVD196708 JEZ131245:JEZ196708 JOV131245:JOV196708 JYR131245:JYR196708 KIN131245:KIN196708 KSJ131245:KSJ196708 LCF131245:LCF196708 LMB131245:LMB196708 LVX131245:LVX196708 MFT131245:MFT196708 MPP131245:MPP196708 MZL131245:MZL196708 NJH131245:NJH196708 NTD131245:NTD196708 OCZ131245:OCZ196708 OMV131245:OMV196708 OWR131245:OWR196708 PGN131245:PGN196708 PQJ131245:PQJ196708 QAF131245:QAF196708 QKB131245:QKB196708 QTX131245:QTX196708 RDT131245:RDT196708 RNP131245:RNP196708 RXL131245:RXL196708 SHH131245:SHH196708 SRD131245:SRD196708 TAZ131245:TAZ196708 TKV131245:TKV196708 TUR131245:TUR196708 UEN131245:UEN196708 UOJ131245:UOJ196708 UYF131245:UYF196708 VIB131245:VIB196708 VRX131245:VRX196708 WBT131245:WBT196708 WLP131245:WLP196708 WVL131245:WVL196708 D196781:D262244 IZ196781:IZ262244 SV196781:SV262244 ACR196781:ACR262244 AMN196781:AMN262244 AWJ196781:AWJ262244 BGF196781:BGF262244 BQB196781:BQB262244 BZX196781:BZX262244 CJT196781:CJT262244 CTP196781:CTP262244 DDL196781:DDL262244 DNH196781:DNH262244 DXD196781:DXD262244 EGZ196781:EGZ262244 EQV196781:EQV262244 FAR196781:FAR262244 FKN196781:FKN262244 FUJ196781:FUJ262244 GEF196781:GEF262244 GOB196781:GOB262244 GXX196781:GXX262244 HHT196781:HHT262244 HRP196781:HRP262244 IBL196781:IBL262244 ILH196781:ILH262244 IVD196781:IVD262244 JEZ196781:JEZ262244 JOV196781:JOV262244 JYR196781:JYR262244 KIN196781:KIN262244 KSJ196781:KSJ262244 LCF196781:LCF262244 LMB196781:LMB262244 LVX196781:LVX262244 MFT196781:MFT262244 MPP196781:MPP262244 MZL196781:MZL262244 NJH196781:NJH262244 NTD196781:NTD262244 OCZ196781:OCZ262244 OMV196781:OMV262244 OWR196781:OWR262244 PGN196781:PGN262244 PQJ196781:PQJ262244 QAF196781:QAF262244 QKB196781:QKB262244 QTX196781:QTX262244 RDT196781:RDT262244 RNP196781:RNP262244 RXL196781:RXL262244 SHH196781:SHH262244 SRD196781:SRD262244 TAZ196781:TAZ262244 TKV196781:TKV262244 TUR196781:TUR262244 UEN196781:UEN262244 UOJ196781:UOJ262244 UYF196781:UYF262244 VIB196781:VIB262244 VRX196781:VRX262244 WBT196781:WBT262244 WLP196781:WLP262244 WVL196781:WVL262244 D262317:D327780 IZ262317:IZ327780 SV262317:SV327780 ACR262317:ACR327780 AMN262317:AMN327780 AWJ262317:AWJ327780 BGF262317:BGF327780 BQB262317:BQB327780 BZX262317:BZX327780 CJT262317:CJT327780 CTP262317:CTP327780 DDL262317:DDL327780 DNH262317:DNH327780 DXD262317:DXD327780 EGZ262317:EGZ327780 EQV262317:EQV327780 FAR262317:FAR327780 FKN262317:FKN327780 FUJ262317:FUJ327780 GEF262317:GEF327780 GOB262317:GOB327780 GXX262317:GXX327780 HHT262317:HHT327780 HRP262317:HRP327780 IBL262317:IBL327780 ILH262317:ILH327780 IVD262317:IVD327780 JEZ262317:JEZ327780 JOV262317:JOV327780 JYR262317:JYR327780 KIN262317:KIN327780 KSJ262317:KSJ327780 LCF262317:LCF327780 LMB262317:LMB327780 LVX262317:LVX327780 MFT262317:MFT327780 MPP262317:MPP327780 MZL262317:MZL327780 NJH262317:NJH327780 NTD262317:NTD327780 OCZ262317:OCZ327780 OMV262317:OMV327780 OWR262317:OWR327780 PGN262317:PGN327780 PQJ262317:PQJ327780 QAF262317:QAF327780 QKB262317:QKB327780 QTX262317:QTX327780 RDT262317:RDT327780 RNP262317:RNP327780 RXL262317:RXL327780 SHH262317:SHH327780 SRD262317:SRD327780 TAZ262317:TAZ327780 TKV262317:TKV327780 TUR262317:TUR327780 UEN262317:UEN327780 UOJ262317:UOJ327780 UYF262317:UYF327780 VIB262317:VIB327780 VRX262317:VRX327780 WBT262317:WBT327780 WLP262317:WLP327780 WVL262317:WVL327780 D327853:D393316 IZ327853:IZ393316 SV327853:SV393316 ACR327853:ACR393316 AMN327853:AMN393316 AWJ327853:AWJ393316 BGF327853:BGF393316 BQB327853:BQB393316 BZX327853:BZX393316 CJT327853:CJT393316 CTP327853:CTP393316 DDL327853:DDL393316 DNH327853:DNH393316 DXD327853:DXD393316 EGZ327853:EGZ393316 EQV327853:EQV393316 FAR327853:FAR393316 FKN327853:FKN393316 FUJ327853:FUJ393316 GEF327853:GEF393316 GOB327853:GOB393316 GXX327853:GXX393316 HHT327853:HHT393316 HRP327853:HRP393316 IBL327853:IBL393316 ILH327853:ILH393316 IVD327853:IVD393316 JEZ327853:JEZ393316 JOV327853:JOV393316 JYR327853:JYR393316 KIN327853:KIN393316 KSJ327853:KSJ393316 LCF327853:LCF393316 LMB327853:LMB393316 LVX327853:LVX393316 MFT327853:MFT393316 MPP327853:MPP393316 MZL327853:MZL393316 NJH327853:NJH393316 NTD327853:NTD393316 OCZ327853:OCZ393316 OMV327853:OMV393316 OWR327853:OWR393316 PGN327853:PGN393316 PQJ327853:PQJ393316 QAF327853:QAF393316 QKB327853:QKB393316 QTX327853:QTX393316 RDT327853:RDT393316 RNP327853:RNP393316 RXL327853:RXL393316 SHH327853:SHH393316 SRD327853:SRD393316 TAZ327853:TAZ393316 TKV327853:TKV393316 TUR327853:TUR393316 UEN327853:UEN393316 UOJ327853:UOJ393316 UYF327853:UYF393316 VIB327853:VIB393316 VRX327853:VRX393316 WBT327853:WBT393316 WLP327853:WLP393316 WVL327853:WVL393316 D393389:D458852 IZ393389:IZ458852 SV393389:SV458852 ACR393389:ACR458852 AMN393389:AMN458852 AWJ393389:AWJ458852 BGF393389:BGF458852 BQB393389:BQB458852 BZX393389:BZX458852 CJT393389:CJT458852 CTP393389:CTP458852 DDL393389:DDL458852 DNH393389:DNH458852 DXD393389:DXD458852 EGZ393389:EGZ458852 EQV393389:EQV458852 FAR393389:FAR458852 FKN393389:FKN458852 FUJ393389:FUJ458852 GEF393389:GEF458852 GOB393389:GOB458852 GXX393389:GXX458852 HHT393389:HHT458852 HRP393389:HRP458852 IBL393389:IBL458852 ILH393389:ILH458852 IVD393389:IVD458852 JEZ393389:JEZ458852 JOV393389:JOV458852 JYR393389:JYR458852 KIN393389:KIN458852 KSJ393389:KSJ458852 LCF393389:LCF458852 LMB393389:LMB458852 LVX393389:LVX458852 MFT393389:MFT458852 MPP393389:MPP458852 MZL393389:MZL458852 NJH393389:NJH458852 NTD393389:NTD458852 OCZ393389:OCZ458852 OMV393389:OMV458852 OWR393389:OWR458852 PGN393389:PGN458852 PQJ393389:PQJ458852 QAF393389:QAF458852 QKB393389:QKB458852 QTX393389:QTX458852 RDT393389:RDT458852 RNP393389:RNP458852 RXL393389:RXL458852 SHH393389:SHH458852 SRD393389:SRD458852 TAZ393389:TAZ458852 TKV393389:TKV458852 TUR393389:TUR458852 UEN393389:UEN458852 UOJ393389:UOJ458852 UYF393389:UYF458852 VIB393389:VIB458852 VRX393389:VRX458852 WBT393389:WBT458852 WLP393389:WLP458852 WVL393389:WVL458852 D458925:D524388 IZ458925:IZ524388 SV458925:SV524388 ACR458925:ACR524388 AMN458925:AMN524388 AWJ458925:AWJ524388 BGF458925:BGF524388 BQB458925:BQB524388 BZX458925:BZX524388 CJT458925:CJT524388 CTP458925:CTP524388 DDL458925:DDL524388 DNH458925:DNH524388 DXD458925:DXD524388 EGZ458925:EGZ524388 EQV458925:EQV524388 FAR458925:FAR524388 FKN458925:FKN524388 FUJ458925:FUJ524388 GEF458925:GEF524388 GOB458925:GOB524388 GXX458925:GXX524388 HHT458925:HHT524388 HRP458925:HRP524388 IBL458925:IBL524388 ILH458925:ILH524388 IVD458925:IVD524388 JEZ458925:JEZ524388 JOV458925:JOV524388 JYR458925:JYR524388 KIN458925:KIN524388 KSJ458925:KSJ524388 LCF458925:LCF524388 LMB458925:LMB524388 LVX458925:LVX524388 MFT458925:MFT524388 MPP458925:MPP524388 MZL458925:MZL524388 NJH458925:NJH524388 NTD458925:NTD524388 OCZ458925:OCZ524388 OMV458925:OMV524388 OWR458925:OWR524388 PGN458925:PGN524388 PQJ458925:PQJ524388 QAF458925:QAF524388 QKB458925:QKB524388 QTX458925:QTX524388 RDT458925:RDT524388 RNP458925:RNP524388 RXL458925:RXL524388 SHH458925:SHH524388 SRD458925:SRD524388 TAZ458925:TAZ524388 TKV458925:TKV524388 TUR458925:TUR524388 UEN458925:UEN524388 UOJ458925:UOJ524388 UYF458925:UYF524388 VIB458925:VIB524388 VRX458925:VRX524388 WBT458925:WBT524388 WLP458925:WLP524388 WVL458925:WVL524388 D524461:D589924 IZ524461:IZ589924 SV524461:SV589924 ACR524461:ACR589924 AMN524461:AMN589924 AWJ524461:AWJ589924 BGF524461:BGF589924 BQB524461:BQB589924 BZX524461:BZX589924 CJT524461:CJT589924 CTP524461:CTP589924 DDL524461:DDL589924 DNH524461:DNH589924 DXD524461:DXD589924 EGZ524461:EGZ589924 EQV524461:EQV589924 FAR524461:FAR589924 FKN524461:FKN589924 FUJ524461:FUJ589924 GEF524461:GEF589924 GOB524461:GOB589924 GXX524461:GXX589924 HHT524461:HHT589924 HRP524461:HRP589924 IBL524461:IBL589924 ILH524461:ILH589924 IVD524461:IVD589924 JEZ524461:JEZ589924 JOV524461:JOV589924 JYR524461:JYR589924 KIN524461:KIN589924 KSJ524461:KSJ589924 LCF524461:LCF589924 LMB524461:LMB589924 LVX524461:LVX589924 MFT524461:MFT589924 MPP524461:MPP589924 MZL524461:MZL589924 NJH524461:NJH589924 NTD524461:NTD589924 OCZ524461:OCZ589924 OMV524461:OMV589924 OWR524461:OWR589924 PGN524461:PGN589924 PQJ524461:PQJ589924 QAF524461:QAF589924 QKB524461:QKB589924 QTX524461:QTX589924 RDT524461:RDT589924 RNP524461:RNP589924 RXL524461:RXL589924 SHH524461:SHH589924 SRD524461:SRD589924 TAZ524461:TAZ589924 TKV524461:TKV589924 TUR524461:TUR589924 UEN524461:UEN589924 UOJ524461:UOJ589924 UYF524461:UYF589924 VIB524461:VIB589924 VRX524461:VRX589924 WBT524461:WBT589924 WLP524461:WLP589924 WVL524461:WVL589924 D589997:D655460 IZ589997:IZ655460 SV589997:SV655460 ACR589997:ACR655460 AMN589997:AMN655460 AWJ589997:AWJ655460 BGF589997:BGF655460 BQB589997:BQB655460 BZX589997:BZX655460 CJT589997:CJT655460 CTP589997:CTP655460 DDL589997:DDL655460 DNH589997:DNH655460 DXD589997:DXD655460 EGZ589997:EGZ655460 EQV589997:EQV655460 FAR589997:FAR655460 FKN589997:FKN655460 FUJ589997:FUJ655460 GEF589997:GEF655460 GOB589997:GOB655460 GXX589997:GXX655460 HHT589997:HHT655460 HRP589997:HRP655460 IBL589997:IBL655460 ILH589997:ILH655460 IVD589997:IVD655460 JEZ589997:JEZ655460 JOV589997:JOV655460 JYR589997:JYR655460 KIN589997:KIN655460 KSJ589997:KSJ655460 LCF589997:LCF655460 LMB589997:LMB655460 LVX589997:LVX655460 MFT589997:MFT655460 MPP589997:MPP655460 MZL589997:MZL655460 NJH589997:NJH655460 NTD589997:NTD655460 OCZ589997:OCZ655460 OMV589997:OMV655460 OWR589997:OWR655460 PGN589997:PGN655460 PQJ589997:PQJ655460 QAF589997:QAF655460 QKB589997:QKB655460 QTX589997:QTX655460 RDT589997:RDT655460 RNP589997:RNP655460 RXL589997:RXL655460 SHH589997:SHH655460 SRD589997:SRD655460 TAZ589997:TAZ655460 TKV589997:TKV655460 TUR589997:TUR655460 UEN589997:UEN655460 UOJ589997:UOJ655460 UYF589997:UYF655460 VIB589997:VIB655460 VRX589997:VRX655460 WBT589997:WBT655460 WLP589997:WLP655460 WVL589997:WVL655460 D655533:D720996 IZ655533:IZ720996 SV655533:SV720996 ACR655533:ACR720996 AMN655533:AMN720996 AWJ655533:AWJ720996 BGF655533:BGF720996 BQB655533:BQB720996 BZX655533:BZX720996 CJT655533:CJT720996 CTP655533:CTP720996 DDL655533:DDL720996 DNH655533:DNH720996 DXD655533:DXD720996 EGZ655533:EGZ720996 EQV655533:EQV720996 FAR655533:FAR720996 FKN655533:FKN720996 FUJ655533:FUJ720996 GEF655533:GEF720996 GOB655533:GOB720996 GXX655533:GXX720996 HHT655533:HHT720996 HRP655533:HRP720996 IBL655533:IBL720996 ILH655533:ILH720996 IVD655533:IVD720996 JEZ655533:JEZ720996 JOV655533:JOV720996 JYR655533:JYR720996 KIN655533:KIN720996 KSJ655533:KSJ720996 LCF655533:LCF720996 LMB655533:LMB720996 LVX655533:LVX720996 MFT655533:MFT720996 MPP655533:MPP720996 MZL655533:MZL720996 NJH655533:NJH720996 NTD655533:NTD720996 OCZ655533:OCZ720996 OMV655533:OMV720996 OWR655533:OWR720996 PGN655533:PGN720996 PQJ655533:PQJ720996 QAF655533:QAF720996 QKB655533:QKB720996 QTX655533:QTX720996 RDT655533:RDT720996 RNP655533:RNP720996 RXL655533:RXL720996 SHH655533:SHH720996 SRD655533:SRD720996 TAZ655533:TAZ720996 TKV655533:TKV720996 TUR655533:TUR720996 UEN655533:UEN720996 UOJ655533:UOJ720996 UYF655533:UYF720996 VIB655533:VIB720996 VRX655533:VRX720996 WBT655533:WBT720996 WLP655533:WLP720996 WVL655533:WVL720996 D721069:D786532 IZ721069:IZ786532 SV721069:SV786532 ACR721069:ACR786532 AMN721069:AMN786532 AWJ721069:AWJ786532 BGF721069:BGF786532 BQB721069:BQB786532 BZX721069:BZX786532 CJT721069:CJT786532 CTP721069:CTP786532 DDL721069:DDL786532 DNH721069:DNH786532 DXD721069:DXD786532 EGZ721069:EGZ786532 EQV721069:EQV786532 FAR721069:FAR786532 FKN721069:FKN786532 FUJ721069:FUJ786532 GEF721069:GEF786532 GOB721069:GOB786532 GXX721069:GXX786532 HHT721069:HHT786532 HRP721069:HRP786532 IBL721069:IBL786532 ILH721069:ILH786532 IVD721069:IVD786532 JEZ721069:JEZ786532 JOV721069:JOV786532 JYR721069:JYR786532 KIN721069:KIN786532 KSJ721069:KSJ786532 LCF721069:LCF786532 LMB721069:LMB786532 LVX721069:LVX786532 MFT721069:MFT786532 MPP721069:MPP786532 MZL721069:MZL786532 NJH721069:NJH786532 NTD721069:NTD786532 OCZ721069:OCZ786532 OMV721069:OMV786532 OWR721069:OWR786532 PGN721069:PGN786532 PQJ721069:PQJ786532 QAF721069:QAF786532 QKB721069:QKB786532 QTX721069:QTX786532 RDT721069:RDT786532 RNP721069:RNP786532 RXL721069:RXL786532 SHH721069:SHH786532 SRD721069:SRD786532 TAZ721069:TAZ786532 TKV721069:TKV786532 TUR721069:TUR786532 UEN721069:UEN786532 UOJ721069:UOJ786532 UYF721069:UYF786532 VIB721069:VIB786532 VRX721069:VRX786532 WBT721069:WBT786532 WLP721069:WLP786532 WVL721069:WVL786532 D786605:D852068 IZ786605:IZ852068 SV786605:SV852068 ACR786605:ACR852068 AMN786605:AMN852068 AWJ786605:AWJ852068 BGF786605:BGF852068 BQB786605:BQB852068 BZX786605:BZX852068 CJT786605:CJT852068 CTP786605:CTP852068 DDL786605:DDL852068 DNH786605:DNH852068 DXD786605:DXD852068 EGZ786605:EGZ852068 EQV786605:EQV852068 FAR786605:FAR852068 FKN786605:FKN852068 FUJ786605:FUJ852068 GEF786605:GEF852068 GOB786605:GOB852068 GXX786605:GXX852068 HHT786605:HHT852068 HRP786605:HRP852068 IBL786605:IBL852068 ILH786605:ILH852068 IVD786605:IVD852068 JEZ786605:JEZ852068 JOV786605:JOV852068 JYR786605:JYR852068 KIN786605:KIN852068 KSJ786605:KSJ852068 LCF786605:LCF852068 LMB786605:LMB852068 LVX786605:LVX852068 MFT786605:MFT852068 MPP786605:MPP852068 MZL786605:MZL852068 NJH786605:NJH852068 NTD786605:NTD852068 OCZ786605:OCZ852068 OMV786605:OMV852068 OWR786605:OWR852068 PGN786605:PGN852068 PQJ786605:PQJ852068 QAF786605:QAF852068 QKB786605:QKB852068 QTX786605:QTX852068 RDT786605:RDT852068 RNP786605:RNP852068 RXL786605:RXL852068 SHH786605:SHH852068 SRD786605:SRD852068 TAZ786605:TAZ852068 TKV786605:TKV852068 TUR786605:TUR852068 UEN786605:UEN852068 UOJ786605:UOJ852068 UYF786605:UYF852068 VIB786605:VIB852068 VRX786605:VRX852068 WBT786605:WBT852068 WLP786605:WLP852068 WVL786605:WVL852068 D852141:D917604 IZ852141:IZ917604 SV852141:SV917604 ACR852141:ACR917604 AMN852141:AMN917604 AWJ852141:AWJ917604 BGF852141:BGF917604 BQB852141:BQB917604 BZX852141:BZX917604 CJT852141:CJT917604 CTP852141:CTP917604 DDL852141:DDL917604 DNH852141:DNH917604 DXD852141:DXD917604 EGZ852141:EGZ917604 EQV852141:EQV917604 FAR852141:FAR917604 FKN852141:FKN917604 FUJ852141:FUJ917604 GEF852141:GEF917604 GOB852141:GOB917604 GXX852141:GXX917604 HHT852141:HHT917604 HRP852141:HRP917604 IBL852141:IBL917604 ILH852141:ILH917604 IVD852141:IVD917604 JEZ852141:JEZ917604 JOV852141:JOV917604 JYR852141:JYR917604 KIN852141:KIN917604 KSJ852141:KSJ917604 LCF852141:LCF917604 LMB852141:LMB917604 LVX852141:LVX917604 MFT852141:MFT917604 MPP852141:MPP917604 MZL852141:MZL917604 NJH852141:NJH917604 NTD852141:NTD917604 OCZ852141:OCZ917604 OMV852141:OMV917604 OWR852141:OWR917604 PGN852141:PGN917604 PQJ852141:PQJ917604 QAF852141:QAF917604 QKB852141:QKB917604 QTX852141:QTX917604 RDT852141:RDT917604 RNP852141:RNP917604 RXL852141:RXL917604 SHH852141:SHH917604 SRD852141:SRD917604 TAZ852141:TAZ917604 TKV852141:TKV917604 TUR852141:TUR917604 UEN852141:UEN917604 UOJ852141:UOJ917604 UYF852141:UYF917604 VIB852141:VIB917604 VRX852141:VRX917604 WBT852141:WBT917604 WLP852141:WLP917604 WVL852141:WVL917604 D917677:D983140 IZ917677:IZ983140 SV917677:SV983140 ACR917677:ACR983140 AMN917677:AMN983140 AWJ917677:AWJ983140 BGF917677:BGF983140 BQB917677:BQB983140 BZX917677:BZX983140 CJT917677:CJT983140 CTP917677:CTP983140 DDL917677:DDL983140 DNH917677:DNH983140 DXD917677:DXD983140 EGZ917677:EGZ983140 EQV917677:EQV983140 FAR917677:FAR983140 FKN917677:FKN983140 FUJ917677:FUJ983140 GEF917677:GEF983140 GOB917677:GOB983140 GXX917677:GXX983140 HHT917677:HHT983140 HRP917677:HRP983140 IBL917677:IBL983140 ILH917677:ILH983140 IVD917677:IVD983140 JEZ917677:JEZ983140 JOV917677:JOV983140 JYR917677:JYR983140 KIN917677:KIN983140 KSJ917677:KSJ983140 LCF917677:LCF983140 LMB917677:LMB983140 LVX917677:LVX983140 MFT917677:MFT983140 MPP917677:MPP983140 MZL917677:MZL983140 NJH917677:NJH983140 NTD917677:NTD983140 OCZ917677:OCZ983140 OMV917677:OMV983140 OWR917677:OWR983140 PGN917677:PGN983140 PQJ917677:PQJ983140 QAF917677:QAF983140 QKB917677:QKB983140 QTX917677:QTX983140 RDT917677:RDT983140 RNP917677:RNP983140 RXL917677:RXL983140 SHH917677:SHH983140 SRD917677:SRD983140 TAZ917677:TAZ983140 TKV917677:TKV983140 TUR917677:TUR983140 UEN917677:UEN983140 UOJ917677:UOJ983140 UYF917677:UYF983140 VIB917677:VIB983140 VRX917677:VRX983140 WBT917677:WBT983140 WLP917677:WLP983140 WVL917677:WVL983140 D983213:D1048576 IZ983213:IZ1048576 SV983213:SV1048576 ACR983213:ACR1048576 AMN983213:AMN1048576 AWJ983213:AWJ1048576 BGF983213:BGF1048576 BQB983213:BQB1048576 BZX983213:BZX1048576 CJT983213:CJT1048576 CTP983213:CTP1048576 DDL983213:DDL1048576 DNH983213:DNH1048576 DXD983213:DXD1048576 EGZ983213:EGZ1048576 EQV983213:EQV1048576 FAR983213:FAR1048576 FKN983213:FKN1048576 FUJ983213:FUJ1048576 GEF983213:GEF1048576 GOB983213:GOB1048576 GXX983213:GXX1048576 HHT983213:HHT1048576 HRP983213:HRP1048576 IBL983213:IBL1048576 ILH983213:ILH1048576 IVD983213:IVD1048576 JEZ983213:JEZ1048576 JOV983213:JOV1048576 JYR983213:JYR1048576 KIN983213:KIN1048576 KSJ983213:KSJ1048576 LCF983213:LCF1048576 LMB983213:LMB1048576 LVX983213:LVX1048576 MFT983213:MFT1048576 MPP983213:MPP1048576 MZL983213:MZL1048576 NJH983213:NJH1048576 NTD983213:NTD1048576 OCZ983213:OCZ1048576 OMV983213:OMV1048576 OWR983213:OWR1048576 PGN983213:PGN1048576 PQJ983213:PQJ1048576 QAF983213:QAF1048576 QKB983213:QKB1048576 QTX983213:QTX1048576 RDT983213:RDT1048576 RNP983213:RNP1048576 RXL983213:RXL1048576 SHH983213:SHH1048576 SRD983213:SRD1048576 TAZ983213:TAZ1048576 TKV983213:TKV1048576 TUR983213:TUR1048576 UEN983213:UEN1048576 UOJ983213:UOJ1048576 UYF983213:UYF1048576 VIB983213:VIB1048576 VRX983213:VRX1048576 WBT983213:WBT1048576 D173:D65636">
      <formula1>0.001</formula1>
      <formula2>200000</formula2>
    </dataValidation>
    <dataValidation type="list" allowBlank="1" showInputMessage="1" showErrorMessage="1" sqref="WVM983213:WVM984029 SW7:SW87 ACS7:ACS87 AMO7:AMO87 AWK7:AWK87 BGG7:BGG87 BQC7:BQC87 BZY7:BZY87 CJU7:CJU87 CTQ7:CTQ87 DDM7:DDM87 DNI7:DNI87 DXE7:DXE87 EHA7:EHA87 EQW7:EQW87 FAS7:FAS87 FKO7:FKO87 FUK7:FUK87 GEG7:GEG87 GOC7:GOC87 GXY7:GXY87 HHU7:HHU87 HRQ7:HRQ87 IBM7:IBM87 ILI7:ILI87 IVE7:IVE87 JFA7:JFA87 JOW7:JOW87 JYS7:JYS87 KIO7:KIO87 KSK7:KSK87 LCG7:LCG87 LMC7:LMC87 LVY7:LVY87 MFU7:MFU87 MPQ7:MPQ87 MZM7:MZM87 NJI7:NJI87 NTE7:NTE87 ODA7:ODA87 OMW7:OMW87 OWS7:OWS87 PGO7:PGO87 PQK7:PQK87 QAG7:QAG87 QKC7:QKC87 QTY7:QTY87 RDU7:RDU87 RNQ7:RNQ87 RXM7:RXM87 SHI7:SHI87 SRE7:SRE87 TBA7:TBA87 TKW7:TKW87 TUS7:TUS87 UEO7:UEO87 UOK7:UOK87 UYG7:UYG87 VIC7:VIC87 VRY7:VRY87 WBU7:WBU87 WLQ7:WLQ87 WVM7:WVM87 JA7:JA87 E65643:E65673 JA65643:JA65673 SW65643:SW65673 ACS65643:ACS65673 AMO65643:AMO65673 AWK65643:AWK65673 BGG65643:BGG65673 BQC65643:BQC65673 BZY65643:BZY65673 CJU65643:CJU65673 CTQ65643:CTQ65673 DDM65643:DDM65673 DNI65643:DNI65673 DXE65643:DXE65673 EHA65643:EHA65673 EQW65643:EQW65673 FAS65643:FAS65673 FKO65643:FKO65673 FUK65643:FUK65673 GEG65643:GEG65673 GOC65643:GOC65673 GXY65643:GXY65673 HHU65643:HHU65673 HRQ65643:HRQ65673 IBM65643:IBM65673 ILI65643:ILI65673 IVE65643:IVE65673 JFA65643:JFA65673 JOW65643:JOW65673 JYS65643:JYS65673 KIO65643:KIO65673 KSK65643:KSK65673 LCG65643:LCG65673 LMC65643:LMC65673 LVY65643:LVY65673 MFU65643:MFU65673 MPQ65643:MPQ65673 MZM65643:MZM65673 NJI65643:NJI65673 NTE65643:NTE65673 ODA65643:ODA65673 OMW65643:OMW65673 OWS65643:OWS65673 PGO65643:PGO65673 PQK65643:PQK65673 QAG65643:QAG65673 QKC65643:QKC65673 QTY65643:QTY65673 RDU65643:RDU65673 RNQ65643:RNQ65673 RXM65643:RXM65673 SHI65643:SHI65673 SRE65643:SRE65673 TBA65643:TBA65673 TKW65643:TKW65673 TUS65643:TUS65673 UEO65643:UEO65673 UOK65643:UOK65673 UYG65643:UYG65673 VIC65643:VIC65673 VRY65643:VRY65673 WBU65643:WBU65673 WLQ65643:WLQ65673 WVM65643:WVM65673 E131179:E131209 JA131179:JA131209 SW131179:SW131209 ACS131179:ACS131209 AMO131179:AMO131209 AWK131179:AWK131209 BGG131179:BGG131209 BQC131179:BQC131209 BZY131179:BZY131209 CJU131179:CJU131209 CTQ131179:CTQ131209 DDM131179:DDM131209 DNI131179:DNI131209 DXE131179:DXE131209 EHA131179:EHA131209 EQW131179:EQW131209 FAS131179:FAS131209 FKO131179:FKO131209 FUK131179:FUK131209 GEG131179:GEG131209 GOC131179:GOC131209 GXY131179:GXY131209 HHU131179:HHU131209 HRQ131179:HRQ131209 IBM131179:IBM131209 ILI131179:ILI131209 IVE131179:IVE131209 JFA131179:JFA131209 JOW131179:JOW131209 JYS131179:JYS131209 KIO131179:KIO131209 KSK131179:KSK131209 LCG131179:LCG131209 LMC131179:LMC131209 LVY131179:LVY131209 MFU131179:MFU131209 MPQ131179:MPQ131209 MZM131179:MZM131209 NJI131179:NJI131209 NTE131179:NTE131209 ODA131179:ODA131209 OMW131179:OMW131209 OWS131179:OWS131209 PGO131179:PGO131209 PQK131179:PQK131209 QAG131179:QAG131209 QKC131179:QKC131209 QTY131179:QTY131209 RDU131179:RDU131209 RNQ131179:RNQ131209 RXM131179:RXM131209 SHI131179:SHI131209 SRE131179:SRE131209 TBA131179:TBA131209 TKW131179:TKW131209 TUS131179:TUS131209 UEO131179:UEO131209 UOK131179:UOK131209 UYG131179:UYG131209 VIC131179:VIC131209 VRY131179:VRY131209 WBU131179:WBU131209 WLQ131179:WLQ131209 WVM131179:WVM131209 E196715:E196745 JA196715:JA196745 SW196715:SW196745 ACS196715:ACS196745 AMO196715:AMO196745 AWK196715:AWK196745 BGG196715:BGG196745 BQC196715:BQC196745 BZY196715:BZY196745 CJU196715:CJU196745 CTQ196715:CTQ196745 DDM196715:DDM196745 DNI196715:DNI196745 DXE196715:DXE196745 EHA196715:EHA196745 EQW196715:EQW196745 FAS196715:FAS196745 FKO196715:FKO196745 FUK196715:FUK196745 GEG196715:GEG196745 GOC196715:GOC196745 GXY196715:GXY196745 HHU196715:HHU196745 HRQ196715:HRQ196745 IBM196715:IBM196745 ILI196715:ILI196745 IVE196715:IVE196745 JFA196715:JFA196745 JOW196715:JOW196745 JYS196715:JYS196745 KIO196715:KIO196745 KSK196715:KSK196745 LCG196715:LCG196745 LMC196715:LMC196745 LVY196715:LVY196745 MFU196715:MFU196745 MPQ196715:MPQ196745 MZM196715:MZM196745 NJI196715:NJI196745 NTE196715:NTE196745 ODA196715:ODA196745 OMW196715:OMW196745 OWS196715:OWS196745 PGO196715:PGO196745 PQK196715:PQK196745 QAG196715:QAG196745 QKC196715:QKC196745 QTY196715:QTY196745 RDU196715:RDU196745 RNQ196715:RNQ196745 RXM196715:RXM196745 SHI196715:SHI196745 SRE196715:SRE196745 TBA196715:TBA196745 TKW196715:TKW196745 TUS196715:TUS196745 UEO196715:UEO196745 UOK196715:UOK196745 UYG196715:UYG196745 VIC196715:VIC196745 VRY196715:VRY196745 WBU196715:WBU196745 WLQ196715:WLQ196745 WVM196715:WVM196745 E262251:E262281 JA262251:JA262281 SW262251:SW262281 ACS262251:ACS262281 AMO262251:AMO262281 AWK262251:AWK262281 BGG262251:BGG262281 BQC262251:BQC262281 BZY262251:BZY262281 CJU262251:CJU262281 CTQ262251:CTQ262281 DDM262251:DDM262281 DNI262251:DNI262281 DXE262251:DXE262281 EHA262251:EHA262281 EQW262251:EQW262281 FAS262251:FAS262281 FKO262251:FKO262281 FUK262251:FUK262281 GEG262251:GEG262281 GOC262251:GOC262281 GXY262251:GXY262281 HHU262251:HHU262281 HRQ262251:HRQ262281 IBM262251:IBM262281 ILI262251:ILI262281 IVE262251:IVE262281 JFA262251:JFA262281 JOW262251:JOW262281 JYS262251:JYS262281 KIO262251:KIO262281 KSK262251:KSK262281 LCG262251:LCG262281 LMC262251:LMC262281 LVY262251:LVY262281 MFU262251:MFU262281 MPQ262251:MPQ262281 MZM262251:MZM262281 NJI262251:NJI262281 NTE262251:NTE262281 ODA262251:ODA262281 OMW262251:OMW262281 OWS262251:OWS262281 PGO262251:PGO262281 PQK262251:PQK262281 QAG262251:QAG262281 QKC262251:QKC262281 QTY262251:QTY262281 RDU262251:RDU262281 RNQ262251:RNQ262281 RXM262251:RXM262281 SHI262251:SHI262281 SRE262251:SRE262281 TBA262251:TBA262281 TKW262251:TKW262281 TUS262251:TUS262281 UEO262251:UEO262281 UOK262251:UOK262281 UYG262251:UYG262281 VIC262251:VIC262281 VRY262251:VRY262281 WBU262251:WBU262281 WLQ262251:WLQ262281 WVM262251:WVM262281 E327787:E327817 JA327787:JA327817 SW327787:SW327817 ACS327787:ACS327817 AMO327787:AMO327817 AWK327787:AWK327817 BGG327787:BGG327817 BQC327787:BQC327817 BZY327787:BZY327817 CJU327787:CJU327817 CTQ327787:CTQ327817 DDM327787:DDM327817 DNI327787:DNI327817 DXE327787:DXE327817 EHA327787:EHA327817 EQW327787:EQW327817 FAS327787:FAS327817 FKO327787:FKO327817 FUK327787:FUK327817 GEG327787:GEG327817 GOC327787:GOC327817 GXY327787:GXY327817 HHU327787:HHU327817 HRQ327787:HRQ327817 IBM327787:IBM327817 ILI327787:ILI327817 IVE327787:IVE327817 JFA327787:JFA327817 JOW327787:JOW327817 JYS327787:JYS327817 KIO327787:KIO327817 KSK327787:KSK327817 LCG327787:LCG327817 LMC327787:LMC327817 LVY327787:LVY327817 MFU327787:MFU327817 MPQ327787:MPQ327817 MZM327787:MZM327817 NJI327787:NJI327817 NTE327787:NTE327817 ODA327787:ODA327817 OMW327787:OMW327817 OWS327787:OWS327817 PGO327787:PGO327817 PQK327787:PQK327817 QAG327787:QAG327817 QKC327787:QKC327817 QTY327787:QTY327817 RDU327787:RDU327817 RNQ327787:RNQ327817 RXM327787:RXM327817 SHI327787:SHI327817 SRE327787:SRE327817 TBA327787:TBA327817 TKW327787:TKW327817 TUS327787:TUS327817 UEO327787:UEO327817 UOK327787:UOK327817 UYG327787:UYG327817 VIC327787:VIC327817 VRY327787:VRY327817 WBU327787:WBU327817 WLQ327787:WLQ327817 WVM327787:WVM327817 E393323:E393353 JA393323:JA393353 SW393323:SW393353 ACS393323:ACS393353 AMO393323:AMO393353 AWK393323:AWK393353 BGG393323:BGG393353 BQC393323:BQC393353 BZY393323:BZY393353 CJU393323:CJU393353 CTQ393323:CTQ393353 DDM393323:DDM393353 DNI393323:DNI393353 DXE393323:DXE393353 EHA393323:EHA393353 EQW393323:EQW393353 FAS393323:FAS393353 FKO393323:FKO393353 FUK393323:FUK393353 GEG393323:GEG393353 GOC393323:GOC393353 GXY393323:GXY393353 HHU393323:HHU393353 HRQ393323:HRQ393353 IBM393323:IBM393353 ILI393323:ILI393353 IVE393323:IVE393353 JFA393323:JFA393353 JOW393323:JOW393353 JYS393323:JYS393353 KIO393323:KIO393353 KSK393323:KSK393353 LCG393323:LCG393353 LMC393323:LMC393353 LVY393323:LVY393353 MFU393323:MFU393353 MPQ393323:MPQ393353 MZM393323:MZM393353 NJI393323:NJI393353 NTE393323:NTE393353 ODA393323:ODA393353 OMW393323:OMW393353 OWS393323:OWS393353 PGO393323:PGO393353 PQK393323:PQK393353 QAG393323:QAG393353 QKC393323:QKC393353 QTY393323:QTY393353 RDU393323:RDU393353 RNQ393323:RNQ393353 RXM393323:RXM393353 SHI393323:SHI393353 SRE393323:SRE393353 TBA393323:TBA393353 TKW393323:TKW393353 TUS393323:TUS393353 UEO393323:UEO393353 UOK393323:UOK393353 UYG393323:UYG393353 VIC393323:VIC393353 VRY393323:VRY393353 WBU393323:WBU393353 WLQ393323:WLQ393353 WVM393323:WVM393353 E458859:E458889 JA458859:JA458889 SW458859:SW458889 ACS458859:ACS458889 AMO458859:AMO458889 AWK458859:AWK458889 BGG458859:BGG458889 BQC458859:BQC458889 BZY458859:BZY458889 CJU458859:CJU458889 CTQ458859:CTQ458889 DDM458859:DDM458889 DNI458859:DNI458889 DXE458859:DXE458889 EHA458859:EHA458889 EQW458859:EQW458889 FAS458859:FAS458889 FKO458859:FKO458889 FUK458859:FUK458889 GEG458859:GEG458889 GOC458859:GOC458889 GXY458859:GXY458889 HHU458859:HHU458889 HRQ458859:HRQ458889 IBM458859:IBM458889 ILI458859:ILI458889 IVE458859:IVE458889 JFA458859:JFA458889 JOW458859:JOW458889 JYS458859:JYS458889 KIO458859:KIO458889 KSK458859:KSK458889 LCG458859:LCG458889 LMC458859:LMC458889 LVY458859:LVY458889 MFU458859:MFU458889 MPQ458859:MPQ458889 MZM458859:MZM458889 NJI458859:NJI458889 NTE458859:NTE458889 ODA458859:ODA458889 OMW458859:OMW458889 OWS458859:OWS458889 PGO458859:PGO458889 PQK458859:PQK458889 QAG458859:QAG458889 QKC458859:QKC458889 QTY458859:QTY458889 RDU458859:RDU458889 RNQ458859:RNQ458889 RXM458859:RXM458889 SHI458859:SHI458889 SRE458859:SRE458889 TBA458859:TBA458889 TKW458859:TKW458889 TUS458859:TUS458889 UEO458859:UEO458889 UOK458859:UOK458889 UYG458859:UYG458889 VIC458859:VIC458889 VRY458859:VRY458889 WBU458859:WBU458889 WLQ458859:WLQ458889 WVM458859:WVM458889 E524395:E524425 JA524395:JA524425 SW524395:SW524425 ACS524395:ACS524425 AMO524395:AMO524425 AWK524395:AWK524425 BGG524395:BGG524425 BQC524395:BQC524425 BZY524395:BZY524425 CJU524395:CJU524425 CTQ524395:CTQ524425 DDM524395:DDM524425 DNI524395:DNI524425 DXE524395:DXE524425 EHA524395:EHA524425 EQW524395:EQW524425 FAS524395:FAS524425 FKO524395:FKO524425 FUK524395:FUK524425 GEG524395:GEG524425 GOC524395:GOC524425 GXY524395:GXY524425 HHU524395:HHU524425 HRQ524395:HRQ524425 IBM524395:IBM524425 ILI524395:ILI524425 IVE524395:IVE524425 JFA524395:JFA524425 JOW524395:JOW524425 JYS524395:JYS524425 KIO524395:KIO524425 KSK524395:KSK524425 LCG524395:LCG524425 LMC524395:LMC524425 LVY524395:LVY524425 MFU524395:MFU524425 MPQ524395:MPQ524425 MZM524395:MZM524425 NJI524395:NJI524425 NTE524395:NTE524425 ODA524395:ODA524425 OMW524395:OMW524425 OWS524395:OWS524425 PGO524395:PGO524425 PQK524395:PQK524425 QAG524395:QAG524425 QKC524395:QKC524425 QTY524395:QTY524425 RDU524395:RDU524425 RNQ524395:RNQ524425 RXM524395:RXM524425 SHI524395:SHI524425 SRE524395:SRE524425 TBA524395:TBA524425 TKW524395:TKW524425 TUS524395:TUS524425 UEO524395:UEO524425 UOK524395:UOK524425 UYG524395:UYG524425 VIC524395:VIC524425 VRY524395:VRY524425 WBU524395:WBU524425 WLQ524395:WLQ524425 WVM524395:WVM524425 E589931:E589961 JA589931:JA589961 SW589931:SW589961 ACS589931:ACS589961 AMO589931:AMO589961 AWK589931:AWK589961 BGG589931:BGG589961 BQC589931:BQC589961 BZY589931:BZY589961 CJU589931:CJU589961 CTQ589931:CTQ589961 DDM589931:DDM589961 DNI589931:DNI589961 DXE589931:DXE589961 EHA589931:EHA589961 EQW589931:EQW589961 FAS589931:FAS589961 FKO589931:FKO589961 FUK589931:FUK589961 GEG589931:GEG589961 GOC589931:GOC589961 GXY589931:GXY589961 HHU589931:HHU589961 HRQ589931:HRQ589961 IBM589931:IBM589961 ILI589931:ILI589961 IVE589931:IVE589961 JFA589931:JFA589961 JOW589931:JOW589961 JYS589931:JYS589961 KIO589931:KIO589961 KSK589931:KSK589961 LCG589931:LCG589961 LMC589931:LMC589961 LVY589931:LVY589961 MFU589931:MFU589961 MPQ589931:MPQ589961 MZM589931:MZM589961 NJI589931:NJI589961 NTE589931:NTE589961 ODA589931:ODA589961 OMW589931:OMW589961 OWS589931:OWS589961 PGO589931:PGO589961 PQK589931:PQK589961 QAG589931:QAG589961 QKC589931:QKC589961 QTY589931:QTY589961 RDU589931:RDU589961 RNQ589931:RNQ589961 RXM589931:RXM589961 SHI589931:SHI589961 SRE589931:SRE589961 TBA589931:TBA589961 TKW589931:TKW589961 TUS589931:TUS589961 UEO589931:UEO589961 UOK589931:UOK589961 UYG589931:UYG589961 VIC589931:VIC589961 VRY589931:VRY589961 WBU589931:WBU589961 WLQ589931:WLQ589961 WVM589931:WVM589961 E655467:E655497 JA655467:JA655497 SW655467:SW655497 ACS655467:ACS655497 AMO655467:AMO655497 AWK655467:AWK655497 BGG655467:BGG655497 BQC655467:BQC655497 BZY655467:BZY655497 CJU655467:CJU655497 CTQ655467:CTQ655497 DDM655467:DDM655497 DNI655467:DNI655497 DXE655467:DXE655497 EHA655467:EHA655497 EQW655467:EQW655497 FAS655467:FAS655497 FKO655467:FKO655497 FUK655467:FUK655497 GEG655467:GEG655497 GOC655467:GOC655497 GXY655467:GXY655497 HHU655467:HHU655497 HRQ655467:HRQ655497 IBM655467:IBM655497 ILI655467:ILI655497 IVE655467:IVE655497 JFA655467:JFA655497 JOW655467:JOW655497 JYS655467:JYS655497 KIO655467:KIO655497 KSK655467:KSK655497 LCG655467:LCG655497 LMC655467:LMC655497 LVY655467:LVY655497 MFU655467:MFU655497 MPQ655467:MPQ655497 MZM655467:MZM655497 NJI655467:NJI655497 NTE655467:NTE655497 ODA655467:ODA655497 OMW655467:OMW655497 OWS655467:OWS655497 PGO655467:PGO655497 PQK655467:PQK655497 QAG655467:QAG655497 QKC655467:QKC655497 QTY655467:QTY655497 RDU655467:RDU655497 RNQ655467:RNQ655497 RXM655467:RXM655497 SHI655467:SHI655497 SRE655467:SRE655497 TBA655467:TBA655497 TKW655467:TKW655497 TUS655467:TUS655497 UEO655467:UEO655497 UOK655467:UOK655497 UYG655467:UYG655497 VIC655467:VIC655497 VRY655467:VRY655497 WBU655467:WBU655497 WLQ655467:WLQ655497 WVM655467:WVM655497 E721003:E721033 JA721003:JA721033 SW721003:SW721033 ACS721003:ACS721033 AMO721003:AMO721033 AWK721003:AWK721033 BGG721003:BGG721033 BQC721003:BQC721033 BZY721003:BZY721033 CJU721003:CJU721033 CTQ721003:CTQ721033 DDM721003:DDM721033 DNI721003:DNI721033 DXE721003:DXE721033 EHA721003:EHA721033 EQW721003:EQW721033 FAS721003:FAS721033 FKO721003:FKO721033 FUK721003:FUK721033 GEG721003:GEG721033 GOC721003:GOC721033 GXY721003:GXY721033 HHU721003:HHU721033 HRQ721003:HRQ721033 IBM721003:IBM721033 ILI721003:ILI721033 IVE721003:IVE721033 JFA721003:JFA721033 JOW721003:JOW721033 JYS721003:JYS721033 KIO721003:KIO721033 KSK721003:KSK721033 LCG721003:LCG721033 LMC721003:LMC721033 LVY721003:LVY721033 MFU721003:MFU721033 MPQ721003:MPQ721033 MZM721003:MZM721033 NJI721003:NJI721033 NTE721003:NTE721033 ODA721003:ODA721033 OMW721003:OMW721033 OWS721003:OWS721033 PGO721003:PGO721033 PQK721003:PQK721033 QAG721003:QAG721033 QKC721003:QKC721033 QTY721003:QTY721033 RDU721003:RDU721033 RNQ721003:RNQ721033 RXM721003:RXM721033 SHI721003:SHI721033 SRE721003:SRE721033 TBA721003:TBA721033 TKW721003:TKW721033 TUS721003:TUS721033 UEO721003:UEO721033 UOK721003:UOK721033 UYG721003:UYG721033 VIC721003:VIC721033 VRY721003:VRY721033 WBU721003:WBU721033 WLQ721003:WLQ721033 WVM721003:WVM721033 E786539:E786569 JA786539:JA786569 SW786539:SW786569 ACS786539:ACS786569 AMO786539:AMO786569 AWK786539:AWK786569 BGG786539:BGG786569 BQC786539:BQC786569 BZY786539:BZY786569 CJU786539:CJU786569 CTQ786539:CTQ786569 DDM786539:DDM786569 DNI786539:DNI786569 DXE786539:DXE786569 EHA786539:EHA786569 EQW786539:EQW786569 FAS786539:FAS786569 FKO786539:FKO786569 FUK786539:FUK786569 GEG786539:GEG786569 GOC786539:GOC786569 GXY786539:GXY786569 HHU786539:HHU786569 HRQ786539:HRQ786569 IBM786539:IBM786569 ILI786539:ILI786569 IVE786539:IVE786569 JFA786539:JFA786569 JOW786539:JOW786569 JYS786539:JYS786569 KIO786539:KIO786569 KSK786539:KSK786569 LCG786539:LCG786569 LMC786539:LMC786569 LVY786539:LVY786569 MFU786539:MFU786569 MPQ786539:MPQ786569 MZM786539:MZM786569 NJI786539:NJI786569 NTE786539:NTE786569 ODA786539:ODA786569 OMW786539:OMW786569 OWS786539:OWS786569 PGO786539:PGO786569 PQK786539:PQK786569 QAG786539:QAG786569 QKC786539:QKC786569 QTY786539:QTY786569 RDU786539:RDU786569 RNQ786539:RNQ786569 RXM786539:RXM786569 SHI786539:SHI786569 SRE786539:SRE786569 TBA786539:TBA786569 TKW786539:TKW786569 TUS786539:TUS786569 UEO786539:UEO786569 UOK786539:UOK786569 UYG786539:UYG786569 VIC786539:VIC786569 VRY786539:VRY786569 WBU786539:WBU786569 WLQ786539:WLQ786569 WVM786539:WVM786569 E852075:E852105 JA852075:JA852105 SW852075:SW852105 ACS852075:ACS852105 AMO852075:AMO852105 AWK852075:AWK852105 BGG852075:BGG852105 BQC852075:BQC852105 BZY852075:BZY852105 CJU852075:CJU852105 CTQ852075:CTQ852105 DDM852075:DDM852105 DNI852075:DNI852105 DXE852075:DXE852105 EHA852075:EHA852105 EQW852075:EQW852105 FAS852075:FAS852105 FKO852075:FKO852105 FUK852075:FUK852105 GEG852075:GEG852105 GOC852075:GOC852105 GXY852075:GXY852105 HHU852075:HHU852105 HRQ852075:HRQ852105 IBM852075:IBM852105 ILI852075:ILI852105 IVE852075:IVE852105 JFA852075:JFA852105 JOW852075:JOW852105 JYS852075:JYS852105 KIO852075:KIO852105 KSK852075:KSK852105 LCG852075:LCG852105 LMC852075:LMC852105 LVY852075:LVY852105 MFU852075:MFU852105 MPQ852075:MPQ852105 MZM852075:MZM852105 NJI852075:NJI852105 NTE852075:NTE852105 ODA852075:ODA852105 OMW852075:OMW852105 OWS852075:OWS852105 PGO852075:PGO852105 PQK852075:PQK852105 QAG852075:QAG852105 QKC852075:QKC852105 QTY852075:QTY852105 RDU852075:RDU852105 RNQ852075:RNQ852105 RXM852075:RXM852105 SHI852075:SHI852105 SRE852075:SRE852105 TBA852075:TBA852105 TKW852075:TKW852105 TUS852075:TUS852105 UEO852075:UEO852105 UOK852075:UOK852105 UYG852075:UYG852105 VIC852075:VIC852105 VRY852075:VRY852105 WBU852075:WBU852105 WLQ852075:WLQ852105 WVM852075:WVM852105 E917611:E917641 JA917611:JA917641 SW917611:SW917641 ACS917611:ACS917641 AMO917611:AMO917641 AWK917611:AWK917641 BGG917611:BGG917641 BQC917611:BQC917641 BZY917611:BZY917641 CJU917611:CJU917641 CTQ917611:CTQ917641 DDM917611:DDM917641 DNI917611:DNI917641 DXE917611:DXE917641 EHA917611:EHA917641 EQW917611:EQW917641 FAS917611:FAS917641 FKO917611:FKO917641 FUK917611:FUK917641 GEG917611:GEG917641 GOC917611:GOC917641 GXY917611:GXY917641 HHU917611:HHU917641 HRQ917611:HRQ917641 IBM917611:IBM917641 ILI917611:ILI917641 IVE917611:IVE917641 JFA917611:JFA917641 JOW917611:JOW917641 JYS917611:JYS917641 KIO917611:KIO917641 KSK917611:KSK917641 LCG917611:LCG917641 LMC917611:LMC917641 LVY917611:LVY917641 MFU917611:MFU917641 MPQ917611:MPQ917641 MZM917611:MZM917641 NJI917611:NJI917641 NTE917611:NTE917641 ODA917611:ODA917641 OMW917611:OMW917641 OWS917611:OWS917641 PGO917611:PGO917641 PQK917611:PQK917641 QAG917611:QAG917641 QKC917611:QKC917641 QTY917611:QTY917641 RDU917611:RDU917641 RNQ917611:RNQ917641 RXM917611:RXM917641 SHI917611:SHI917641 SRE917611:SRE917641 TBA917611:TBA917641 TKW917611:TKW917641 TUS917611:TUS917641 UEO917611:UEO917641 UOK917611:UOK917641 UYG917611:UYG917641 VIC917611:VIC917641 VRY917611:VRY917641 WBU917611:WBU917641 WLQ917611:WLQ917641 WVM917611:WVM917641 E983147:E983177 JA983147:JA983177 SW983147:SW983177 ACS983147:ACS983177 AMO983147:AMO983177 AWK983147:AWK983177 BGG983147:BGG983177 BQC983147:BQC983177 BZY983147:BZY983177 CJU983147:CJU983177 CTQ983147:CTQ983177 DDM983147:DDM983177 DNI983147:DNI983177 DXE983147:DXE983177 EHA983147:EHA983177 EQW983147:EQW983177 FAS983147:FAS983177 FKO983147:FKO983177 FUK983147:FUK983177 GEG983147:GEG983177 GOC983147:GOC983177 GXY983147:GXY983177 HHU983147:HHU983177 HRQ983147:HRQ983177 IBM983147:IBM983177 ILI983147:ILI983177 IVE983147:IVE983177 JFA983147:JFA983177 JOW983147:JOW983177 JYS983147:JYS983177 KIO983147:KIO983177 KSK983147:KSK983177 LCG983147:LCG983177 LMC983147:LMC983177 LVY983147:LVY983177 MFU983147:MFU983177 MPQ983147:MPQ983177 MZM983147:MZM983177 NJI983147:NJI983177 NTE983147:NTE983177 ODA983147:ODA983177 OMW983147:OMW983177 OWS983147:OWS983177 PGO983147:PGO983177 PQK983147:PQK983177 QAG983147:QAG983177 QKC983147:QKC983177 QTY983147:QTY983177 RDU983147:RDU983177 RNQ983147:RNQ983177 RXM983147:RXM983177 SHI983147:SHI983177 SRE983147:SRE983177 TBA983147:TBA983177 TKW983147:TKW983177 TUS983147:TUS983177 UEO983147:UEO983177 UOK983147:UOK983177 UYG983147:UYG983177 VIC983147:VIC983177 VRY983147:VRY983177 WBU983147:WBU983177 WLQ983147:WLQ983177 WVM983147:WVM983177 E7:E87 JA173:JA989 SW173:SW989 ACS173:ACS989 AMO173:AMO989 AWK173:AWK989 BGG173:BGG989 BQC173:BQC989 BZY173:BZY989 CJU173:CJU989 CTQ173:CTQ989 DDM173:DDM989 DNI173:DNI989 DXE173:DXE989 EHA173:EHA989 EQW173:EQW989 FAS173:FAS989 FKO173:FKO989 FUK173:FUK989 GEG173:GEG989 GOC173:GOC989 GXY173:GXY989 HHU173:HHU989 HRQ173:HRQ989 IBM173:IBM989 ILI173:ILI989 IVE173:IVE989 JFA173:JFA989 JOW173:JOW989 JYS173:JYS989 KIO173:KIO989 KSK173:KSK989 LCG173:LCG989 LMC173:LMC989 LVY173:LVY989 MFU173:MFU989 MPQ173:MPQ989 MZM173:MZM989 NJI173:NJI989 NTE173:NTE989 ODA173:ODA989 OMW173:OMW989 OWS173:OWS989 PGO173:PGO989 PQK173:PQK989 QAG173:QAG989 QKC173:QKC989 QTY173:QTY989 RDU173:RDU989 RNQ173:RNQ989 RXM173:RXM989 SHI173:SHI989 SRE173:SRE989 TBA173:TBA989 TKW173:TKW989 TUS173:TUS989 UEO173:UEO989 UOK173:UOK989 UYG173:UYG989 VIC173:VIC989 VRY173:VRY989 WBU173:WBU989 WLQ173:WLQ989 WVM173:WVM989 E65709:E66525 JA65709:JA66525 SW65709:SW66525 ACS65709:ACS66525 AMO65709:AMO66525 AWK65709:AWK66525 BGG65709:BGG66525 BQC65709:BQC66525 BZY65709:BZY66525 CJU65709:CJU66525 CTQ65709:CTQ66525 DDM65709:DDM66525 DNI65709:DNI66525 DXE65709:DXE66525 EHA65709:EHA66525 EQW65709:EQW66525 FAS65709:FAS66525 FKO65709:FKO66525 FUK65709:FUK66525 GEG65709:GEG66525 GOC65709:GOC66525 GXY65709:GXY66525 HHU65709:HHU66525 HRQ65709:HRQ66525 IBM65709:IBM66525 ILI65709:ILI66525 IVE65709:IVE66525 JFA65709:JFA66525 JOW65709:JOW66525 JYS65709:JYS66525 KIO65709:KIO66525 KSK65709:KSK66525 LCG65709:LCG66525 LMC65709:LMC66525 LVY65709:LVY66525 MFU65709:MFU66525 MPQ65709:MPQ66525 MZM65709:MZM66525 NJI65709:NJI66525 NTE65709:NTE66525 ODA65709:ODA66525 OMW65709:OMW66525 OWS65709:OWS66525 PGO65709:PGO66525 PQK65709:PQK66525 QAG65709:QAG66525 QKC65709:QKC66525 QTY65709:QTY66525 RDU65709:RDU66525 RNQ65709:RNQ66525 RXM65709:RXM66525 SHI65709:SHI66525 SRE65709:SRE66525 TBA65709:TBA66525 TKW65709:TKW66525 TUS65709:TUS66525 UEO65709:UEO66525 UOK65709:UOK66525 UYG65709:UYG66525 VIC65709:VIC66525 VRY65709:VRY66525 WBU65709:WBU66525 WLQ65709:WLQ66525 WVM65709:WVM66525 E131245:E132061 JA131245:JA132061 SW131245:SW132061 ACS131245:ACS132061 AMO131245:AMO132061 AWK131245:AWK132061 BGG131245:BGG132061 BQC131245:BQC132061 BZY131245:BZY132061 CJU131245:CJU132061 CTQ131245:CTQ132061 DDM131245:DDM132061 DNI131245:DNI132061 DXE131245:DXE132061 EHA131245:EHA132061 EQW131245:EQW132061 FAS131245:FAS132061 FKO131245:FKO132061 FUK131245:FUK132061 GEG131245:GEG132061 GOC131245:GOC132061 GXY131245:GXY132061 HHU131245:HHU132061 HRQ131245:HRQ132061 IBM131245:IBM132061 ILI131245:ILI132061 IVE131245:IVE132061 JFA131245:JFA132061 JOW131245:JOW132061 JYS131245:JYS132061 KIO131245:KIO132061 KSK131245:KSK132061 LCG131245:LCG132061 LMC131245:LMC132061 LVY131245:LVY132061 MFU131245:MFU132061 MPQ131245:MPQ132061 MZM131245:MZM132061 NJI131245:NJI132061 NTE131245:NTE132061 ODA131245:ODA132061 OMW131245:OMW132061 OWS131245:OWS132061 PGO131245:PGO132061 PQK131245:PQK132061 QAG131245:QAG132061 QKC131245:QKC132061 QTY131245:QTY132061 RDU131245:RDU132061 RNQ131245:RNQ132061 RXM131245:RXM132061 SHI131245:SHI132061 SRE131245:SRE132061 TBA131245:TBA132061 TKW131245:TKW132061 TUS131245:TUS132061 UEO131245:UEO132061 UOK131245:UOK132061 UYG131245:UYG132061 VIC131245:VIC132061 VRY131245:VRY132061 WBU131245:WBU132061 WLQ131245:WLQ132061 WVM131245:WVM132061 E196781:E197597 JA196781:JA197597 SW196781:SW197597 ACS196781:ACS197597 AMO196781:AMO197597 AWK196781:AWK197597 BGG196781:BGG197597 BQC196781:BQC197597 BZY196781:BZY197597 CJU196781:CJU197597 CTQ196781:CTQ197597 DDM196781:DDM197597 DNI196781:DNI197597 DXE196781:DXE197597 EHA196781:EHA197597 EQW196781:EQW197597 FAS196781:FAS197597 FKO196781:FKO197597 FUK196781:FUK197597 GEG196781:GEG197597 GOC196781:GOC197597 GXY196781:GXY197597 HHU196781:HHU197597 HRQ196781:HRQ197597 IBM196781:IBM197597 ILI196781:ILI197597 IVE196781:IVE197597 JFA196781:JFA197597 JOW196781:JOW197597 JYS196781:JYS197597 KIO196781:KIO197597 KSK196781:KSK197597 LCG196781:LCG197597 LMC196781:LMC197597 LVY196781:LVY197597 MFU196781:MFU197597 MPQ196781:MPQ197597 MZM196781:MZM197597 NJI196781:NJI197597 NTE196781:NTE197597 ODA196781:ODA197597 OMW196781:OMW197597 OWS196781:OWS197597 PGO196781:PGO197597 PQK196781:PQK197597 QAG196781:QAG197597 QKC196781:QKC197597 QTY196781:QTY197597 RDU196781:RDU197597 RNQ196781:RNQ197597 RXM196781:RXM197597 SHI196781:SHI197597 SRE196781:SRE197597 TBA196781:TBA197597 TKW196781:TKW197597 TUS196781:TUS197597 UEO196781:UEO197597 UOK196781:UOK197597 UYG196781:UYG197597 VIC196781:VIC197597 VRY196781:VRY197597 WBU196781:WBU197597 WLQ196781:WLQ197597 WVM196781:WVM197597 E262317:E263133 JA262317:JA263133 SW262317:SW263133 ACS262317:ACS263133 AMO262317:AMO263133 AWK262317:AWK263133 BGG262317:BGG263133 BQC262317:BQC263133 BZY262317:BZY263133 CJU262317:CJU263133 CTQ262317:CTQ263133 DDM262317:DDM263133 DNI262317:DNI263133 DXE262317:DXE263133 EHA262317:EHA263133 EQW262317:EQW263133 FAS262317:FAS263133 FKO262317:FKO263133 FUK262317:FUK263133 GEG262317:GEG263133 GOC262317:GOC263133 GXY262317:GXY263133 HHU262317:HHU263133 HRQ262317:HRQ263133 IBM262317:IBM263133 ILI262317:ILI263133 IVE262317:IVE263133 JFA262317:JFA263133 JOW262317:JOW263133 JYS262317:JYS263133 KIO262317:KIO263133 KSK262317:KSK263133 LCG262317:LCG263133 LMC262317:LMC263133 LVY262317:LVY263133 MFU262317:MFU263133 MPQ262317:MPQ263133 MZM262317:MZM263133 NJI262317:NJI263133 NTE262317:NTE263133 ODA262317:ODA263133 OMW262317:OMW263133 OWS262317:OWS263133 PGO262317:PGO263133 PQK262317:PQK263133 QAG262317:QAG263133 QKC262317:QKC263133 QTY262317:QTY263133 RDU262317:RDU263133 RNQ262317:RNQ263133 RXM262317:RXM263133 SHI262317:SHI263133 SRE262317:SRE263133 TBA262317:TBA263133 TKW262317:TKW263133 TUS262317:TUS263133 UEO262317:UEO263133 UOK262317:UOK263133 UYG262317:UYG263133 VIC262317:VIC263133 VRY262317:VRY263133 WBU262317:WBU263133 WLQ262317:WLQ263133 WVM262317:WVM263133 E327853:E328669 JA327853:JA328669 SW327853:SW328669 ACS327853:ACS328669 AMO327853:AMO328669 AWK327853:AWK328669 BGG327853:BGG328669 BQC327853:BQC328669 BZY327853:BZY328669 CJU327853:CJU328669 CTQ327853:CTQ328669 DDM327853:DDM328669 DNI327853:DNI328669 DXE327853:DXE328669 EHA327853:EHA328669 EQW327853:EQW328669 FAS327853:FAS328669 FKO327853:FKO328669 FUK327853:FUK328669 GEG327853:GEG328669 GOC327853:GOC328669 GXY327853:GXY328669 HHU327853:HHU328669 HRQ327853:HRQ328669 IBM327853:IBM328669 ILI327853:ILI328669 IVE327853:IVE328669 JFA327853:JFA328669 JOW327853:JOW328669 JYS327853:JYS328669 KIO327853:KIO328669 KSK327853:KSK328669 LCG327853:LCG328669 LMC327853:LMC328669 LVY327853:LVY328669 MFU327853:MFU328669 MPQ327853:MPQ328669 MZM327853:MZM328669 NJI327853:NJI328669 NTE327853:NTE328669 ODA327853:ODA328669 OMW327853:OMW328669 OWS327853:OWS328669 PGO327853:PGO328669 PQK327853:PQK328669 QAG327853:QAG328669 QKC327853:QKC328669 QTY327853:QTY328669 RDU327853:RDU328669 RNQ327853:RNQ328669 RXM327853:RXM328669 SHI327853:SHI328669 SRE327853:SRE328669 TBA327853:TBA328669 TKW327853:TKW328669 TUS327853:TUS328669 UEO327853:UEO328669 UOK327853:UOK328669 UYG327853:UYG328669 VIC327853:VIC328669 VRY327853:VRY328669 WBU327853:WBU328669 WLQ327853:WLQ328669 WVM327853:WVM328669 E393389:E394205 JA393389:JA394205 SW393389:SW394205 ACS393389:ACS394205 AMO393389:AMO394205 AWK393389:AWK394205 BGG393389:BGG394205 BQC393389:BQC394205 BZY393389:BZY394205 CJU393389:CJU394205 CTQ393389:CTQ394205 DDM393389:DDM394205 DNI393389:DNI394205 DXE393389:DXE394205 EHA393389:EHA394205 EQW393389:EQW394205 FAS393389:FAS394205 FKO393389:FKO394205 FUK393389:FUK394205 GEG393389:GEG394205 GOC393389:GOC394205 GXY393389:GXY394205 HHU393389:HHU394205 HRQ393389:HRQ394205 IBM393389:IBM394205 ILI393389:ILI394205 IVE393389:IVE394205 JFA393389:JFA394205 JOW393389:JOW394205 JYS393389:JYS394205 KIO393389:KIO394205 KSK393389:KSK394205 LCG393389:LCG394205 LMC393389:LMC394205 LVY393389:LVY394205 MFU393389:MFU394205 MPQ393389:MPQ394205 MZM393389:MZM394205 NJI393389:NJI394205 NTE393389:NTE394205 ODA393389:ODA394205 OMW393389:OMW394205 OWS393389:OWS394205 PGO393389:PGO394205 PQK393389:PQK394205 QAG393389:QAG394205 QKC393389:QKC394205 QTY393389:QTY394205 RDU393389:RDU394205 RNQ393389:RNQ394205 RXM393389:RXM394205 SHI393389:SHI394205 SRE393389:SRE394205 TBA393389:TBA394205 TKW393389:TKW394205 TUS393389:TUS394205 UEO393389:UEO394205 UOK393389:UOK394205 UYG393389:UYG394205 VIC393389:VIC394205 VRY393389:VRY394205 WBU393389:WBU394205 WLQ393389:WLQ394205 WVM393389:WVM394205 E458925:E459741 JA458925:JA459741 SW458925:SW459741 ACS458925:ACS459741 AMO458925:AMO459741 AWK458925:AWK459741 BGG458925:BGG459741 BQC458925:BQC459741 BZY458925:BZY459741 CJU458925:CJU459741 CTQ458925:CTQ459741 DDM458925:DDM459741 DNI458925:DNI459741 DXE458925:DXE459741 EHA458925:EHA459741 EQW458925:EQW459741 FAS458925:FAS459741 FKO458925:FKO459741 FUK458925:FUK459741 GEG458925:GEG459741 GOC458925:GOC459741 GXY458925:GXY459741 HHU458925:HHU459741 HRQ458925:HRQ459741 IBM458925:IBM459741 ILI458925:ILI459741 IVE458925:IVE459741 JFA458925:JFA459741 JOW458925:JOW459741 JYS458925:JYS459741 KIO458925:KIO459741 KSK458925:KSK459741 LCG458925:LCG459741 LMC458925:LMC459741 LVY458925:LVY459741 MFU458925:MFU459741 MPQ458925:MPQ459741 MZM458925:MZM459741 NJI458925:NJI459741 NTE458925:NTE459741 ODA458925:ODA459741 OMW458925:OMW459741 OWS458925:OWS459741 PGO458925:PGO459741 PQK458925:PQK459741 QAG458925:QAG459741 QKC458925:QKC459741 QTY458925:QTY459741 RDU458925:RDU459741 RNQ458925:RNQ459741 RXM458925:RXM459741 SHI458925:SHI459741 SRE458925:SRE459741 TBA458925:TBA459741 TKW458925:TKW459741 TUS458925:TUS459741 UEO458925:UEO459741 UOK458925:UOK459741 UYG458925:UYG459741 VIC458925:VIC459741 VRY458925:VRY459741 WBU458925:WBU459741 WLQ458925:WLQ459741 WVM458925:WVM459741 E524461:E525277 JA524461:JA525277 SW524461:SW525277 ACS524461:ACS525277 AMO524461:AMO525277 AWK524461:AWK525277 BGG524461:BGG525277 BQC524461:BQC525277 BZY524461:BZY525277 CJU524461:CJU525277 CTQ524461:CTQ525277 DDM524461:DDM525277 DNI524461:DNI525277 DXE524461:DXE525277 EHA524461:EHA525277 EQW524461:EQW525277 FAS524461:FAS525277 FKO524461:FKO525277 FUK524461:FUK525277 GEG524461:GEG525277 GOC524461:GOC525277 GXY524461:GXY525277 HHU524461:HHU525277 HRQ524461:HRQ525277 IBM524461:IBM525277 ILI524461:ILI525277 IVE524461:IVE525277 JFA524461:JFA525277 JOW524461:JOW525277 JYS524461:JYS525277 KIO524461:KIO525277 KSK524461:KSK525277 LCG524461:LCG525277 LMC524461:LMC525277 LVY524461:LVY525277 MFU524461:MFU525277 MPQ524461:MPQ525277 MZM524461:MZM525277 NJI524461:NJI525277 NTE524461:NTE525277 ODA524461:ODA525277 OMW524461:OMW525277 OWS524461:OWS525277 PGO524461:PGO525277 PQK524461:PQK525277 QAG524461:QAG525277 QKC524461:QKC525277 QTY524461:QTY525277 RDU524461:RDU525277 RNQ524461:RNQ525277 RXM524461:RXM525277 SHI524461:SHI525277 SRE524461:SRE525277 TBA524461:TBA525277 TKW524461:TKW525277 TUS524461:TUS525277 UEO524461:UEO525277 UOK524461:UOK525277 UYG524461:UYG525277 VIC524461:VIC525277 VRY524461:VRY525277 WBU524461:WBU525277 WLQ524461:WLQ525277 WVM524461:WVM525277 E589997:E590813 JA589997:JA590813 SW589997:SW590813 ACS589997:ACS590813 AMO589997:AMO590813 AWK589997:AWK590813 BGG589997:BGG590813 BQC589997:BQC590813 BZY589997:BZY590813 CJU589997:CJU590813 CTQ589997:CTQ590813 DDM589997:DDM590813 DNI589997:DNI590813 DXE589997:DXE590813 EHA589997:EHA590813 EQW589997:EQW590813 FAS589997:FAS590813 FKO589997:FKO590813 FUK589997:FUK590813 GEG589997:GEG590813 GOC589997:GOC590813 GXY589997:GXY590813 HHU589997:HHU590813 HRQ589997:HRQ590813 IBM589997:IBM590813 ILI589997:ILI590813 IVE589997:IVE590813 JFA589997:JFA590813 JOW589997:JOW590813 JYS589997:JYS590813 KIO589997:KIO590813 KSK589997:KSK590813 LCG589997:LCG590813 LMC589997:LMC590813 LVY589997:LVY590813 MFU589997:MFU590813 MPQ589997:MPQ590813 MZM589997:MZM590813 NJI589997:NJI590813 NTE589997:NTE590813 ODA589997:ODA590813 OMW589997:OMW590813 OWS589997:OWS590813 PGO589997:PGO590813 PQK589997:PQK590813 QAG589997:QAG590813 QKC589997:QKC590813 QTY589997:QTY590813 RDU589997:RDU590813 RNQ589997:RNQ590813 RXM589997:RXM590813 SHI589997:SHI590813 SRE589997:SRE590813 TBA589997:TBA590813 TKW589997:TKW590813 TUS589997:TUS590813 UEO589997:UEO590813 UOK589997:UOK590813 UYG589997:UYG590813 VIC589997:VIC590813 VRY589997:VRY590813 WBU589997:WBU590813 WLQ589997:WLQ590813 WVM589997:WVM590813 E655533:E656349 JA655533:JA656349 SW655533:SW656349 ACS655533:ACS656349 AMO655533:AMO656349 AWK655533:AWK656349 BGG655533:BGG656349 BQC655533:BQC656349 BZY655533:BZY656349 CJU655533:CJU656349 CTQ655533:CTQ656349 DDM655533:DDM656349 DNI655533:DNI656349 DXE655533:DXE656349 EHA655533:EHA656349 EQW655533:EQW656349 FAS655533:FAS656349 FKO655533:FKO656349 FUK655533:FUK656349 GEG655533:GEG656349 GOC655533:GOC656349 GXY655533:GXY656349 HHU655533:HHU656349 HRQ655533:HRQ656349 IBM655533:IBM656349 ILI655533:ILI656349 IVE655533:IVE656349 JFA655533:JFA656349 JOW655533:JOW656349 JYS655533:JYS656349 KIO655533:KIO656349 KSK655533:KSK656349 LCG655533:LCG656349 LMC655533:LMC656349 LVY655533:LVY656349 MFU655533:MFU656349 MPQ655533:MPQ656349 MZM655533:MZM656349 NJI655533:NJI656349 NTE655533:NTE656349 ODA655533:ODA656349 OMW655533:OMW656349 OWS655533:OWS656349 PGO655533:PGO656349 PQK655533:PQK656349 QAG655533:QAG656349 QKC655533:QKC656349 QTY655533:QTY656349 RDU655533:RDU656349 RNQ655533:RNQ656349 RXM655533:RXM656349 SHI655533:SHI656349 SRE655533:SRE656349 TBA655533:TBA656349 TKW655533:TKW656349 TUS655533:TUS656349 UEO655533:UEO656349 UOK655533:UOK656349 UYG655533:UYG656349 VIC655533:VIC656349 VRY655533:VRY656349 WBU655533:WBU656349 WLQ655533:WLQ656349 WVM655533:WVM656349 E721069:E721885 JA721069:JA721885 SW721069:SW721885 ACS721069:ACS721885 AMO721069:AMO721885 AWK721069:AWK721885 BGG721069:BGG721885 BQC721069:BQC721885 BZY721069:BZY721885 CJU721069:CJU721885 CTQ721069:CTQ721885 DDM721069:DDM721885 DNI721069:DNI721885 DXE721069:DXE721885 EHA721069:EHA721885 EQW721069:EQW721885 FAS721069:FAS721885 FKO721069:FKO721885 FUK721069:FUK721885 GEG721069:GEG721885 GOC721069:GOC721885 GXY721069:GXY721885 HHU721069:HHU721885 HRQ721069:HRQ721885 IBM721069:IBM721885 ILI721069:ILI721885 IVE721069:IVE721885 JFA721069:JFA721885 JOW721069:JOW721885 JYS721069:JYS721885 KIO721069:KIO721885 KSK721069:KSK721885 LCG721069:LCG721885 LMC721069:LMC721885 LVY721069:LVY721885 MFU721069:MFU721885 MPQ721069:MPQ721885 MZM721069:MZM721885 NJI721069:NJI721885 NTE721069:NTE721885 ODA721069:ODA721885 OMW721069:OMW721885 OWS721069:OWS721885 PGO721069:PGO721885 PQK721069:PQK721885 QAG721069:QAG721885 QKC721069:QKC721885 QTY721069:QTY721885 RDU721069:RDU721885 RNQ721069:RNQ721885 RXM721069:RXM721885 SHI721069:SHI721885 SRE721069:SRE721885 TBA721069:TBA721885 TKW721069:TKW721885 TUS721069:TUS721885 UEO721069:UEO721885 UOK721069:UOK721885 UYG721069:UYG721885 VIC721069:VIC721885 VRY721069:VRY721885 WBU721069:WBU721885 WLQ721069:WLQ721885 WVM721069:WVM721885 E786605:E787421 JA786605:JA787421 SW786605:SW787421 ACS786605:ACS787421 AMO786605:AMO787421 AWK786605:AWK787421 BGG786605:BGG787421 BQC786605:BQC787421 BZY786605:BZY787421 CJU786605:CJU787421 CTQ786605:CTQ787421 DDM786605:DDM787421 DNI786605:DNI787421 DXE786605:DXE787421 EHA786605:EHA787421 EQW786605:EQW787421 FAS786605:FAS787421 FKO786605:FKO787421 FUK786605:FUK787421 GEG786605:GEG787421 GOC786605:GOC787421 GXY786605:GXY787421 HHU786605:HHU787421 HRQ786605:HRQ787421 IBM786605:IBM787421 ILI786605:ILI787421 IVE786605:IVE787421 JFA786605:JFA787421 JOW786605:JOW787421 JYS786605:JYS787421 KIO786605:KIO787421 KSK786605:KSK787421 LCG786605:LCG787421 LMC786605:LMC787421 LVY786605:LVY787421 MFU786605:MFU787421 MPQ786605:MPQ787421 MZM786605:MZM787421 NJI786605:NJI787421 NTE786605:NTE787421 ODA786605:ODA787421 OMW786605:OMW787421 OWS786605:OWS787421 PGO786605:PGO787421 PQK786605:PQK787421 QAG786605:QAG787421 QKC786605:QKC787421 QTY786605:QTY787421 RDU786605:RDU787421 RNQ786605:RNQ787421 RXM786605:RXM787421 SHI786605:SHI787421 SRE786605:SRE787421 TBA786605:TBA787421 TKW786605:TKW787421 TUS786605:TUS787421 UEO786605:UEO787421 UOK786605:UOK787421 UYG786605:UYG787421 VIC786605:VIC787421 VRY786605:VRY787421 WBU786605:WBU787421 WLQ786605:WLQ787421 WVM786605:WVM787421 E852141:E852957 JA852141:JA852957 SW852141:SW852957 ACS852141:ACS852957 AMO852141:AMO852957 AWK852141:AWK852957 BGG852141:BGG852957 BQC852141:BQC852957 BZY852141:BZY852957 CJU852141:CJU852957 CTQ852141:CTQ852957 DDM852141:DDM852957 DNI852141:DNI852957 DXE852141:DXE852957 EHA852141:EHA852957 EQW852141:EQW852957 FAS852141:FAS852957 FKO852141:FKO852957 FUK852141:FUK852957 GEG852141:GEG852957 GOC852141:GOC852957 GXY852141:GXY852957 HHU852141:HHU852957 HRQ852141:HRQ852957 IBM852141:IBM852957 ILI852141:ILI852957 IVE852141:IVE852957 JFA852141:JFA852957 JOW852141:JOW852957 JYS852141:JYS852957 KIO852141:KIO852957 KSK852141:KSK852957 LCG852141:LCG852957 LMC852141:LMC852957 LVY852141:LVY852957 MFU852141:MFU852957 MPQ852141:MPQ852957 MZM852141:MZM852957 NJI852141:NJI852957 NTE852141:NTE852957 ODA852141:ODA852957 OMW852141:OMW852957 OWS852141:OWS852957 PGO852141:PGO852957 PQK852141:PQK852957 QAG852141:QAG852957 QKC852141:QKC852957 QTY852141:QTY852957 RDU852141:RDU852957 RNQ852141:RNQ852957 RXM852141:RXM852957 SHI852141:SHI852957 SRE852141:SRE852957 TBA852141:TBA852957 TKW852141:TKW852957 TUS852141:TUS852957 UEO852141:UEO852957 UOK852141:UOK852957 UYG852141:UYG852957 VIC852141:VIC852957 VRY852141:VRY852957 WBU852141:WBU852957 WLQ852141:WLQ852957 WVM852141:WVM852957 E917677:E918493 JA917677:JA918493 SW917677:SW918493 ACS917677:ACS918493 AMO917677:AMO918493 AWK917677:AWK918493 BGG917677:BGG918493 BQC917677:BQC918493 BZY917677:BZY918493 CJU917677:CJU918493 CTQ917677:CTQ918493 DDM917677:DDM918493 DNI917677:DNI918493 DXE917677:DXE918493 EHA917677:EHA918493 EQW917677:EQW918493 FAS917677:FAS918493 FKO917677:FKO918493 FUK917677:FUK918493 GEG917677:GEG918493 GOC917677:GOC918493 GXY917677:GXY918493 HHU917677:HHU918493 HRQ917677:HRQ918493 IBM917677:IBM918493 ILI917677:ILI918493 IVE917677:IVE918493 JFA917677:JFA918493 JOW917677:JOW918493 JYS917677:JYS918493 KIO917677:KIO918493 KSK917677:KSK918493 LCG917677:LCG918493 LMC917677:LMC918493 LVY917677:LVY918493 MFU917677:MFU918493 MPQ917677:MPQ918493 MZM917677:MZM918493 NJI917677:NJI918493 NTE917677:NTE918493 ODA917677:ODA918493 OMW917677:OMW918493 OWS917677:OWS918493 PGO917677:PGO918493 PQK917677:PQK918493 QAG917677:QAG918493 QKC917677:QKC918493 QTY917677:QTY918493 RDU917677:RDU918493 RNQ917677:RNQ918493 RXM917677:RXM918493 SHI917677:SHI918493 SRE917677:SRE918493 TBA917677:TBA918493 TKW917677:TKW918493 TUS917677:TUS918493 UEO917677:UEO918493 UOK917677:UOK918493 UYG917677:UYG918493 VIC917677:VIC918493 VRY917677:VRY918493 WBU917677:WBU918493 WLQ917677:WLQ918493 WVM917677:WVM918493 E983213:E984029 JA983213:JA984029 SW983213:SW984029 ACS983213:ACS984029 AMO983213:AMO984029 AWK983213:AWK984029 BGG983213:BGG984029 BQC983213:BQC984029 BZY983213:BZY984029 CJU983213:CJU984029 CTQ983213:CTQ984029 DDM983213:DDM984029 DNI983213:DNI984029 DXE983213:DXE984029 EHA983213:EHA984029 EQW983213:EQW984029 FAS983213:FAS984029 FKO983213:FKO984029 FUK983213:FUK984029 GEG983213:GEG984029 GOC983213:GOC984029 GXY983213:GXY984029 HHU983213:HHU984029 HRQ983213:HRQ984029 IBM983213:IBM984029 ILI983213:ILI984029 IVE983213:IVE984029 JFA983213:JFA984029 JOW983213:JOW984029 JYS983213:JYS984029 KIO983213:KIO984029 KSK983213:KSK984029 LCG983213:LCG984029 LMC983213:LMC984029 LVY983213:LVY984029 MFU983213:MFU984029 MPQ983213:MPQ984029 MZM983213:MZM984029 NJI983213:NJI984029 NTE983213:NTE984029 ODA983213:ODA984029 OMW983213:OMW984029 OWS983213:OWS984029 PGO983213:PGO984029 PQK983213:PQK984029 QAG983213:QAG984029 QKC983213:QKC984029 QTY983213:QTY984029 RDU983213:RDU984029 RNQ983213:RNQ984029 RXM983213:RXM984029 SHI983213:SHI984029 SRE983213:SRE984029 TBA983213:TBA984029 TKW983213:TKW984029 TUS983213:TUS984029 UEO983213:UEO984029 UOK983213:UOK984029 UYG983213:UYG984029 VIC983213:VIC984029 VRY983213:VRY984029 WBU983213:WBU984029 WLQ983213:WLQ984029 E173:E989">
      <formula1>CODE_TYPE</formula1>
    </dataValidation>
    <dataValidation type="list" showInputMessage="1" showErrorMessage="1" errorTitle="提示：" error="1.只允许点单元格右侧下拉菜单按钮来选择。_x000a_2.CH箱、柜是万能包装，适合所有的情况。" promptTitle="提示：" prompt="1.只允许点单元格右侧下拉菜单按钮来选择。_x000a_2.CH箱、柜是万能包装，适合所有的情况。" sqref="E88 JA88 SW88 ACS88 AMO88 AWK88 BGG88 BQC88 BZY88 CJU88 CTQ88 DDM88 DNI88 DXE88 EHA88 EQW88 FAS88 FKO88 FUK88 GEG88 GOC88 GXY88 HHU88 HRQ88 IBM88 ILI88 IVE88 JFA88 JOW88 JYS88 KIO88 KSK88 LCG88 LMC88 LVY88 MFU88 MPQ88 MZM88 NJI88 NTE88 ODA88 OMW88 OWS88 PGO88 PQK88 QAG88 QKC88 QTY88 RDU88 RNQ88 RXM88 SHI88 SRE88 TBA88 TKW88 TUS88 UEO88 UOK88 UYG88 VIC88 VRY88 WBU88 WLQ88 WVM88 E65674 JA65674 SW65674 ACS65674 AMO65674 AWK65674 BGG65674 BQC65674 BZY65674 CJU65674 CTQ65674 DDM65674 DNI65674 DXE65674 EHA65674 EQW65674 FAS65674 FKO65674 FUK65674 GEG65674 GOC65674 GXY65674 HHU65674 HRQ65674 IBM65674 ILI65674 IVE65674 JFA65674 JOW65674 JYS65674 KIO65674 KSK65674 LCG65674 LMC65674 LVY65674 MFU65674 MPQ65674 MZM65674 NJI65674 NTE65674 ODA65674 OMW65674 OWS65674 PGO65674 PQK65674 QAG65674 QKC65674 QTY65674 RDU65674 RNQ65674 RXM65674 SHI65674 SRE65674 TBA65674 TKW65674 TUS65674 UEO65674 UOK65674 UYG65674 VIC65674 VRY65674 WBU65674 WLQ65674 WVM65674 E131210 JA131210 SW131210 ACS131210 AMO131210 AWK131210 BGG131210 BQC131210 BZY131210 CJU131210 CTQ131210 DDM131210 DNI131210 DXE131210 EHA131210 EQW131210 FAS131210 FKO131210 FUK131210 GEG131210 GOC131210 GXY131210 HHU131210 HRQ131210 IBM131210 ILI131210 IVE131210 JFA131210 JOW131210 JYS131210 KIO131210 KSK131210 LCG131210 LMC131210 LVY131210 MFU131210 MPQ131210 MZM131210 NJI131210 NTE131210 ODA131210 OMW131210 OWS131210 PGO131210 PQK131210 QAG131210 QKC131210 QTY131210 RDU131210 RNQ131210 RXM131210 SHI131210 SRE131210 TBA131210 TKW131210 TUS131210 UEO131210 UOK131210 UYG131210 VIC131210 VRY131210 WBU131210 WLQ131210 WVM131210 E196746 JA196746 SW196746 ACS196746 AMO196746 AWK196746 BGG196746 BQC196746 BZY196746 CJU196746 CTQ196746 DDM196746 DNI196746 DXE196746 EHA196746 EQW196746 FAS196746 FKO196746 FUK196746 GEG196746 GOC196746 GXY196746 HHU196746 HRQ196746 IBM196746 ILI196746 IVE196746 JFA196746 JOW196746 JYS196746 KIO196746 KSK196746 LCG196746 LMC196746 LVY196746 MFU196746 MPQ196746 MZM196746 NJI196746 NTE196746 ODA196746 OMW196746 OWS196746 PGO196746 PQK196746 QAG196746 QKC196746 QTY196746 RDU196746 RNQ196746 RXM196746 SHI196746 SRE196746 TBA196746 TKW196746 TUS196746 UEO196746 UOK196746 UYG196746 VIC196746 VRY196746 WBU196746 WLQ196746 WVM196746 E262282 JA262282 SW262282 ACS262282 AMO262282 AWK262282 BGG262282 BQC262282 BZY262282 CJU262282 CTQ262282 DDM262282 DNI262282 DXE262282 EHA262282 EQW262282 FAS262282 FKO262282 FUK262282 GEG262282 GOC262282 GXY262282 HHU262282 HRQ262282 IBM262282 ILI262282 IVE262282 JFA262282 JOW262282 JYS262282 KIO262282 KSK262282 LCG262282 LMC262282 LVY262282 MFU262282 MPQ262282 MZM262282 NJI262282 NTE262282 ODA262282 OMW262282 OWS262282 PGO262282 PQK262282 QAG262282 QKC262282 QTY262282 RDU262282 RNQ262282 RXM262282 SHI262282 SRE262282 TBA262282 TKW262282 TUS262282 UEO262282 UOK262282 UYG262282 VIC262282 VRY262282 WBU262282 WLQ262282 WVM262282 E327818 JA327818 SW327818 ACS327818 AMO327818 AWK327818 BGG327818 BQC327818 BZY327818 CJU327818 CTQ327818 DDM327818 DNI327818 DXE327818 EHA327818 EQW327818 FAS327818 FKO327818 FUK327818 GEG327818 GOC327818 GXY327818 HHU327818 HRQ327818 IBM327818 ILI327818 IVE327818 JFA327818 JOW327818 JYS327818 KIO327818 KSK327818 LCG327818 LMC327818 LVY327818 MFU327818 MPQ327818 MZM327818 NJI327818 NTE327818 ODA327818 OMW327818 OWS327818 PGO327818 PQK327818 QAG327818 QKC327818 QTY327818 RDU327818 RNQ327818 RXM327818 SHI327818 SRE327818 TBA327818 TKW327818 TUS327818 UEO327818 UOK327818 UYG327818 VIC327818 VRY327818 WBU327818 WLQ327818 WVM327818 E393354 JA393354 SW393354 ACS393354 AMO393354 AWK393354 BGG393354 BQC393354 BZY393354 CJU393354 CTQ393354 DDM393354 DNI393354 DXE393354 EHA393354 EQW393354 FAS393354 FKO393354 FUK393354 GEG393354 GOC393354 GXY393354 HHU393354 HRQ393354 IBM393354 ILI393354 IVE393354 JFA393354 JOW393354 JYS393354 KIO393354 KSK393354 LCG393354 LMC393354 LVY393354 MFU393354 MPQ393354 MZM393354 NJI393354 NTE393354 ODA393354 OMW393354 OWS393354 PGO393354 PQK393354 QAG393354 QKC393354 QTY393354 RDU393354 RNQ393354 RXM393354 SHI393354 SRE393354 TBA393354 TKW393354 TUS393354 UEO393354 UOK393354 UYG393354 VIC393354 VRY393354 WBU393354 WLQ393354 WVM393354 E458890 JA458890 SW458890 ACS458890 AMO458890 AWK458890 BGG458890 BQC458890 BZY458890 CJU458890 CTQ458890 DDM458890 DNI458890 DXE458890 EHA458890 EQW458890 FAS458890 FKO458890 FUK458890 GEG458890 GOC458890 GXY458890 HHU458890 HRQ458890 IBM458890 ILI458890 IVE458890 JFA458890 JOW458890 JYS458890 KIO458890 KSK458890 LCG458890 LMC458890 LVY458890 MFU458890 MPQ458890 MZM458890 NJI458890 NTE458890 ODA458890 OMW458890 OWS458890 PGO458890 PQK458890 QAG458890 QKC458890 QTY458890 RDU458890 RNQ458890 RXM458890 SHI458890 SRE458890 TBA458890 TKW458890 TUS458890 UEO458890 UOK458890 UYG458890 VIC458890 VRY458890 WBU458890 WLQ458890 WVM458890 E524426 JA524426 SW524426 ACS524426 AMO524426 AWK524426 BGG524426 BQC524426 BZY524426 CJU524426 CTQ524426 DDM524426 DNI524426 DXE524426 EHA524426 EQW524426 FAS524426 FKO524426 FUK524426 GEG524426 GOC524426 GXY524426 HHU524426 HRQ524426 IBM524426 ILI524426 IVE524426 JFA524426 JOW524426 JYS524426 KIO524426 KSK524426 LCG524426 LMC524426 LVY524426 MFU524426 MPQ524426 MZM524426 NJI524426 NTE524426 ODA524426 OMW524426 OWS524426 PGO524426 PQK524426 QAG524426 QKC524426 QTY524426 RDU524426 RNQ524426 RXM524426 SHI524426 SRE524426 TBA524426 TKW524426 TUS524426 UEO524426 UOK524426 UYG524426 VIC524426 VRY524426 WBU524426 WLQ524426 WVM524426 E589962 JA589962 SW589962 ACS589962 AMO589962 AWK589962 BGG589962 BQC589962 BZY589962 CJU589962 CTQ589962 DDM589962 DNI589962 DXE589962 EHA589962 EQW589962 FAS589962 FKO589962 FUK589962 GEG589962 GOC589962 GXY589962 HHU589962 HRQ589962 IBM589962 ILI589962 IVE589962 JFA589962 JOW589962 JYS589962 KIO589962 KSK589962 LCG589962 LMC589962 LVY589962 MFU589962 MPQ589962 MZM589962 NJI589962 NTE589962 ODA589962 OMW589962 OWS589962 PGO589962 PQK589962 QAG589962 QKC589962 QTY589962 RDU589962 RNQ589962 RXM589962 SHI589962 SRE589962 TBA589962 TKW589962 TUS589962 UEO589962 UOK589962 UYG589962 VIC589962 VRY589962 WBU589962 WLQ589962 WVM589962 E655498 JA655498 SW655498 ACS655498 AMO655498 AWK655498 BGG655498 BQC655498 BZY655498 CJU655498 CTQ655498 DDM655498 DNI655498 DXE655498 EHA655498 EQW655498 FAS655498 FKO655498 FUK655498 GEG655498 GOC655498 GXY655498 HHU655498 HRQ655498 IBM655498 ILI655498 IVE655498 JFA655498 JOW655498 JYS655498 KIO655498 KSK655498 LCG655498 LMC655498 LVY655498 MFU655498 MPQ655498 MZM655498 NJI655498 NTE655498 ODA655498 OMW655498 OWS655498 PGO655498 PQK655498 QAG655498 QKC655498 QTY655498 RDU655498 RNQ655498 RXM655498 SHI655498 SRE655498 TBA655498 TKW655498 TUS655498 UEO655498 UOK655498 UYG655498 VIC655498 VRY655498 WBU655498 WLQ655498 WVM655498 E721034 JA721034 SW721034 ACS721034 AMO721034 AWK721034 BGG721034 BQC721034 BZY721034 CJU721034 CTQ721034 DDM721034 DNI721034 DXE721034 EHA721034 EQW721034 FAS721034 FKO721034 FUK721034 GEG721034 GOC721034 GXY721034 HHU721034 HRQ721034 IBM721034 ILI721034 IVE721034 JFA721034 JOW721034 JYS721034 KIO721034 KSK721034 LCG721034 LMC721034 LVY721034 MFU721034 MPQ721034 MZM721034 NJI721034 NTE721034 ODA721034 OMW721034 OWS721034 PGO721034 PQK721034 QAG721034 QKC721034 QTY721034 RDU721034 RNQ721034 RXM721034 SHI721034 SRE721034 TBA721034 TKW721034 TUS721034 UEO721034 UOK721034 UYG721034 VIC721034 VRY721034 WBU721034 WLQ721034 WVM721034 E786570 JA786570 SW786570 ACS786570 AMO786570 AWK786570 BGG786570 BQC786570 BZY786570 CJU786570 CTQ786570 DDM786570 DNI786570 DXE786570 EHA786570 EQW786570 FAS786570 FKO786570 FUK786570 GEG786570 GOC786570 GXY786570 HHU786570 HRQ786570 IBM786570 ILI786570 IVE786570 JFA786570 JOW786570 JYS786570 KIO786570 KSK786570 LCG786570 LMC786570 LVY786570 MFU786570 MPQ786570 MZM786570 NJI786570 NTE786570 ODA786570 OMW786570 OWS786570 PGO786570 PQK786570 QAG786570 QKC786570 QTY786570 RDU786570 RNQ786570 RXM786570 SHI786570 SRE786570 TBA786570 TKW786570 TUS786570 UEO786570 UOK786570 UYG786570 VIC786570 VRY786570 WBU786570 WLQ786570 WVM786570 E852106 JA852106 SW852106 ACS852106 AMO852106 AWK852106 BGG852106 BQC852106 BZY852106 CJU852106 CTQ852106 DDM852106 DNI852106 DXE852106 EHA852106 EQW852106 FAS852106 FKO852106 FUK852106 GEG852106 GOC852106 GXY852106 HHU852106 HRQ852106 IBM852106 ILI852106 IVE852106 JFA852106 JOW852106 JYS852106 KIO852106 KSK852106 LCG852106 LMC852106 LVY852106 MFU852106 MPQ852106 MZM852106 NJI852106 NTE852106 ODA852106 OMW852106 OWS852106 PGO852106 PQK852106 QAG852106 QKC852106 QTY852106 RDU852106 RNQ852106 RXM852106 SHI852106 SRE852106 TBA852106 TKW852106 TUS852106 UEO852106 UOK852106 UYG852106 VIC852106 VRY852106 WBU852106 WLQ852106 WVM852106 E917642 JA917642 SW917642 ACS917642 AMO917642 AWK917642 BGG917642 BQC917642 BZY917642 CJU917642 CTQ917642 DDM917642 DNI917642 DXE917642 EHA917642 EQW917642 FAS917642 FKO917642 FUK917642 GEG917642 GOC917642 GXY917642 HHU917642 HRQ917642 IBM917642 ILI917642 IVE917642 JFA917642 JOW917642 JYS917642 KIO917642 KSK917642 LCG917642 LMC917642 LVY917642 MFU917642 MPQ917642 MZM917642 NJI917642 NTE917642 ODA917642 OMW917642 OWS917642 PGO917642 PQK917642 QAG917642 QKC917642 QTY917642 RDU917642 RNQ917642 RXM917642 SHI917642 SRE917642 TBA917642 TKW917642 TUS917642 UEO917642 UOK917642 UYG917642 VIC917642 VRY917642 WBU917642 WLQ917642 WVM917642 E983178 JA983178 SW983178 ACS983178 AMO983178 AWK983178 BGG983178 BQC983178 BZY983178 CJU983178 CTQ983178 DDM983178 DNI983178 DXE983178 EHA983178 EQW983178 FAS983178 FKO983178 FUK983178 GEG983178 GOC983178 GXY983178 HHU983178 HRQ983178 IBM983178 ILI983178 IVE983178 JFA983178 JOW983178 JYS983178 KIO983178 KSK983178 LCG983178 LMC983178 LVY983178 MFU983178 MPQ983178 MZM983178 NJI983178 NTE983178 ODA983178 OMW983178 OWS983178 PGO983178 PQK983178 QAG983178 QKC983178 QTY983178 RDU983178 RNQ983178 RXM983178 SHI983178 SRE983178 TBA983178 TKW983178 TUS983178 UEO983178 UOK983178 UYG983178 VIC983178 VRY983178 WBU983178 WLQ983178 WVM983178">
      <formula1>"CT  纸板箱,BA  桶,PL  桶,VA  桶,SA  袋,PU  托盘,PK  包,CS  箱,CH  箱，柜,ST  薄板,SU  手提箱,SW  收缩包装,SZ  以堆/束/捆形式的薄板,TB  盆,TC  茶叶箱,TD  收缩管,TD  管可拆(收缩),TK  矩形油箱,TN  马口铁,TO  大桶,TR  衣箱,TS  捆,TU  管,TY  圆柱形油箱,TZ  以堆/束/捆形式的管,VG  散装气体(1031毫巴，15/C),VI  小玻璃瓶,VL  散装液体,"</formula1>
    </dataValidation>
    <dataValidation type="textLength" imeMode="off" allowBlank="1" showInputMessage="1" showErrorMessage="1" errorTitle="提示：" error="请输入正确柜号，4位字母+7位数字，跨境快通RD09时，填写车辆海关编号。" promptTitle="提示：" prompt="1.请输入正确柜号，4位字母+7位数字。_x000a_2.一车一柜多票的情况，每个提运单后的柜号都应相同。_x000a_3.一车二柜（20尺）单票的情况，一个提运单对应两个不同的柜号。_x000a_4.一车二柜（20尺）多票的情况，提运单与柜号的关系是一对多或多对多。_x000a_5.多车多柜的情况，提运单与柜号的关系是一对多或多对多。" sqref="WVJ983180:WVJ983210 B65676:B65706 IX65676:IX65706 ST65676:ST65706 ACP65676:ACP65706 AML65676:AML65706 AWH65676:AWH65706 BGD65676:BGD65706 BPZ65676:BPZ65706 BZV65676:BZV65706 CJR65676:CJR65706 CTN65676:CTN65706 DDJ65676:DDJ65706 DNF65676:DNF65706 DXB65676:DXB65706 EGX65676:EGX65706 EQT65676:EQT65706 FAP65676:FAP65706 FKL65676:FKL65706 FUH65676:FUH65706 GED65676:GED65706 GNZ65676:GNZ65706 GXV65676:GXV65706 HHR65676:HHR65706 HRN65676:HRN65706 IBJ65676:IBJ65706 ILF65676:ILF65706 IVB65676:IVB65706 JEX65676:JEX65706 JOT65676:JOT65706 JYP65676:JYP65706 KIL65676:KIL65706 KSH65676:KSH65706 LCD65676:LCD65706 LLZ65676:LLZ65706 LVV65676:LVV65706 MFR65676:MFR65706 MPN65676:MPN65706 MZJ65676:MZJ65706 NJF65676:NJF65706 NTB65676:NTB65706 OCX65676:OCX65706 OMT65676:OMT65706 OWP65676:OWP65706 PGL65676:PGL65706 PQH65676:PQH65706 QAD65676:QAD65706 QJZ65676:QJZ65706 QTV65676:QTV65706 RDR65676:RDR65706 RNN65676:RNN65706 RXJ65676:RXJ65706 SHF65676:SHF65706 SRB65676:SRB65706 TAX65676:TAX65706 TKT65676:TKT65706 TUP65676:TUP65706 UEL65676:UEL65706 UOH65676:UOH65706 UYD65676:UYD65706 VHZ65676:VHZ65706 VRV65676:VRV65706 WBR65676:WBR65706 WLN65676:WLN65706 WVJ65676:WVJ65706 B131212:B131242 IX131212:IX131242 ST131212:ST131242 ACP131212:ACP131242 AML131212:AML131242 AWH131212:AWH131242 BGD131212:BGD131242 BPZ131212:BPZ131242 BZV131212:BZV131242 CJR131212:CJR131242 CTN131212:CTN131242 DDJ131212:DDJ131242 DNF131212:DNF131242 DXB131212:DXB131242 EGX131212:EGX131242 EQT131212:EQT131242 FAP131212:FAP131242 FKL131212:FKL131242 FUH131212:FUH131242 GED131212:GED131242 GNZ131212:GNZ131242 GXV131212:GXV131242 HHR131212:HHR131242 HRN131212:HRN131242 IBJ131212:IBJ131242 ILF131212:ILF131242 IVB131212:IVB131242 JEX131212:JEX131242 JOT131212:JOT131242 JYP131212:JYP131242 KIL131212:KIL131242 KSH131212:KSH131242 LCD131212:LCD131242 LLZ131212:LLZ131242 LVV131212:LVV131242 MFR131212:MFR131242 MPN131212:MPN131242 MZJ131212:MZJ131242 NJF131212:NJF131242 NTB131212:NTB131242 OCX131212:OCX131242 OMT131212:OMT131242 OWP131212:OWP131242 PGL131212:PGL131242 PQH131212:PQH131242 QAD131212:QAD131242 QJZ131212:QJZ131242 QTV131212:QTV131242 RDR131212:RDR131242 RNN131212:RNN131242 RXJ131212:RXJ131242 SHF131212:SHF131242 SRB131212:SRB131242 TAX131212:TAX131242 TKT131212:TKT131242 TUP131212:TUP131242 UEL131212:UEL131242 UOH131212:UOH131242 UYD131212:UYD131242 VHZ131212:VHZ131242 VRV131212:VRV131242 WBR131212:WBR131242 WLN131212:WLN131242 WVJ131212:WVJ131242 B196748:B196778 IX196748:IX196778 ST196748:ST196778 ACP196748:ACP196778 AML196748:AML196778 AWH196748:AWH196778 BGD196748:BGD196778 BPZ196748:BPZ196778 BZV196748:BZV196778 CJR196748:CJR196778 CTN196748:CTN196778 DDJ196748:DDJ196778 DNF196748:DNF196778 DXB196748:DXB196778 EGX196748:EGX196778 EQT196748:EQT196778 FAP196748:FAP196778 FKL196748:FKL196778 FUH196748:FUH196778 GED196748:GED196778 GNZ196748:GNZ196778 GXV196748:GXV196778 HHR196748:HHR196778 HRN196748:HRN196778 IBJ196748:IBJ196778 ILF196748:ILF196778 IVB196748:IVB196778 JEX196748:JEX196778 JOT196748:JOT196778 JYP196748:JYP196778 KIL196748:KIL196778 KSH196748:KSH196778 LCD196748:LCD196778 LLZ196748:LLZ196778 LVV196748:LVV196778 MFR196748:MFR196778 MPN196748:MPN196778 MZJ196748:MZJ196778 NJF196748:NJF196778 NTB196748:NTB196778 OCX196748:OCX196778 OMT196748:OMT196778 OWP196748:OWP196778 PGL196748:PGL196778 PQH196748:PQH196778 QAD196748:QAD196778 QJZ196748:QJZ196778 QTV196748:QTV196778 RDR196748:RDR196778 RNN196748:RNN196778 RXJ196748:RXJ196778 SHF196748:SHF196778 SRB196748:SRB196778 TAX196748:TAX196778 TKT196748:TKT196778 TUP196748:TUP196778 UEL196748:UEL196778 UOH196748:UOH196778 UYD196748:UYD196778 VHZ196748:VHZ196778 VRV196748:VRV196778 WBR196748:WBR196778 WLN196748:WLN196778 WVJ196748:WVJ196778 B262284:B262314 IX262284:IX262314 ST262284:ST262314 ACP262284:ACP262314 AML262284:AML262314 AWH262284:AWH262314 BGD262284:BGD262314 BPZ262284:BPZ262314 BZV262284:BZV262314 CJR262284:CJR262314 CTN262284:CTN262314 DDJ262284:DDJ262314 DNF262284:DNF262314 DXB262284:DXB262314 EGX262284:EGX262314 EQT262284:EQT262314 FAP262284:FAP262314 FKL262284:FKL262314 FUH262284:FUH262314 GED262284:GED262314 GNZ262284:GNZ262314 GXV262284:GXV262314 HHR262284:HHR262314 HRN262284:HRN262314 IBJ262284:IBJ262314 ILF262284:ILF262314 IVB262284:IVB262314 JEX262284:JEX262314 JOT262284:JOT262314 JYP262284:JYP262314 KIL262284:KIL262314 KSH262284:KSH262314 LCD262284:LCD262314 LLZ262284:LLZ262314 LVV262284:LVV262314 MFR262284:MFR262314 MPN262284:MPN262314 MZJ262284:MZJ262314 NJF262284:NJF262314 NTB262284:NTB262314 OCX262284:OCX262314 OMT262284:OMT262314 OWP262284:OWP262314 PGL262284:PGL262314 PQH262284:PQH262314 QAD262284:QAD262314 QJZ262284:QJZ262314 QTV262284:QTV262314 RDR262284:RDR262314 RNN262284:RNN262314 RXJ262284:RXJ262314 SHF262284:SHF262314 SRB262284:SRB262314 TAX262284:TAX262314 TKT262284:TKT262314 TUP262284:TUP262314 UEL262284:UEL262314 UOH262284:UOH262314 UYD262284:UYD262314 VHZ262284:VHZ262314 VRV262284:VRV262314 WBR262284:WBR262314 WLN262284:WLN262314 WVJ262284:WVJ262314 B327820:B327850 IX327820:IX327850 ST327820:ST327850 ACP327820:ACP327850 AML327820:AML327850 AWH327820:AWH327850 BGD327820:BGD327850 BPZ327820:BPZ327850 BZV327820:BZV327850 CJR327820:CJR327850 CTN327820:CTN327850 DDJ327820:DDJ327850 DNF327820:DNF327850 DXB327820:DXB327850 EGX327820:EGX327850 EQT327820:EQT327850 FAP327820:FAP327850 FKL327820:FKL327850 FUH327820:FUH327850 GED327820:GED327850 GNZ327820:GNZ327850 GXV327820:GXV327850 HHR327820:HHR327850 HRN327820:HRN327850 IBJ327820:IBJ327850 ILF327820:ILF327850 IVB327820:IVB327850 JEX327820:JEX327850 JOT327820:JOT327850 JYP327820:JYP327850 KIL327820:KIL327850 KSH327820:KSH327850 LCD327820:LCD327850 LLZ327820:LLZ327850 LVV327820:LVV327850 MFR327820:MFR327850 MPN327820:MPN327850 MZJ327820:MZJ327850 NJF327820:NJF327850 NTB327820:NTB327850 OCX327820:OCX327850 OMT327820:OMT327850 OWP327820:OWP327850 PGL327820:PGL327850 PQH327820:PQH327850 QAD327820:QAD327850 QJZ327820:QJZ327850 QTV327820:QTV327850 RDR327820:RDR327850 RNN327820:RNN327850 RXJ327820:RXJ327850 SHF327820:SHF327850 SRB327820:SRB327850 TAX327820:TAX327850 TKT327820:TKT327850 TUP327820:TUP327850 UEL327820:UEL327850 UOH327820:UOH327850 UYD327820:UYD327850 VHZ327820:VHZ327850 VRV327820:VRV327850 WBR327820:WBR327850 WLN327820:WLN327850 WVJ327820:WVJ327850 B393356:B393386 IX393356:IX393386 ST393356:ST393386 ACP393356:ACP393386 AML393356:AML393386 AWH393356:AWH393386 BGD393356:BGD393386 BPZ393356:BPZ393386 BZV393356:BZV393386 CJR393356:CJR393386 CTN393356:CTN393386 DDJ393356:DDJ393386 DNF393356:DNF393386 DXB393356:DXB393386 EGX393356:EGX393386 EQT393356:EQT393386 FAP393356:FAP393386 FKL393356:FKL393386 FUH393356:FUH393386 GED393356:GED393386 GNZ393356:GNZ393386 GXV393356:GXV393386 HHR393356:HHR393386 HRN393356:HRN393386 IBJ393356:IBJ393386 ILF393356:ILF393386 IVB393356:IVB393386 JEX393356:JEX393386 JOT393356:JOT393386 JYP393356:JYP393386 KIL393356:KIL393386 KSH393356:KSH393386 LCD393356:LCD393386 LLZ393356:LLZ393386 LVV393356:LVV393386 MFR393356:MFR393386 MPN393356:MPN393386 MZJ393356:MZJ393386 NJF393356:NJF393386 NTB393356:NTB393386 OCX393356:OCX393386 OMT393356:OMT393386 OWP393356:OWP393386 PGL393356:PGL393386 PQH393356:PQH393386 QAD393356:QAD393386 QJZ393356:QJZ393386 QTV393356:QTV393386 RDR393356:RDR393386 RNN393356:RNN393386 RXJ393356:RXJ393386 SHF393356:SHF393386 SRB393356:SRB393386 TAX393356:TAX393386 TKT393356:TKT393386 TUP393356:TUP393386 UEL393356:UEL393386 UOH393356:UOH393386 UYD393356:UYD393386 VHZ393356:VHZ393386 VRV393356:VRV393386 WBR393356:WBR393386 WLN393356:WLN393386 WVJ393356:WVJ393386 B458892:B458922 IX458892:IX458922 ST458892:ST458922 ACP458892:ACP458922 AML458892:AML458922 AWH458892:AWH458922 BGD458892:BGD458922 BPZ458892:BPZ458922 BZV458892:BZV458922 CJR458892:CJR458922 CTN458892:CTN458922 DDJ458892:DDJ458922 DNF458892:DNF458922 DXB458892:DXB458922 EGX458892:EGX458922 EQT458892:EQT458922 FAP458892:FAP458922 FKL458892:FKL458922 FUH458892:FUH458922 GED458892:GED458922 GNZ458892:GNZ458922 GXV458892:GXV458922 HHR458892:HHR458922 HRN458892:HRN458922 IBJ458892:IBJ458922 ILF458892:ILF458922 IVB458892:IVB458922 JEX458892:JEX458922 JOT458892:JOT458922 JYP458892:JYP458922 KIL458892:KIL458922 KSH458892:KSH458922 LCD458892:LCD458922 LLZ458892:LLZ458922 LVV458892:LVV458922 MFR458892:MFR458922 MPN458892:MPN458922 MZJ458892:MZJ458922 NJF458892:NJF458922 NTB458892:NTB458922 OCX458892:OCX458922 OMT458892:OMT458922 OWP458892:OWP458922 PGL458892:PGL458922 PQH458892:PQH458922 QAD458892:QAD458922 QJZ458892:QJZ458922 QTV458892:QTV458922 RDR458892:RDR458922 RNN458892:RNN458922 RXJ458892:RXJ458922 SHF458892:SHF458922 SRB458892:SRB458922 TAX458892:TAX458922 TKT458892:TKT458922 TUP458892:TUP458922 UEL458892:UEL458922 UOH458892:UOH458922 UYD458892:UYD458922 VHZ458892:VHZ458922 VRV458892:VRV458922 WBR458892:WBR458922 WLN458892:WLN458922 WVJ458892:WVJ458922 B524428:B524458 IX524428:IX524458 ST524428:ST524458 ACP524428:ACP524458 AML524428:AML524458 AWH524428:AWH524458 BGD524428:BGD524458 BPZ524428:BPZ524458 BZV524428:BZV524458 CJR524428:CJR524458 CTN524428:CTN524458 DDJ524428:DDJ524458 DNF524428:DNF524458 DXB524428:DXB524458 EGX524428:EGX524458 EQT524428:EQT524458 FAP524428:FAP524458 FKL524428:FKL524458 FUH524428:FUH524458 GED524428:GED524458 GNZ524428:GNZ524458 GXV524428:GXV524458 HHR524428:HHR524458 HRN524428:HRN524458 IBJ524428:IBJ524458 ILF524428:ILF524458 IVB524428:IVB524458 JEX524428:JEX524458 JOT524428:JOT524458 JYP524428:JYP524458 KIL524428:KIL524458 KSH524428:KSH524458 LCD524428:LCD524458 LLZ524428:LLZ524458 LVV524428:LVV524458 MFR524428:MFR524458 MPN524428:MPN524458 MZJ524428:MZJ524458 NJF524428:NJF524458 NTB524428:NTB524458 OCX524428:OCX524458 OMT524428:OMT524458 OWP524428:OWP524458 PGL524428:PGL524458 PQH524428:PQH524458 QAD524428:QAD524458 QJZ524428:QJZ524458 QTV524428:QTV524458 RDR524428:RDR524458 RNN524428:RNN524458 RXJ524428:RXJ524458 SHF524428:SHF524458 SRB524428:SRB524458 TAX524428:TAX524458 TKT524428:TKT524458 TUP524428:TUP524458 UEL524428:UEL524458 UOH524428:UOH524458 UYD524428:UYD524458 VHZ524428:VHZ524458 VRV524428:VRV524458 WBR524428:WBR524458 WLN524428:WLN524458 WVJ524428:WVJ524458 B589964:B589994 IX589964:IX589994 ST589964:ST589994 ACP589964:ACP589994 AML589964:AML589994 AWH589964:AWH589994 BGD589964:BGD589994 BPZ589964:BPZ589994 BZV589964:BZV589994 CJR589964:CJR589994 CTN589964:CTN589994 DDJ589964:DDJ589994 DNF589964:DNF589994 DXB589964:DXB589994 EGX589964:EGX589994 EQT589964:EQT589994 FAP589964:FAP589994 FKL589964:FKL589994 FUH589964:FUH589994 GED589964:GED589994 GNZ589964:GNZ589994 GXV589964:GXV589994 HHR589964:HHR589994 HRN589964:HRN589994 IBJ589964:IBJ589994 ILF589964:ILF589994 IVB589964:IVB589994 JEX589964:JEX589994 JOT589964:JOT589994 JYP589964:JYP589994 KIL589964:KIL589994 KSH589964:KSH589994 LCD589964:LCD589994 LLZ589964:LLZ589994 LVV589964:LVV589994 MFR589964:MFR589994 MPN589964:MPN589994 MZJ589964:MZJ589994 NJF589964:NJF589994 NTB589964:NTB589994 OCX589964:OCX589994 OMT589964:OMT589994 OWP589964:OWP589994 PGL589964:PGL589994 PQH589964:PQH589994 QAD589964:QAD589994 QJZ589964:QJZ589994 QTV589964:QTV589994 RDR589964:RDR589994 RNN589964:RNN589994 RXJ589964:RXJ589994 SHF589964:SHF589994 SRB589964:SRB589994 TAX589964:TAX589994 TKT589964:TKT589994 TUP589964:TUP589994 UEL589964:UEL589994 UOH589964:UOH589994 UYD589964:UYD589994 VHZ589964:VHZ589994 VRV589964:VRV589994 WBR589964:WBR589994 WLN589964:WLN589994 WVJ589964:WVJ589994 B655500:B655530 IX655500:IX655530 ST655500:ST655530 ACP655500:ACP655530 AML655500:AML655530 AWH655500:AWH655530 BGD655500:BGD655530 BPZ655500:BPZ655530 BZV655500:BZV655530 CJR655500:CJR655530 CTN655500:CTN655530 DDJ655500:DDJ655530 DNF655500:DNF655530 DXB655500:DXB655530 EGX655500:EGX655530 EQT655500:EQT655530 FAP655500:FAP655530 FKL655500:FKL655530 FUH655500:FUH655530 GED655500:GED655530 GNZ655500:GNZ655530 GXV655500:GXV655530 HHR655500:HHR655530 HRN655500:HRN655530 IBJ655500:IBJ655530 ILF655500:ILF655530 IVB655500:IVB655530 JEX655500:JEX655530 JOT655500:JOT655530 JYP655500:JYP655530 KIL655500:KIL655530 KSH655500:KSH655530 LCD655500:LCD655530 LLZ655500:LLZ655530 LVV655500:LVV655530 MFR655500:MFR655530 MPN655500:MPN655530 MZJ655500:MZJ655530 NJF655500:NJF655530 NTB655500:NTB655530 OCX655500:OCX655530 OMT655500:OMT655530 OWP655500:OWP655530 PGL655500:PGL655530 PQH655500:PQH655530 QAD655500:QAD655530 QJZ655500:QJZ655530 QTV655500:QTV655530 RDR655500:RDR655530 RNN655500:RNN655530 RXJ655500:RXJ655530 SHF655500:SHF655530 SRB655500:SRB655530 TAX655500:TAX655530 TKT655500:TKT655530 TUP655500:TUP655530 UEL655500:UEL655530 UOH655500:UOH655530 UYD655500:UYD655530 VHZ655500:VHZ655530 VRV655500:VRV655530 WBR655500:WBR655530 WLN655500:WLN655530 WVJ655500:WVJ655530 B721036:B721066 IX721036:IX721066 ST721036:ST721066 ACP721036:ACP721066 AML721036:AML721066 AWH721036:AWH721066 BGD721036:BGD721066 BPZ721036:BPZ721066 BZV721036:BZV721066 CJR721036:CJR721066 CTN721036:CTN721066 DDJ721036:DDJ721066 DNF721036:DNF721066 DXB721036:DXB721066 EGX721036:EGX721066 EQT721036:EQT721066 FAP721036:FAP721066 FKL721036:FKL721066 FUH721036:FUH721066 GED721036:GED721066 GNZ721036:GNZ721066 GXV721036:GXV721066 HHR721036:HHR721066 HRN721036:HRN721066 IBJ721036:IBJ721066 ILF721036:ILF721066 IVB721036:IVB721066 JEX721036:JEX721066 JOT721036:JOT721066 JYP721036:JYP721066 KIL721036:KIL721066 KSH721036:KSH721066 LCD721036:LCD721066 LLZ721036:LLZ721066 LVV721036:LVV721066 MFR721036:MFR721066 MPN721036:MPN721066 MZJ721036:MZJ721066 NJF721036:NJF721066 NTB721036:NTB721066 OCX721036:OCX721066 OMT721036:OMT721066 OWP721036:OWP721066 PGL721036:PGL721066 PQH721036:PQH721066 QAD721036:QAD721066 QJZ721036:QJZ721066 QTV721036:QTV721066 RDR721036:RDR721066 RNN721036:RNN721066 RXJ721036:RXJ721066 SHF721036:SHF721066 SRB721036:SRB721066 TAX721036:TAX721066 TKT721036:TKT721066 TUP721036:TUP721066 UEL721036:UEL721066 UOH721036:UOH721066 UYD721036:UYD721066 VHZ721036:VHZ721066 VRV721036:VRV721066 WBR721036:WBR721066 WLN721036:WLN721066 WVJ721036:WVJ721066 B786572:B786602 IX786572:IX786602 ST786572:ST786602 ACP786572:ACP786602 AML786572:AML786602 AWH786572:AWH786602 BGD786572:BGD786602 BPZ786572:BPZ786602 BZV786572:BZV786602 CJR786572:CJR786602 CTN786572:CTN786602 DDJ786572:DDJ786602 DNF786572:DNF786602 DXB786572:DXB786602 EGX786572:EGX786602 EQT786572:EQT786602 FAP786572:FAP786602 FKL786572:FKL786602 FUH786572:FUH786602 GED786572:GED786602 GNZ786572:GNZ786602 GXV786572:GXV786602 HHR786572:HHR786602 HRN786572:HRN786602 IBJ786572:IBJ786602 ILF786572:ILF786602 IVB786572:IVB786602 JEX786572:JEX786602 JOT786572:JOT786602 JYP786572:JYP786602 KIL786572:KIL786602 KSH786572:KSH786602 LCD786572:LCD786602 LLZ786572:LLZ786602 LVV786572:LVV786602 MFR786572:MFR786602 MPN786572:MPN786602 MZJ786572:MZJ786602 NJF786572:NJF786602 NTB786572:NTB786602 OCX786572:OCX786602 OMT786572:OMT786602 OWP786572:OWP786602 PGL786572:PGL786602 PQH786572:PQH786602 QAD786572:QAD786602 QJZ786572:QJZ786602 QTV786572:QTV786602 RDR786572:RDR786602 RNN786572:RNN786602 RXJ786572:RXJ786602 SHF786572:SHF786602 SRB786572:SRB786602 TAX786572:TAX786602 TKT786572:TKT786602 TUP786572:TUP786602 UEL786572:UEL786602 UOH786572:UOH786602 UYD786572:UYD786602 VHZ786572:VHZ786602 VRV786572:VRV786602 WBR786572:WBR786602 WLN786572:WLN786602 WVJ786572:WVJ786602 B852108:B852138 IX852108:IX852138 ST852108:ST852138 ACP852108:ACP852138 AML852108:AML852138 AWH852108:AWH852138 BGD852108:BGD852138 BPZ852108:BPZ852138 BZV852108:BZV852138 CJR852108:CJR852138 CTN852108:CTN852138 DDJ852108:DDJ852138 DNF852108:DNF852138 DXB852108:DXB852138 EGX852108:EGX852138 EQT852108:EQT852138 FAP852108:FAP852138 FKL852108:FKL852138 FUH852108:FUH852138 GED852108:GED852138 GNZ852108:GNZ852138 GXV852108:GXV852138 HHR852108:HHR852138 HRN852108:HRN852138 IBJ852108:IBJ852138 ILF852108:ILF852138 IVB852108:IVB852138 JEX852108:JEX852138 JOT852108:JOT852138 JYP852108:JYP852138 KIL852108:KIL852138 KSH852108:KSH852138 LCD852108:LCD852138 LLZ852108:LLZ852138 LVV852108:LVV852138 MFR852108:MFR852138 MPN852108:MPN852138 MZJ852108:MZJ852138 NJF852108:NJF852138 NTB852108:NTB852138 OCX852108:OCX852138 OMT852108:OMT852138 OWP852108:OWP852138 PGL852108:PGL852138 PQH852108:PQH852138 QAD852108:QAD852138 QJZ852108:QJZ852138 QTV852108:QTV852138 RDR852108:RDR852138 RNN852108:RNN852138 RXJ852108:RXJ852138 SHF852108:SHF852138 SRB852108:SRB852138 TAX852108:TAX852138 TKT852108:TKT852138 TUP852108:TUP852138 UEL852108:UEL852138 UOH852108:UOH852138 UYD852108:UYD852138 VHZ852108:VHZ852138 VRV852108:VRV852138 WBR852108:WBR852138 WLN852108:WLN852138 WVJ852108:WVJ852138 B917644:B917674 IX917644:IX917674 ST917644:ST917674 ACP917644:ACP917674 AML917644:AML917674 AWH917644:AWH917674 BGD917644:BGD917674 BPZ917644:BPZ917674 BZV917644:BZV917674 CJR917644:CJR917674 CTN917644:CTN917674 DDJ917644:DDJ917674 DNF917644:DNF917674 DXB917644:DXB917674 EGX917644:EGX917674 EQT917644:EQT917674 FAP917644:FAP917674 FKL917644:FKL917674 FUH917644:FUH917674 GED917644:GED917674 GNZ917644:GNZ917674 GXV917644:GXV917674 HHR917644:HHR917674 HRN917644:HRN917674 IBJ917644:IBJ917674 ILF917644:ILF917674 IVB917644:IVB917674 JEX917644:JEX917674 JOT917644:JOT917674 JYP917644:JYP917674 KIL917644:KIL917674 KSH917644:KSH917674 LCD917644:LCD917674 LLZ917644:LLZ917674 LVV917644:LVV917674 MFR917644:MFR917674 MPN917644:MPN917674 MZJ917644:MZJ917674 NJF917644:NJF917674 NTB917644:NTB917674 OCX917644:OCX917674 OMT917644:OMT917674 OWP917644:OWP917674 PGL917644:PGL917674 PQH917644:PQH917674 QAD917644:QAD917674 QJZ917644:QJZ917674 QTV917644:QTV917674 RDR917644:RDR917674 RNN917644:RNN917674 RXJ917644:RXJ917674 SHF917644:SHF917674 SRB917644:SRB917674 TAX917644:TAX917674 TKT917644:TKT917674 TUP917644:TUP917674 UEL917644:UEL917674 UOH917644:UOH917674 UYD917644:UYD917674 VHZ917644:VHZ917674 VRV917644:VRV917674 WBR917644:WBR917674 WLN917644:WLN917674 WVJ917644:WVJ917674 B983180:B983210 IX983180:IX983210 ST983180:ST983210 ACP983180:ACP983210 AML983180:AML983210 AWH983180:AWH983210 BGD983180:BGD983210 BPZ983180:BPZ983210 BZV983180:BZV983210 CJR983180:CJR983210 CTN983180:CTN983210 DDJ983180:DDJ983210 DNF983180:DNF983210 DXB983180:DXB983210 EGX983180:EGX983210 EQT983180:EQT983210 FAP983180:FAP983210 FKL983180:FKL983210 FUH983180:FUH983210 GED983180:GED983210 GNZ983180:GNZ983210 GXV983180:GXV983210 HHR983180:HHR983210 HRN983180:HRN983210 IBJ983180:IBJ983210 ILF983180:ILF983210 IVB983180:IVB983210 JEX983180:JEX983210 JOT983180:JOT983210 JYP983180:JYP983210 KIL983180:KIL983210 KSH983180:KSH983210 LCD983180:LCD983210 LLZ983180:LLZ983210 LVV983180:LVV983210 MFR983180:MFR983210 MPN983180:MPN983210 MZJ983180:MZJ983210 NJF983180:NJF983210 NTB983180:NTB983210 OCX983180:OCX983210 OMT983180:OMT983210 OWP983180:OWP983210 PGL983180:PGL983210 PQH983180:PQH983210 QAD983180:QAD983210 QJZ983180:QJZ983210 QTV983180:QTV983210 RDR983180:RDR983210 RNN983180:RNN983210 RXJ983180:RXJ983210 SHF983180:SHF983210 SRB983180:SRB983210 TAX983180:TAX983210 TKT983180:TKT983210 TUP983180:TUP983210 UEL983180:UEL983210 UOH983180:UOH983210 UYD983180:UYD983210 VHZ983180:VHZ983210 VRV983180:VRV983210 WBR983180:WBR983210 WLN983180:WLN983210 IX90:IX170 WVJ90:WVJ170 WLN90:WLN170 WBR90:WBR170 VRV90:VRV170 VHZ90:VHZ170 UYD90:UYD170 UOH90:UOH170 UEL90:UEL170 TUP90:TUP170 TKT90:TKT170 TAX90:TAX170 SRB90:SRB170 SHF90:SHF170 RXJ90:RXJ170 RNN90:RNN170 RDR90:RDR170 QTV90:QTV170 QJZ90:QJZ170 QAD90:QAD170 PQH90:PQH170 PGL90:PGL170 OWP90:OWP170 OMT90:OMT170 OCX90:OCX170 NTB90:NTB170 NJF90:NJF170 MZJ90:MZJ170 MPN90:MPN170 MFR90:MFR170 LVV90:LVV170 LLZ90:LLZ170 LCD90:LCD170 KSH90:KSH170 KIL90:KIL170 JYP90:JYP170 JOT90:JOT170 JEX90:JEX170 IVB90:IVB170 ILF90:ILF170 IBJ90:IBJ170 HRN90:HRN170 HHR90:HHR170 GXV90:GXV170 GNZ90:GNZ170 GED90:GED170 FUH90:FUH170 FKL90:FKL170 FAP90:FAP170 EQT90:EQT170 EGX90:EGX170 DXB90:DXB170 DNF90:DNF170 DDJ90:DDJ170 CTN90:CTN170 CJR90:CJR170 BZV90:BZV170 BPZ90:BPZ170 BGD90:BGD170 AWH90:AWH170 AML90:AML170 ACP90:ACP170 ST90:ST170">
      <formula1>6</formula1>
      <formula2>11</formula2>
    </dataValidation>
    <dataValidation type="list" allowBlank="1" showInputMessage="1" showErrorMessage="1" sqref="WVX983146:WVX983177 P65642:P65673 JL65642:JL65673 TH65642:TH65673 ADD65642:ADD65673 AMZ65642:AMZ65673 AWV65642:AWV65673 BGR65642:BGR65673 BQN65642:BQN65673 CAJ65642:CAJ65673 CKF65642:CKF65673 CUB65642:CUB65673 DDX65642:DDX65673 DNT65642:DNT65673 DXP65642:DXP65673 EHL65642:EHL65673 ERH65642:ERH65673 FBD65642:FBD65673 FKZ65642:FKZ65673 FUV65642:FUV65673 GER65642:GER65673 GON65642:GON65673 GYJ65642:GYJ65673 HIF65642:HIF65673 HSB65642:HSB65673 IBX65642:IBX65673 ILT65642:ILT65673 IVP65642:IVP65673 JFL65642:JFL65673 JPH65642:JPH65673 JZD65642:JZD65673 KIZ65642:KIZ65673 KSV65642:KSV65673 LCR65642:LCR65673 LMN65642:LMN65673 LWJ65642:LWJ65673 MGF65642:MGF65673 MQB65642:MQB65673 MZX65642:MZX65673 NJT65642:NJT65673 NTP65642:NTP65673 ODL65642:ODL65673 ONH65642:ONH65673 OXD65642:OXD65673 PGZ65642:PGZ65673 PQV65642:PQV65673 QAR65642:QAR65673 QKN65642:QKN65673 QUJ65642:QUJ65673 REF65642:REF65673 ROB65642:ROB65673 RXX65642:RXX65673 SHT65642:SHT65673 SRP65642:SRP65673 TBL65642:TBL65673 TLH65642:TLH65673 TVD65642:TVD65673 UEZ65642:UEZ65673 UOV65642:UOV65673 UYR65642:UYR65673 VIN65642:VIN65673 VSJ65642:VSJ65673 WCF65642:WCF65673 WMB65642:WMB65673 WVX65642:WVX65673 P131178:P131209 JL131178:JL131209 TH131178:TH131209 ADD131178:ADD131209 AMZ131178:AMZ131209 AWV131178:AWV131209 BGR131178:BGR131209 BQN131178:BQN131209 CAJ131178:CAJ131209 CKF131178:CKF131209 CUB131178:CUB131209 DDX131178:DDX131209 DNT131178:DNT131209 DXP131178:DXP131209 EHL131178:EHL131209 ERH131178:ERH131209 FBD131178:FBD131209 FKZ131178:FKZ131209 FUV131178:FUV131209 GER131178:GER131209 GON131178:GON131209 GYJ131178:GYJ131209 HIF131178:HIF131209 HSB131178:HSB131209 IBX131178:IBX131209 ILT131178:ILT131209 IVP131178:IVP131209 JFL131178:JFL131209 JPH131178:JPH131209 JZD131178:JZD131209 KIZ131178:KIZ131209 KSV131178:KSV131209 LCR131178:LCR131209 LMN131178:LMN131209 LWJ131178:LWJ131209 MGF131178:MGF131209 MQB131178:MQB131209 MZX131178:MZX131209 NJT131178:NJT131209 NTP131178:NTP131209 ODL131178:ODL131209 ONH131178:ONH131209 OXD131178:OXD131209 PGZ131178:PGZ131209 PQV131178:PQV131209 QAR131178:QAR131209 QKN131178:QKN131209 QUJ131178:QUJ131209 REF131178:REF131209 ROB131178:ROB131209 RXX131178:RXX131209 SHT131178:SHT131209 SRP131178:SRP131209 TBL131178:TBL131209 TLH131178:TLH131209 TVD131178:TVD131209 UEZ131178:UEZ131209 UOV131178:UOV131209 UYR131178:UYR131209 VIN131178:VIN131209 VSJ131178:VSJ131209 WCF131178:WCF131209 WMB131178:WMB131209 WVX131178:WVX131209 P196714:P196745 JL196714:JL196745 TH196714:TH196745 ADD196714:ADD196745 AMZ196714:AMZ196745 AWV196714:AWV196745 BGR196714:BGR196745 BQN196714:BQN196745 CAJ196714:CAJ196745 CKF196714:CKF196745 CUB196714:CUB196745 DDX196714:DDX196745 DNT196714:DNT196745 DXP196714:DXP196745 EHL196714:EHL196745 ERH196714:ERH196745 FBD196714:FBD196745 FKZ196714:FKZ196745 FUV196714:FUV196745 GER196714:GER196745 GON196714:GON196745 GYJ196714:GYJ196745 HIF196714:HIF196745 HSB196714:HSB196745 IBX196714:IBX196745 ILT196714:ILT196745 IVP196714:IVP196745 JFL196714:JFL196745 JPH196714:JPH196745 JZD196714:JZD196745 KIZ196714:KIZ196745 KSV196714:KSV196745 LCR196714:LCR196745 LMN196714:LMN196745 LWJ196714:LWJ196745 MGF196714:MGF196745 MQB196714:MQB196745 MZX196714:MZX196745 NJT196714:NJT196745 NTP196714:NTP196745 ODL196714:ODL196745 ONH196714:ONH196745 OXD196714:OXD196745 PGZ196714:PGZ196745 PQV196714:PQV196745 QAR196714:QAR196745 QKN196714:QKN196745 QUJ196714:QUJ196745 REF196714:REF196745 ROB196714:ROB196745 RXX196714:RXX196745 SHT196714:SHT196745 SRP196714:SRP196745 TBL196714:TBL196745 TLH196714:TLH196745 TVD196714:TVD196745 UEZ196714:UEZ196745 UOV196714:UOV196745 UYR196714:UYR196745 VIN196714:VIN196745 VSJ196714:VSJ196745 WCF196714:WCF196745 WMB196714:WMB196745 WVX196714:WVX196745 P262250:P262281 JL262250:JL262281 TH262250:TH262281 ADD262250:ADD262281 AMZ262250:AMZ262281 AWV262250:AWV262281 BGR262250:BGR262281 BQN262250:BQN262281 CAJ262250:CAJ262281 CKF262250:CKF262281 CUB262250:CUB262281 DDX262250:DDX262281 DNT262250:DNT262281 DXP262250:DXP262281 EHL262250:EHL262281 ERH262250:ERH262281 FBD262250:FBD262281 FKZ262250:FKZ262281 FUV262250:FUV262281 GER262250:GER262281 GON262250:GON262281 GYJ262250:GYJ262281 HIF262250:HIF262281 HSB262250:HSB262281 IBX262250:IBX262281 ILT262250:ILT262281 IVP262250:IVP262281 JFL262250:JFL262281 JPH262250:JPH262281 JZD262250:JZD262281 KIZ262250:KIZ262281 KSV262250:KSV262281 LCR262250:LCR262281 LMN262250:LMN262281 LWJ262250:LWJ262281 MGF262250:MGF262281 MQB262250:MQB262281 MZX262250:MZX262281 NJT262250:NJT262281 NTP262250:NTP262281 ODL262250:ODL262281 ONH262250:ONH262281 OXD262250:OXD262281 PGZ262250:PGZ262281 PQV262250:PQV262281 QAR262250:QAR262281 QKN262250:QKN262281 QUJ262250:QUJ262281 REF262250:REF262281 ROB262250:ROB262281 RXX262250:RXX262281 SHT262250:SHT262281 SRP262250:SRP262281 TBL262250:TBL262281 TLH262250:TLH262281 TVD262250:TVD262281 UEZ262250:UEZ262281 UOV262250:UOV262281 UYR262250:UYR262281 VIN262250:VIN262281 VSJ262250:VSJ262281 WCF262250:WCF262281 WMB262250:WMB262281 WVX262250:WVX262281 P327786:P327817 JL327786:JL327817 TH327786:TH327817 ADD327786:ADD327817 AMZ327786:AMZ327817 AWV327786:AWV327817 BGR327786:BGR327817 BQN327786:BQN327817 CAJ327786:CAJ327817 CKF327786:CKF327817 CUB327786:CUB327817 DDX327786:DDX327817 DNT327786:DNT327817 DXP327786:DXP327817 EHL327786:EHL327817 ERH327786:ERH327817 FBD327786:FBD327817 FKZ327786:FKZ327817 FUV327786:FUV327817 GER327786:GER327817 GON327786:GON327817 GYJ327786:GYJ327817 HIF327786:HIF327817 HSB327786:HSB327817 IBX327786:IBX327817 ILT327786:ILT327817 IVP327786:IVP327817 JFL327786:JFL327817 JPH327786:JPH327817 JZD327786:JZD327817 KIZ327786:KIZ327817 KSV327786:KSV327817 LCR327786:LCR327817 LMN327786:LMN327817 LWJ327786:LWJ327817 MGF327786:MGF327817 MQB327786:MQB327817 MZX327786:MZX327817 NJT327786:NJT327817 NTP327786:NTP327817 ODL327786:ODL327817 ONH327786:ONH327817 OXD327786:OXD327817 PGZ327786:PGZ327817 PQV327786:PQV327817 QAR327786:QAR327817 QKN327786:QKN327817 QUJ327786:QUJ327817 REF327786:REF327817 ROB327786:ROB327817 RXX327786:RXX327817 SHT327786:SHT327817 SRP327786:SRP327817 TBL327786:TBL327817 TLH327786:TLH327817 TVD327786:TVD327817 UEZ327786:UEZ327817 UOV327786:UOV327817 UYR327786:UYR327817 VIN327786:VIN327817 VSJ327786:VSJ327817 WCF327786:WCF327817 WMB327786:WMB327817 WVX327786:WVX327817 P393322:P393353 JL393322:JL393353 TH393322:TH393353 ADD393322:ADD393353 AMZ393322:AMZ393353 AWV393322:AWV393353 BGR393322:BGR393353 BQN393322:BQN393353 CAJ393322:CAJ393353 CKF393322:CKF393353 CUB393322:CUB393353 DDX393322:DDX393353 DNT393322:DNT393353 DXP393322:DXP393353 EHL393322:EHL393353 ERH393322:ERH393353 FBD393322:FBD393353 FKZ393322:FKZ393353 FUV393322:FUV393353 GER393322:GER393353 GON393322:GON393353 GYJ393322:GYJ393353 HIF393322:HIF393353 HSB393322:HSB393353 IBX393322:IBX393353 ILT393322:ILT393353 IVP393322:IVP393353 JFL393322:JFL393353 JPH393322:JPH393353 JZD393322:JZD393353 KIZ393322:KIZ393353 KSV393322:KSV393353 LCR393322:LCR393353 LMN393322:LMN393353 LWJ393322:LWJ393353 MGF393322:MGF393353 MQB393322:MQB393353 MZX393322:MZX393353 NJT393322:NJT393353 NTP393322:NTP393353 ODL393322:ODL393353 ONH393322:ONH393353 OXD393322:OXD393353 PGZ393322:PGZ393353 PQV393322:PQV393353 QAR393322:QAR393353 QKN393322:QKN393353 QUJ393322:QUJ393353 REF393322:REF393353 ROB393322:ROB393353 RXX393322:RXX393353 SHT393322:SHT393353 SRP393322:SRP393353 TBL393322:TBL393353 TLH393322:TLH393353 TVD393322:TVD393353 UEZ393322:UEZ393353 UOV393322:UOV393353 UYR393322:UYR393353 VIN393322:VIN393353 VSJ393322:VSJ393353 WCF393322:WCF393353 WMB393322:WMB393353 WVX393322:WVX393353 P458858:P458889 JL458858:JL458889 TH458858:TH458889 ADD458858:ADD458889 AMZ458858:AMZ458889 AWV458858:AWV458889 BGR458858:BGR458889 BQN458858:BQN458889 CAJ458858:CAJ458889 CKF458858:CKF458889 CUB458858:CUB458889 DDX458858:DDX458889 DNT458858:DNT458889 DXP458858:DXP458889 EHL458858:EHL458889 ERH458858:ERH458889 FBD458858:FBD458889 FKZ458858:FKZ458889 FUV458858:FUV458889 GER458858:GER458889 GON458858:GON458889 GYJ458858:GYJ458889 HIF458858:HIF458889 HSB458858:HSB458889 IBX458858:IBX458889 ILT458858:ILT458889 IVP458858:IVP458889 JFL458858:JFL458889 JPH458858:JPH458889 JZD458858:JZD458889 KIZ458858:KIZ458889 KSV458858:KSV458889 LCR458858:LCR458889 LMN458858:LMN458889 LWJ458858:LWJ458889 MGF458858:MGF458889 MQB458858:MQB458889 MZX458858:MZX458889 NJT458858:NJT458889 NTP458858:NTP458889 ODL458858:ODL458889 ONH458858:ONH458889 OXD458858:OXD458889 PGZ458858:PGZ458889 PQV458858:PQV458889 QAR458858:QAR458889 QKN458858:QKN458889 QUJ458858:QUJ458889 REF458858:REF458889 ROB458858:ROB458889 RXX458858:RXX458889 SHT458858:SHT458889 SRP458858:SRP458889 TBL458858:TBL458889 TLH458858:TLH458889 TVD458858:TVD458889 UEZ458858:UEZ458889 UOV458858:UOV458889 UYR458858:UYR458889 VIN458858:VIN458889 VSJ458858:VSJ458889 WCF458858:WCF458889 WMB458858:WMB458889 WVX458858:WVX458889 P524394:P524425 JL524394:JL524425 TH524394:TH524425 ADD524394:ADD524425 AMZ524394:AMZ524425 AWV524394:AWV524425 BGR524394:BGR524425 BQN524394:BQN524425 CAJ524394:CAJ524425 CKF524394:CKF524425 CUB524394:CUB524425 DDX524394:DDX524425 DNT524394:DNT524425 DXP524394:DXP524425 EHL524394:EHL524425 ERH524394:ERH524425 FBD524394:FBD524425 FKZ524394:FKZ524425 FUV524394:FUV524425 GER524394:GER524425 GON524394:GON524425 GYJ524394:GYJ524425 HIF524394:HIF524425 HSB524394:HSB524425 IBX524394:IBX524425 ILT524394:ILT524425 IVP524394:IVP524425 JFL524394:JFL524425 JPH524394:JPH524425 JZD524394:JZD524425 KIZ524394:KIZ524425 KSV524394:KSV524425 LCR524394:LCR524425 LMN524394:LMN524425 LWJ524394:LWJ524425 MGF524394:MGF524425 MQB524394:MQB524425 MZX524394:MZX524425 NJT524394:NJT524425 NTP524394:NTP524425 ODL524394:ODL524425 ONH524394:ONH524425 OXD524394:OXD524425 PGZ524394:PGZ524425 PQV524394:PQV524425 QAR524394:QAR524425 QKN524394:QKN524425 QUJ524394:QUJ524425 REF524394:REF524425 ROB524394:ROB524425 RXX524394:RXX524425 SHT524394:SHT524425 SRP524394:SRP524425 TBL524394:TBL524425 TLH524394:TLH524425 TVD524394:TVD524425 UEZ524394:UEZ524425 UOV524394:UOV524425 UYR524394:UYR524425 VIN524394:VIN524425 VSJ524394:VSJ524425 WCF524394:WCF524425 WMB524394:WMB524425 WVX524394:WVX524425 P589930:P589961 JL589930:JL589961 TH589930:TH589961 ADD589930:ADD589961 AMZ589930:AMZ589961 AWV589930:AWV589961 BGR589930:BGR589961 BQN589930:BQN589961 CAJ589930:CAJ589961 CKF589930:CKF589961 CUB589930:CUB589961 DDX589930:DDX589961 DNT589930:DNT589961 DXP589930:DXP589961 EHL589930:EHL589961 ERH589930:ERH589961 FBD589930:FBD589961 FKZ589930:FKZ589961 FUV589930:FUV589961 GER589930:GER589961 GON589930:GON589961 GYJ589930:GYJ589961 HIF589930:HIF589961 HSB589930:HSB589961 IBX589930:IBX589961 ILT589930:ILT589961 IVP589930:IVP589961 JFL589930:JFL589961 JPH589930:JPH589961 JZD589930:JZD589961 KIZ589930:KIZ589961 KSV589930:KSV589961 LCR589930:LCR589961 LMN589930:LMN589961 LWJ589930:LWJ589961 MGF589930:MGF589961 MQB589930:MQB589961 MZX589930:MZX589961 NJT589930:NJT589961 NTP589930:NTP589961 ODL589930:ODL589961 ONH589930:ONH589961 OXD589930:OXD589961 PGZ589930:PGZ589961 PQV589930:PQV589961 QAR589930:QAR589961 QKN589930:QKN589961 QUJ589930:QUJ589961 REF589930:REF589961 ROB589930:ROB589961 RXX589930:RXX589961 SHT589930:SHT589961 SRP589930:SRP589961 TBL589930:TBL589961 TLH589930:TLH589961 TVD589930:TVD589961 UEZ589930:UEZ589961 UOV589930:UOV589961 UYR589930:UYR589961 VIN589930:VIN589961 VSJ589930:VSJ589961 WCF589930:WCF589961 WMB589930:WMB589961 WVX589930:WVX589961 P655466:P655497 JL655466:JL655497 TH655466:TH655497 ADD655466:ADD655497 AMZ655466:AMZ655497 AWV655466:AWV655497 BGR655466:BGR655497 BQN655466:BQN655497 CAJ655466:CAJ655497 CKF655466:CKF655497 CUB655466:CUB655497 DDX655466:DDX655497 DNT655466:DNT655497 DXP655466:DXP655497 EHL655466:EHL655497 ERH655466:ERH655497 FBD655466:FBD655497 FKZ655466:FKZ655497 FUV655466:FUV655497 GER655466:GER655497 GON655466:GON655497 GYJ655466:GYJ655497 HIF655466:HIF655497 HSB655466:HSB655497 IBX655466:IBX655497 ILT655466:ILT655497 IVP655466:IVP655497 JFL655466:JFL655497 JPH655466:JPH655497 JZD655466:JZD655497 KIZ655466:KIZ655497 KSV655466:KSV655497 LCR655466:LCR655497 LMN655466:LMN655497 LWJ655466:LWJ655497 MGF655466:MGF655497 MQB655466:MQB655497 MZX655466:MZX655497 NJT655466:NJT655497 NTP655466:NTP655497 ODL655466:ODL655497 ONH655466:ONH655497 OXD655466:OXD655497 PGZ655466:PGZ655497 PQV655466:PQV655497 QAR655466:QAR655497 QKN655466:QKN655497 QUJ655466:QUJ655497 REF655466:REF655497 ROB655466:ROB655497 RXX655466:RXX655497 SHT655466:SHT655497 SRP655466:SRP655497 TBL655466:TBL655497 TLH655466:TLH655497 TVD655466:TVD655497 UEZ655466:UEZ655497 UOV655466:UOV655497 UYR655466:UYR655497 VIN655466:VIN655497 VSJ655466:VSJ655497 WCF655466:WCF655497 WMB655466:WMB655497 WVX655466:WVX655497 P721002:P721033 JL721002:JL721033 TH721002:TH721033 ADD721002:ADD721033 AMZ721002:AMZ721033 AWV721002:AWV721033 BGR721002:BGR721033 BQN721002:BQN721033 CAJ721002:CAJ721033 CKF721002:CKF721033 CUB721002:CUB721033 DDX721002:DDX721033 DNT721002:DNT721033 DXP721002:DXP721033 EHL721002:EHL721033 ERH721002:ERH721033 FBD721002:FBD721033 FKZ721002:FKZ721033 FUV721002:FUV721033 GER721002:GER721033 GON721002:GON721033 GYJ721002:GYJ721033 HIF721002:HIF721033 HSB721002:HSB721033 IBX721002:IBX721033 ILT721002:ILT721033 IVP721002:IVP721033 JFL721002:JFL721033 JPH721002:JPH721033 JZD721002:JZD721033 KIZ721002:KIZ721033 KSV721002:KSV721033 LCR721002:LCR721033 LMN721002:LMN721033 LWJ721002:LWJ721033 MGF721002:MGF721033 MQB721002:MQB721033 MZX721002:MZX721033 NJT721002:NJT721033 NTP721002:NTP721033 ODL721002:ODL721033 ONH721002:ONH721033 OXD721002:OXD721033 PGZ721002:PGZ721033 PQV721002:PQV721033 QAR721002:QAR721033 QKN721002:QKN721033 QUJ721002:QUJ721033 REF721002:REF721033 ROB721002:ROB721033 RXX721002:RXX721033 SHT721002:SHT721033 SRP721002:SRP721033 TBL721002:TBL721033 TLH721002:TLH721033 TVD721002:TVD721033 UEZ721002:UEZ721033 UOV721002:UOV721033 UYR721002:UYR721033 VIN721002:VIN721033 VSJ721002:VSJ721033 WCF721002:WCF721033 WMB721002:WMB721033 WVX721002:WVX721033 P786538:P786569 JL786538:JL786569 TH786538:TH786569 ADD786538:ADD786569 AMZ786538:AMZ786569 AWV786538:AWV786569 BGR786538:BGR786569 BQN786538:BQN786569 CAJ786538:CAJ786569 CKF786538:CKF786569 CUB786538:CUB786569 DDX786538:DDX786569 DNT786538:DNT786569 DXP786538:DXP786569 EHL786538:EHL786569 ERH786538:ERH786569 FBD786538:FBD786569 FKZ786538:FKZ786569 FUV786538:FUV786569 GER786538:GER786569 GON786538:GON786569 GYJ786538:GYJ786569 HIF786538:HIF786569 HSB786538:HSB786569 IBX786538:IBX786569 ILT786538:ILT786569 IVP786538:IVP786569 JFL786538:JFL786569 JPH786538:JPH786569 JZD786538:JZD786569 KIZ786538:KIZ786569 KSV786538:KSV786569 LCR786538:LCR786569 LMN786538:LMN786569 LWJ786538:LWJ786569 MGF786538:MGF786569 MQB786538:MQB786569 MZX786538:MZX786569 NJT786538:NJT786569 NTP786538:NTP786569 ODL786538:ODL786569 ONH786538:ONH786569 OXD786538:OXD786569 PGZ786538:PGZ786569 PQV786538:PQV786569 QAR786538:QAR786569 QKN786538:QKN786569 QUJ786538:QUJ786569 REF786538:REF786569 ROB786538:ROB786569 RXX786538:RXX786569 SHT786538:SHT786569 SRP786538:SRP786569 TBL786538:TBL786569 TLH786538:TLH786569 TVD786538:TVD786569 UEZ786538:UEZ786569 UOV786538:UOV786569 UYR786538:UYR786569 VIN786538:VIN786569 VSJ786538:VSJ786569 WCF786538:WCF786569 WMB786538:WMB786569 WVX786538:WVX786569 P852074:P852105 JL852074:JL852105 TH852074:TH852105 ADD852074:ADD852105 AMZ852074:AMZ852105 AWV852074:AWV852105 BGR852074:BGR852105 BQN852074:BQN852105 CAJ852074:CAJ852105 CKF852074:CKF852105 CUB852074:CUB852105 DDX852074:DDX852105 DNT852074:DNT852105 DXP852074:DXP852105 EHL852074:EHL852105 ERH852074:ERH852105 FBD852074:FBD852105 FKZ852074:FKZ852105 FUV852074:FUV852105 GER852074:GER852105 GON852074:GON852105 GYJ852074:GYJ852105 HIF852074:HIF852105 HSB852074:HSB852105 IBX852074:IBX852105 ILT852074:ILT852105 IVP852074:IVP852105 JFL852074:JFL852105 JPH852074:JPH852105 JZD852074:JZD852105 KIZ852074:KIZ852105 KSV852074:KSV852105 LCR852074:LCR852105 LMN852074:LMN852105 LWJ852074:LWJ852105 MGF852074:MGF852105 MQB852074:MQB852105 MZX852074:MZX852105 NJT852074:NJT852105 NTP852074:NTP852105 ODL852074:ODL852105 ONH852074:ONH852105 OXD852074:OXD852105 PGZ852074:PGZ852105 PQV852074:PQV852105 QAR852074:QAR852105 QKN852074:QKN852105 QUJ852074:QUJ852105 REF852074:REF852105 ROB852074:ROB852105 RXX852074:RXX852105 SHT852074:SHT852105 SRP852074:SRP852105 TBL852074:TBL852105 TLH852074:TLH852105 TVD852074:TVD852105 UEZ852074:UEZ852105 UOV852074:UOV852105 UYR852074:UYR852105 VIN852074:VIN852105 VSJ852074:VSJ852105 WCF852074:WCF852105 WMB852074:WMB852105 WVX852074:WVX852105 P917610:P917641 JL917610:JL917641 TH917610:TH917641 ADD917610:ADD917641 AMZ917610:AMZ917641 AWV917610:AWV917641 BGR917610:BGR917641 BQN917610:BQN917641 CAJ917610:CAJ917641 CKF917610:CKF917641 CUB917610:CUB917641 DDX917610:DDX917641 DNT917610:DNT917641 DXP917610:DXP917641 EHL917610:EHL917641 ERH917610:ERH917641 FBD917610:FBD917641 FKZ917610:FKZ917641 FUV917610:FUV917641 GER917610:GER917641 GON917610:GON917641 GYJ917610:GYJ917641 HIF917610:HIF917641 HSB917610:HSB917641 IBX917610:IBX917641 ILT917610:ILT917641 IVP917610:IVP917641 JFL917610:JFL917641 JPH917610:JPH917641 JZD917610:JZD917641 KIZ917610:KIZ917641 KSV917610:KSV917641 LCR917610:LCR917641 LMN917610:LMN917641 LWJ917610:LWJ917641 MGF917610:MGF917641 MQB917610:MQB917641 MZX917610:MZX917641 NJT917610:NJT917641 NTP917610:NTP917641 ODL917610:ODL917641 ONH917610:ONH917641 OXD917610:OXD917641 PGZ917610:PGZ917641 PQV917610:PQV917641 QAR917610:QAR917641 QKN917610:QKN917641 QUJ917610:QUJ917641 REF917610:REF917641 ROB917610:ROB917641 RXX917610:RXX917641 SHT917610:SHT917641 SRP917610:SRP917641 TBL917610:TBL917641 TLH917610:TLH917641 TVD917610:TVD917641 UEZ917610:UEZ917641 UOV917610:UOV917641 UYR917610:UYR917641 VIN917610:VIN917641 VSJ917610:VSJ917641 WCF917610:WCF917641 WMB917610:WMB917641 WVX917610:WVX917641 P983146:P983177 JL983146:JL983177 TH983146:TH983177 ADD983146:ADD983177 AMZ983146:AMZ983177 AWV983146:AWV983177 BGR983146:BGR983177 BQN983146:BQN983177 CAJ983146:CAJ983177 CKF983146:CKF983177 CUB983146:CUB983177 DDX983146:DDX983177 DNT983146:DNT983177 DXP983146:DXP983177 EHL983146:EHL983177 ERH983146:ERH983177 FBD983146:FBD983177 FKZ983146:FKZ983177 FUV983146:FUV983177 GER983146:GER983177 GON983146:GON983177 GYJ983146:GYJ983177 HIF983146:HIF983177 HSB983146:HSB983177 IBX983146:IBX983177 ILT983146:ILT983177 IVP983146:IVP983177 JFL983146:JFL983177 JPH983146:JPH983177 JZD983146:JZD983177 KIZ983146:KIZ983177 KSV983146:KSV983177 LCR983146:LCR983177 LMN983146:LMN983177 LWJ983146:LWJ983177 MGF983146:MGF983177 MQB983146:MQB983177 MZX983146:MZX983177 NJT983146:NJT983177 NTP983146:NTP983177 ODL983146:ODL983177 ONH983146:ONH983177 OXD983146:OXD983177 PGZ983146:PGZ983177 PQV983146:PQV983177 QAR983146:QAR983177 QKN983146:QKN983177 QUJ983146:QUJ983177 REF983146:REF983177 ROB983146:ROB983177 RXX983146:RXX983177 SHT983146:SHT983177 SRP983146:SRP983177 TBL983146:TBL983177 TLH983146:TLH983177 TVD983146:TVD983177 UEZ983146:UEZ983177 UOV983146:UOV983177 UYR983146:UYR983177 VIN983146:VIN983177 VSJ983146:VSJ983177 WCF983146:WCF983177 WMB983146:WMB983177 WVX6:WVX87 WMB6:WMB87 WCF6:WCF87 VSJ6:VSJ87 VIN6:VIN87 UYR6:UYR87 UOV6:UOV87 UEZ6:UEZ87 TVD6:TVD87 TLH6:TLH87 TBL6:TBL87 SRP6:SRP87 SHT6:SHT87 RXX6:RXX87 ROB6:ROB87 REF6:REF87 QUJ6:QUJ87 QKN6:QKN87 QAR6:QAR87 PQV6:PQV87 PGZ6:PGZ87 OXD6:OXD87 ONH6:ONH87 ODL6:ODL87 NTP6:NTP87 NJT6:NJT87 MZX6:MZX87 MQB6:MQB87 MGF6:MGF87 LWJ6:LWJ87 LMN6:LMN87 LCR6:LCR87 KSV6:KSV87 KIZ6:KIZ87 JZD6:JZD87 JPH6:JPH87 JFL6:JFL87 IVP6:IVP87 ILT6:ILT87 IBX6:IBX87 HSB6:HSB87 HIF6:HIF87 GYJ6:GYJ87 GON6:GON87 GER6:GER87 FUV6:FUV87 FKZ6:FKZ87 FBD6:FBD87 ERH6:ERH87 EHL6:EHL87 DXP6:DXP87 DNT6:DNT87 DDX6:DDX87 CUB6:CUB87 CKF6:CKF87 CAJ6:CAJ87 BQN6:BQN87 BGR6:BGR87 AWV6:AWV87 AMZ6:AMZ87 ADD6:ADD87 TH6:TH87 JL6:JL87 P6:P87">
      <formula1>"1 Direct payment, 10 Irrevocable documentary credit,11 Transferable irrevocable documentary credit, 12 Confirmed irrevocable documentary credit,13 Transferable documentary credit, 14 Revocable documentary credit,"</formula1>
    </dataValidation>
    <dataValidation type="decimal" imeMode="off" showInputMessage="1" showErrorMessage="1" errorTitle="提示：" error="请输入正确纯数字，小数点保留两位。" promptTitle="提示：" prompt="请输入正确纯数字，小数点保留两位。" sqref="WVJ983147:WVJ983177 ST7:ST87 ACP7:ACP87 AML7:AML87 AWH7:AWH87 BGD7:BGD87 BPZ7:BPZ87 BZV7:BZV87 CJR7:CJR87 CTN7:CTN87 DDJ7:DDJ87 DNF7:DNF87 DXB7:DXB87 EGX7:EGX87 EQT7:EQT87 FAP7:FAP87 FKL7:FKL87 FUH7:FUH87 GED7:GED87 GNZ7:GNZ87 GXV7:GXV87 HHR7:HHR87 HRN7:HRN87 IBJ7:IBJ87 ILF7:ILF87 IVB7:IVB87 JEX7:JEX87 JOT7:JOT87 JYP7:JYP87 KIL7:KIL87 KSH7:KSH87 LCD7:LCD87 LLZ7:LLZ87 LVV7:LVV87 MFR7:MFR87 MPN7:MPN87 MZJ7:MZJ87 NJF7:NJF87 NTB7:NTB87 OCX7:OCX87 OMT7:OMT87 OWP7:OWP87 PGL7:PGL87 PQH7:PQH87 QAD7:QAD87 QJZ7:QJZ87 QTV7:QTV87 RDR7:RDR87 RNN7:RNN87 RXJ7:RXJ87 SHF7:SHF87 SRB7:SRB87 TAX7:TAX87 TKT7:TKT87 TUP7:TUP87 UEL7:UEL87 UOH7:UOH87 UYD7:UYD87 VHZ7:VHZ87 VRV7:VRV87 WBR7:WBR87 WLN7:WLN87 WVJ7:WVJ87 IX7:IX87 B65643:B65673 IX65643:IX65673 ST65643:ST65673 ACP65643:ACP65673 AML65643:AML65673 AWH65643:AWH65673 BGD65643:BGD65673 BPZ65643:BPZ65673 BZV65643:BZV65673 CJR65643:CJR65673 CTN65643:CTN65673 DDJ65643:DDJ65673 DNF65643:DNF65673 DXB65643:DXB65673 EGX65643:EGX65673 EQT65643:EQT65673 FAP65643:FAP65673 FKL65643:FKL65673 FUH65643:FUH65673 GED65643:GED65673 GNZ65643:GNZ65673 GXV65643:GXV65673 HHR65643:HHR65673 HRN65643:HRN65673 IBJ65643:IBJ65673 ILF65643:ILF65673 IVB65643:IVB65673 JEX65643:JEX65673 JOT65643:JOT65673 JYP65643:JYP65673 KIL65643:KIL65673 KSH65643:KSH65673 LCD65643:LCD65673 LLZ65643:LLZ65673 LVV65643:LVV65673 MFR65643:MFR65673 MPN65643:MPN65673 MZJ65643:MZJ65673 NJF65643:NJF65673 NTB65643:NTB65673 OCX65643:OCX65673 OMT65643:OMT65673 OWP65643:OWP65673 PGL65643:PGL65673 PQH65643:PQH65673 QAD65643:QAD65673 QJZ65643:QJZ65673 QTV65643:QTV65673 RDR65643:RDR65673 RNN65643:RNN65673 RXJ65643:RXJ65673 SHF65643:SHF65673 SRB65643:SRB65673 TAX65643:TAX65673 TKT65643:TKT65673 TUP65643:TUP65673 UEL65643:UEL65673 UOH65643:UOH65673 UYD65643:UYD65673 VHZ65643:VHZ65673 VRV65643:VRV65673 WBR65643:WBR65673 WLN65643:WLN65673 WVJ65643:WVJ65673 B131179:B131209 IX131179:IX131209 ST131179:ST131209 ACP131179:ACP131209 AML131179:AML131209 AWH131179:AWH131209 BGD131179:BGD131209 BPZ131179:BPZ131209 BZV131179:BZV131209 CJR131179:CJR131209 CTN131179:CTN131209 DDJ131179:DDJ131209 DNF131179:DNF131209 DXB131179:DXB131209 EGX131179:EGX131209 EQT131179:EQT131209 FAP131179:FAP131209 FKL131179:FKL131209 FUH131179:FUH131209 GED131179:GED131209 GNZ131179:GNZ131209 GXV131179:GXV131209 HHR131179:HHR131209 HRN131179:HRN131209 IBJ131179:IBJ131209 ILF131179:ILF131209 IVB131179:IVB131209 JEX131179:JEX131209 JOT131179:JOT131209 JYP131179:JYP131209 KIL131179:KIL131209 KSH131179:KSH131209 LCD131179:LCD131209 LLZ131179:LLZ131209 LVV131179:LVV131209 MFR131179:MFR131209 MPN131179:MPN131209 MZJ131179:MZJ131209 NJF131179:NJF131209 NTB131179:NTB131209 OCX131179:OCX131209 OMT131179:OMT131209 OWP131179:OWP131209 PGL131179:PGL131209 PQH131179:PQH131209 QAD131179:QAD131209 QJZ131179:QJZ131209 QTV131179:QTV131209 RDR131179:RDR131209 RNN131179:RNN131209 RXJ131179:RXJ131209 SHF131179:SHF131209 SRB131179:SRB131209 TAX131179:TAX131209 TKT131179:TKT131209 TUP131179:TUP131209 UEL131179:UEL131209 UOH131179:UOH131209 UYD131179:UYD131209 VHZ131179:VHZ131209 VRV131179:VRV131209 WBR131179:WBR131209 WLN131179:WLN131209 WVJ131179:WVJ131209 B196715:B196745 IX196715:IX196745 ST196715:ST196745 ACP196715:ACP196745 AML196715:AML196745 AWH196715:AWH196745 BGD196715:BGD196745 BPZ196715:BPZ196745 BZV196715:BZV196745 CJR196715:CJR196745 CTN196715:CTN196745 DDJ196715:DDJ196745 DNF196715:DNF196745 DXB196715:DXB196745 EGX196715:EGX196745 EQT196715:EQT196745 FAP196715:FAP196745 FKL196715:FKL196745 FUH196715:FUH196745 GED196715:GED196745 GNZ196715:GNZ196745 GXV196715:GXV196745 HHR196715:HHR196745 HRN196715:HRN196745 IBJ196715:IBJ196745 ILF196715:ILF196745 IVB196715:IVB196745 JEX196715:JEX196745 JOT196715:JOT196745 JYP196715:JYP196745 KIL196715:KIL196745 KSH196715:KSH196745 LCD196715:LCD196745 LLZ196715:LLZ196745 LVV196715:LVV196745 MFR196715:MFR196745 MPN196715:MPN196745 MZJ196715:MZJ196745 NJF196715:NJF196745 NTB196715:NTB196745 OCX196715:OCX196745 OMT196715:OMT196745 OWP196715:OWP196745 PGL196715:PGL196745 PQH196715:PQH196745 QAD196715:QAD196745 QJZ196715:QJZ196745 QTV196715:QTV196745 RDR196715:RDR196745 RNN196715:RNN196745 RXJ196715:RXJ196745 SHF196715:SHF196745 SRB196715:SRB196745 TAX196715:TAX196745 TKT196715:TKT196745 TUP196715:TUP196745 UEL196715:UEL196745 UOH196715:UOH196745 UYD196715:UYD196745 VHZ196715:VHZ196745 VRV196715:VRV196745 WBR196715:WBR196745 WLN196715:WLN196745 WVJ196715:WVJ196745 B262251:B262281 IX262251:IX262281 ST262251:ST262281 ACP262251:ACP262281 AML262251:AML262281 AWH262251:AWH262281 BGD262251:BGD262281 BPZ262251:BPZ262281 BZV262251:BZV262281 CJR262251:CJR262281 CTN262251:CTN262281 DDJ262251:DDJ262281 DNF262251:DNF262281 DXB262251:DXB262281 EGX262251:EGX262281 EQT262251:EQT262281 FAP262251:FAP262281 FKL262251:FKL262281 FUH262251:FUH262281 GED262251:GED262281 GNZ262251:GNZ262281 GXV262251:GXV262281 HHR262251:HHR262281 HRN262251:HRN262281 IBJ262251:IBJ262281 ILF262251:ILF262281 IVB262251:IVB262281 JEX262251:JEX262281 JOT262251:JOT262281 JYP262251:JYP262281 KIL262251:KIL262281 KSH262251:KSH262281 LCD262251:LCD262281 LLZ262251:LLZ262281 LVV262251:LVV262281 MFR262251:MFR262281 MPN262251:MPN262281 MZJ262251:MZJ262281 NJF262251:NJF262281 NTB262251:NTB262281 OCX262251:OCX262281 OMT262251:OMT262281 OWP262251:OWP262281 PGL262251:PGL262281 PQH262251:PQH262281 QAD262251:QAD262281 QJZ262251:QJZ262281 QTV262251:QTV262281 RDR262251:RDR262281 RNN262251:RNN262281 RXJ262251:RXJ262281 SHF262251:SHF262281 SRB262251:SRB262281 TAX262251:TAX262281 TKT262251:TKT262281 TUP262251:TUP262281 UEL262251:UEL262281 UOH262251:UOH262281 UYD262251:UYD262281 VHZ262251:VHZ262281 VRV262251:VRV262281 WBR262251:WBR262281 WLN262251:WLN262281 WVJ262251:WVJ262281 B327787:B327817 IX327787:IX327817 ST327787:ST327817 ACP327787:ACP327817 AML327787:AML327817 AWH327787:AWH327817 BGD327787:BGD327817 BPZ327787:BPZ327817 BZV327787:BZV327817 CJR327787:CJR327817 CTN327787:CTN327817 DDJ327787:DDJ327817 DNF327787:DNF327817 DXB327787:DXB327817 EGX327787:EGX327817 EQT327787:EQT327817 FAP327787:FAP327817 FKL327787:FKL327817 FUH327787:FUH327817 GED327787:GED327817 GNZ327787:GNZ327817 GXV327787:GXV327817 HHR327787:HHR327817 HRN327787:HRN327817 IBJ327787:IBJ327817 ILF327787:ILF327817 IVB327787:IVB327817 JEX327787:JEX327817 JOT327787:JOT327817 JYP327787:JYP327817 KIL327787:KIL327817 KSH327787:KSH327817 LCD327787:LCD327817 LLZ327787:LLZ327817 LVV327787:LVV327817 MFR327787:MFR327817 MPN327787:MPN327817 MZJ327787:MZJ327817 NJF327787:NJF327817 NTB327787:NTB327817 OCX327787:OCX327817 OMT327787:OMT327817 OWP327787:OWP327817 PGL327787:PGL327817 PQH327787:PQH327817 QAD327787:QAD327817 QJZ327787:QJZ327817 QTV327787:QTV327817 RDR327787:RDR327817 RNN327787:RNN327817 RXJ327787:RXJ327817 SHF327787:SHF327817 SRB327787:SRB327817 TAX327787:TAX327817 TKT327787:TKT327817 TUP327787:TUP327817 UEL327787:UEL327817 UOH327787:UOH327817 UYD327787:UYD327817 VHZ327787:VHZ327817 VRV327787:VRV327817 WBR327787:WBR327817 WLN327787:WLN327817 WVJ327787:WVJ327817 B393323:B393353 IX393323:IX393353 ST393323:ST393353 ACP393323:ACP393353 AML393323:AML393353 AWH393323:AWH393353 BGD393323:BGD393353 BPZ393323:BPZ393353 BZV393323:BZV393353 CJR393323:CJR393353 CTN393323:CTN393353 DDJ393323:DDJ393353 DNF393323:DNF393353 DXB393323:DXB393353 EGX393323:EGX393353 EQT393323:EQT393353 FAP393323:FAP393353 FKL393323:FKL393353 FUH393323:FUH393353 GED393323:GED393353 GNZ393323:GNZ393353 GXV393323:GXV393353 HHR393323:HHR393353 HRN393323:HRN393353 IBJ393323:IBJ393353 ILF393323:ILF393353 IVB393323:IVB393353 JEX393323:JEX393353 JOT393323:JOT393353 JYP393323:JYP393353 KIL393323:KIL393353 KSH393323:KSH393353 LCD393323:LCD393353 LLZ393323:LLZ393353 LVV393323:LVV393353 MFR393323:MFR393353 MPN393323:MPN393353 MZJ393323:MZJ393353 NJF393323:NJF393353 NTB393323:NTB393353 OCX393323:OCX393353 OMT393323:OMT393353 OWP393323:OWP393353 PGL393323:PGL393353 PQH393323:PQH393353 QAD393323:QAD393353 QJZ393323:QJZ393353 QTV393323:QTV393353 RDR393323:RDR393353 RNN393323:RNN393353 RXJ393323:RXJ393353 SHF393323:SHF393353 SRB393323:SRB393353 TAX393323:TAX393353 TKT393323:TKT393353 TUP393323:TUP393353 UEL393323:UEL393353 UOH393323:UOH393353 UYD393323:UYD393353 VHZ393323:VHZ393353 VRV393323:VRV393353 WBR393323:WBR393353 WLN393323:WLN393353 WVJ393323:WVJ393353 B458859:B458889 IX458859:IX458889 ST458859:ST458889 ACP458859:ACP458889 AML458859:AML458889 AWH458859:AWH458889 BGD458859:BGD458889 BPZ458859:BPZ458889 BZV458859:BZV458889 CJR458859:CJR458889 CTN458859:CTN458889 DDJ458859:DDJ458889 DNF458859:DNF458889 DXB458859:DXB458889 EGX458859:EGX458889 EQT458859:EQT458889 FAP458859:FAP458889 FKL458859:FKL458889 FUH458859:FUH458889 GED458859:GED458889 GNZ458859:GNZ458889 GXV458859:GXV458889 HHR458859:HHR458889 HRN458859:HRN458889 IBJ458859:IBJ458889 ILF458859:ILF458889 IVB458859:IVB458889 JEX458859:JEX458889 JOT458859:JOT458889 JYP458859:JYP458889 KIL458859:KIL458889 KSH458859:KSH458889 LCD458859:LCD458889 LLZ458859:LLZ458889 LVV458859:LVV458889 MFR458859:MFR458889 MPN458859:MPN458889 MZJ458859:MZJ458889 NJF458859:NJF458889 NTB458859:NTB458889 OCX458859:OCX458889 OMT458859:OMT458889 OWP458859:OWP458889 PGL458859:PGL458889 PQH458859:PQH458889 QAD458859:QAD458889 QJZ458859:QJZ458889 QTV458859:QTV458889 RDR458859:RDR458889 RNN458859:RNN458889 RXJ458859:RXJ458889 SHF458859:SHF458889 SRB458859:SRB458889 TAX458859:TAX458889 TKT458859:TKT458889 TUP458859:TUP458889 UEL458859:UEL458889 UOH458859:UOH458889 UYD458859:UYD458889 VHZ458859:VHZ458889 VRV458859:VRV458889 WBR458859:WBR458889 WLN458859:WLN458889 WVJ458859:WVJ458889 B524395:B524425 IX524395:IX524425 ST524395:ST524425 ACP524395:ACP524425 AML524395:AML524425 AWH524395:AWH524425 BGD524395:BGD524425 BPZ524395:BPZ524425 BZV524395:BZV524425 CJR524395:CJR524425 CTN524395:CTN524425 DDJ524395:DDJ524425 DNF524395:DNF524425 DXB524395:DXB524425 EGX524395:EGX524425 EQT524395:EQT524425 FAP524395:FAP524425 FKL524395:FKL524425 FUH524395:FUH524425 GED524395:GED524425 GNZ524395:GNZ524425 GXV524395:GXV524425 HHR524395:HHR524425 HRN524395:HRN524425 IBJ524395:IBJ524425 ILF524395:ILF524425 IVB524395:IVB524425 JEX524395:JEX524425 JOT524395:JOT524425 JYP524395:JYP524425 KIL524395:KIL524425 KSH524395:KSH524425 LCD524395:LCD524425 LLZ524395:LLZ524425 LVV524395:LVV524425 MFR524395:MFR524425 MPN524395:MPN524425 MZJ524395:MZJ524425 NJF524395:NJF524425 NTB524395:NTB524425 OCX524395:OCX524425 OMT524395:OMT524425 OWP524395:OWP524425 PGL524395:PGL524425 PQH524395:PQH524425 QAD524395:QAD524425 QJZ524395:QJZ524425 QTV524395:QTV524425 RDR524395:RDR524425 RNN524395:RNN524425 RXJ524395:RXJ524425 SHF524395:SHF524425 SRB524395:SRB524425 TAX524395:TAX524425 TKT524395:TKT524425 TUP524395:TUP524425 UEL524395:UEL524425 UOH524395:UOH524425 UYD524395:UYD524425 VHZ524395:VHZ524425 VRV524395:VRV524425 WBR524395:WBR524425 WLN524395:WLN524425 WVJ524395:WVJ524425 B589931:B589961 IX589931:IX589961 ST589931:ST589961 ACP589931:ACP589961 AML589931:AML589961 AWH589931:AWH589961 BGD589931:BGD589961 BPZ589931:BPZ589961 BZV589931:BZV589961 CJR589931:CJR589961 CTN589931:CTN589961 DDJ589931:DDJ589961 DNF589931:DNF589961 DXB589931:DXB589961 EGX589931:EGX589961 EQT589931:EQT589961 FAP589931:FAP589961 FKL589931:FKL589961 FUH589931:FUH589961 GED589931:GED589961 GNZ589931:GNZ589961 GXV589931:GXV589961 HHR589931:HHR589961 HRN589931:HRN589961 IBJ589931:IBJ589961 ILF589931:ILF589961 IVB589931:IVB589961 JEX589931:JEX589961 JOT589931:JOT589961 JYP589931:JYP589961 KIL589931:KIL589961 KSH589931:KSH589961 LCD589931:LCD589961 LLZ589931:LLZ589961 LVV589931:LVV589961 MFR589931:MFR589961 MPN589931:MPN589961 MZJ589931:MZJ589961 NJF589931:NJF589961 NTB589931:NTB589961 OCX589931:OCX589961 OMT589931:OMT589961 OWP589931:OWP589961 PGL589931:PGL589961 PQH589931:PQH589961 QAD589931:QAD589961 QJZ589931:QJZ589961 QTV589931:QTV589961 RDR589931:RDR589961 RNN589931:RNN589961 RXJ589931:RXJ589961 SHF589931:SHF589961 SRB589931:SRB589961 TAX589931:TAX589961 TKT589931:TKT589961 TUP589931:TUP589961 UEL589931:UEL589961 UOH589931:UOH589961 UYD589931:UYD589961 VHZ589931:VHZ589961 VRV589931:VRV589961 WBR589931:WBR589961 WLN589931:WLN589961 WVJ589931:WVJ589961 B655467:B655497 IX655467:IX655497 ST655467:ST655497 ACP655467:ACP655497 AML655467:AML655497 AWH655467:AWH655497 BGD655467:BGD655497 BPZ655467:BPZ655497 BZV655467:BZV655497 CJR655467:CJR655497 CTN655467:CTN655497 DDJ655467:DDJ655497 DNF655467:DNF655497 DXB655467:DXB655497 EGX655467:EGX655497 EQT655467:EQT655497 FAP655467:FAP655497 FKL655467:FKL655497 FUH655467:FUH655497 GED655467:GED655497 GNZ655467:GNZ655497 GXV655467:GXV655497 HHR655467:HHR655497 HRN655467:HRN655497 IBJ655467:IBJ655497 ILF655467:ILF655497 IVB655467:IVB655497 JEX655467:JEX655497 JOT655467:JOT655497 JYP655467:JYP655497 KIL655467:KIL655497 KSH655467:KSH655497 LCD655467:LCD655497 LLZ655467:LLZ655497 LVV655467:LVV655497 MFR655467:MFR655497 MPN655467:MPN655497 MZJ655467:MZJ655497 NJF655467:NJF655497 NTB655467:NTB655497 OCX655467:OCX655497 OMT655467:OMT655497 OWP655467:OWP655497 PGL655467:PGL655497 PQH655467:PQH655497 QAD655467:QAD655497 QJZ655467:QJZ655497 QTV655467:QTV655497 RDR655467:RDR655497 RNN655467:RNN655497 RXJ655467:RXJ655497 SHF655467:SHF655497 SRB655467:SRB655497 TAX655467:TAX655497 TKT655467:TKT655497 TUP655467:TUP655497 UEL655467:UEL655497 UOH655467:UOH655497 UYD655467:UYD655497 VHZ655467:VHZ655497 VRV655467:VRV655497 WBR655467:WBR655497 WLN655467:WLN655497 WVJ655467:WVJ655497 B721003:B721033 IX721003:IX721033 ST721003:ST721033 ACP721003:ACP721033 AML721003:AML721033 AWH721003:AWH721033 BGD721003:BGD721033 BPZ721003:BPZ721033 BZV721003:BZV721033 CJR721003:CJR721033 CTN721003:CTN721033 DDJ721003:DDJ721033 DNF721003:DNF721033 DXB721003:DXB721033 EGX721003:EGX721033 EQT721003:EQT721033 FAP721003:FAP721033 FKL721003:FKL721033 FUH721003:FUH721033 GED721003:GED721033 GNZ721003:GNZ721033 GXV721003:GXV721033 HHR721003:HHR721033 HRN721003:HRN721033 IBJ721003:IBJ721033 ILF721003:ILF721033 IVB721003:IVB721033 JEX721003:JEX721033 JOT721003:JOT721033 JYP721003:JYP721033 KIL721003:KIL721033 KSH721003:KSH721033 LCD721003:LCD721033 LLZ721003:LLZ721033 LVV721003:LVV721033 MFR721003:MFR721033 MPN721003:MPN721033 MZJ721003:MZJ721033 NJF721003:NJF721033 NTB721003:NTB721033 OCX721003:OCX721033 OMT721003:OMT721033 OWP721003:OWP721033 PGL721003:PGL721033 PQH721003:PQH721033 QAD721003:QAD721033 QJZ721003:QJZ721033 QTV721003:QTV721033 RDR721003:RDR721033 RNN721003:RNN721033 RXJ721003:RXJ721033 SHF721003:SHF721033 SRB721003:SRB721033 TAX721003:TAX721033 TKT721003:TKT721033 TUP721003:TUP721033 UEL721003:UEL721033 UOH721003:UOH721033 UYD721003:UYD721033 VHZ721003:VHZ721033 VRV721003:VRV721033 WBR721003:WBR721033 WLN721003:WLN721033 WVJ721003:WVJ721033 B786539:B786569 IX786539:IX786569 ST786539:ST786569 ACP786539:ACP786569 AML786539:AML786569 AWH786539:AWH786569 BGD786539:BGD786569 BPZ786539:BPZ786569 BZV786539:BZV786569 CJR786539:CJR786569 CTN786539:CTN786569 DDJ786539:DDJ786569 DNF786539:DNF786569 DXB786539:DXB786569 EGX786539:EGX786569 EQT786539:EQT786569 FAP786539:FAP786569 FKL786539:FKL786569 FUH786539:FUH786569 GED786539:GED786569 GNZ786539:GNZ786569 GXV786539:GXV786569 HHR786539:HHR786569 HRN786539:HRN786569 IBJ786539:IBJ786569 ILF786539:ILF786569 IVB786539:IVB786569 JEX786539:JEX786569 JOT786539:JOT786569 JYP786539:JYP786569 KIL786539:KIL786569 KSH786539:KSH786569 LCD786539:LCD786569 LLZ786539:LLZ786569 LVV786539:LVV786569 MFR786539:MFR786569 MPN786539:MPN786569 MZJ786539:MZJ786569 NJF786539:NJF786569 NTB786539:NTB786569 OCX786539:OCX786569 OMT786539:OMT786569 OWP786539:OWP786569 PGL786539:PGL786569 PQH786539:PQH786569 QAD786539:QAD786569 QJZ786539:QJZ786569 QTV786539:QTV786569 RDR786539:RDR786569 RNN786539:RNN786569 RXJ786539:RXJ786569 SHF786539:SHF786569 SRB786539:SRB786569 TAX786539:TAX786569 TKT786539:TKT786569 TUP786539:TUP786569 UEL786539:UEL786569 UOH786539:UOH786569 UYD786539:UYD786569 VHZ786539:VHZ786569 VRV786539:VRV786569 WBR786539:WBR786569 WLN786539:WLN786569 WVJ786539:WVJ786569 B852075:B852105 IX852075:IX852105 ST852075:ST852105 ACP852075:ACP852105 AML852075:AML852105 AWH852075:AWH852105 BGD852075:BGD852105 BPZ852075:BPZ852105 BZV852075:BZV852105 CJR852075:CJR852105 CTN852075:CTN852105 DDJ852075:DDJ852105 DNF852075:DNF852105 DXB852075:DXB852105 EGX852075:EGX852105 EQT852075:EQT852105 FAP852075:FAP852105 FKL852075:FKL852105 FUH852075:FUH852105 GED852075:GED852105 GNZ852075:GNZ852105 GXV852075:GXV852105 HHR852075:HHR852105 HRN852075:HRN852105 IBJ852075:IBJ852105 ILF852075:ILF852105 IVB852075:IVB852105 JEX852075:JEX852105 JOT852075:JOT852105 JYP852075:JYP852105 KIL852075:KIL852105 KSH852075:KSH852105 LCD852075:LCD852105 LLZ852075:LLZ852105 LVV852075:LVV852105 MFR852075:MFR852105 MPN852075:MPN852105 MZJ852075:MZJ852105 NJF852075:NJF852105 NTB852075:NTB852105 OCX852075:OCX852105 OMT852075:OMT852105 OWP852075:OWP852105 PGL852075:PGL852105 PQH852075:PQH852105 QAD852075:QAD852105 QJZ852075:QJZ852105 QTV852075:QTV852105 RDR852075:RDR852105 RNN852075:RNN852105 RXJ852075:RXJ852105 SHF852075:SHF852105 SRB852075:SRB852105 TAX852075:TAX852105 TKT852075:TKT852105 TUP852075:TUP852105 UEL852075:UEL852105 UOH852075:UOH852105 UYD852075:UYD852105 VHZ852075:VHZ852105 VRV852075:VRV852105 WBR852075:WBR852105 WLN852075:WLN852105 WVJ852075:WVJ852105 B917611:B917641 IX917611:IX917641 ST917611:ST917641 ACP917611:ACP917641 AML917611:AML917641 AWH917611:AWH917641 BGD917611:BGD917641 BPZ917611:BPZ917641 BZV917611:BZV917641 CJR917611:CJR917641 CTN917611:CTN917641 DDJ917611:DDJ917641 DNF917611:DNF917641 DXB917611:DXB917641 EGX917611:EGX917641 EQT917611:EQT917641 FAP917611:FAP917641 FKL917611:FKL917641 FUH917611:FUH917641 GED917611:GED917641 GNZ917611:GNZ917641 GXV917611:GXV917641 HHR917611:HHR917641 HRN917611:HRN917641 IBJ917611:IBJ917641 ILF917611:ILF917641 IVB917611:IVB917641 JEX917611:JEX917641 JOT917611:JOT917641 JYP917611:JYP917641 KIL917611:KIL917641 KSH917611:KSH917641 LCD917611:LCD917641 LLZ917611:LLZ917641 LVV917611:LVV917641 MFR917611:MFR917641 MPN917611:MPN917641 MZJ917611:MZJ917641 NJF917611:NJF917641 NTB917611:NTB917641 OCX917611:OCX917641 OMT917611:OMT917641 OWP917611:OWP917641 PGL917611:PGL917641 PQH917611:PQH917641 QAD917611:QAD917641 QJZ917611:QJZ917641 QTV917611:QTV917641 RDR917611:RDR917641 RNN917611:RNN917641 RXJ917611:RXJ917641 SHF917611:SHF917641 SRB917611:SRB917641 TAX917611:TAX917641 TKT917611:TKT917641 TUP917611:TUP917641 UEL917611:UEL917641 UOH917611:UOH917641 UYD917611:UYD917641 VHZ917611:VHZ917641 VRV917611:VRV917641 WBR917611:WBR917641 WLN917611:WLN917641 WVJ917611:WVJ917641 B983147:B983177 IX983147:IX983177 ST983147:ST983177 ACP983147:ACP983177 AML983147:AML983177 AWH983147:AWH983177 BGD983147:BGD983177 BPZ983147:BPZ983177 BZV983147:BZV983177 CJR983147:CJR983177 CTN983147:CTN983177 DDJ983147:DDJ983177 DNF983147:DNF983177 DXB983147:DXB983177 EGX983147:EGX983177 EQT983147:EQT983177 FAP983147:FAP983177 FKL983147:FKL983177 FUH983147:FUH983177 GED983147:GED983177 GNZ983147:GNZ983177 GXV983147:GXV983177 HHR983147:HHR983177 HRN983147:HRN983177 IBJ983147:IBJ983177 ILF983147:ILF983177 IVB983147:IVB983177 JEX983147:JEX983177 JOT983147:JOT983177 JYP983147:JYP983177 KIL983147:KIL983177 KSH983147:KSH983177 LCD983147:LCD983177 LLZ983147:LLZ983177 LVV983147:LVV983177 MFR983147:MFR983177 MPN983147:MPN983177 MZJ983147:MZJ983177 NJF983147:NJF983177 NTB983147:NTB983177 OCX983147:OCX983177 OMT983147:OMT983177 OWP983147:OWP983177 PGL983147:PGL983177 PQH983147:PQH983177 QAD983147:QAD983177 QJZ983147:QJZ983177 QTV983147:QTV983177 RDR983147:RDR983177 RNN983147:RNN983177 RXJ983147:RXJ983177 SHF983147:SHF983177 SRB983147:SRB983177 TAX983147:TAX983177 TKT983147:TKT983177 TUP983147:TUP983177 UEL983147:UEL983177 UOH983147:UOH983177 UYD983147:UYD983177 VHZ983147:VHZ983177 VRV983147:VRV983177 WBR983147:WBR983177 WLN983147:WLN983177 B7:B87">
      <formula1>0.01</formula1>
      <formula2>100000000</formula2>
    </dataValidation>
    <dataValidation type="list" showInputMessage="1" showErrorMessage="1" sqref="WVK983147:WVK983177 SU7:SU87 ACQ7:ACQ87 AMM7:AMM87 AWI7:AWI87 BGE7:BGE87 BQA7:BQA87 BZW7:BZW87 CJS7:CJS87 CTO7:CTO87 DDK7:DDK87 DNG7:DNG87 DXC7:DXC87 EGY7:EGY87 EQU7:EQU87 FAQ7:FAQ87 FKM7:FKM87 FUI7:FUI87 GEE7:GEE87 GOA7:GOA87 GXW7:GXW87 HHS7:HHS87 HRO7:HRO87 IBK7:IBK87 ILG7:ILG87 IVC7:IVC87 JEY7:JEY87 JOU7:JOU87 JYQ7:JYQ87 KIM7:KIM87 KSI7:KSI87 LCE7:LCE87 LMA7:LMA87 LVW7:LVW87 MFS7:MFS87 MPO7:MPO87 MZK7:MZK87 NJG7:NJG87 NTC7:NTC87 OCY7:OCY87 OMU7:OMU87 OWQ7:OWQ87 PGM7:PGM87 PQI7:PQI87 QAE7:QAE87 QKA7:QKA87 QTW7:QTW87 RDS7:RDS87 RNO7:RNO87 RXK7:RXK87 SHG7:SHG87 SRC7:SRC87 TAY7:TAY87 TKU7:TKU87 TUQ7:TUQ87 UEM7:UEM87 UOI7:UOI87 UYE7:UYE87 VIA7:VIA87 VRW7:VRW87 WBS7:WBS87 WLO7:WLO87 WVK7:WVK87 IY7:IY87 C65643:C65673 IY65643:IY65673 SU65643:SU65673 ACQ65643:ACQ65673 AMM65643:AMM65673 AWI65643:AWI65673 BGE65643:BGE65673 BQA65643:BQA65673 BZW65643:BZW65673 CJS65643:CJS65673 CTO65643:CTO65673 DDK65643:DDK65673 DNG65643:DNG65673 DXC65643:DXC65673 EGY65643:EGY65673 EQU65643:EQU65673 FAQ65643:FAQ65673 FKM65643:FKM65673 FUI65643:FUI65673 GEE65643:GEE65673 GOA65643:GOA65673 GXW65643:GXW65673 HHS65643:HHS65673 HRO65643:HRO65673 IBK65643:IBK65673 ILG65643:ILG65673 IVC65643:IVC65673 JEY65643:JEY65673 JOU65643:JOU65673 JYQ65643:JYQ65673 KIM65643:KIM65673 KSI65643:KSI65673 LCE65643:LCE65673 LMA65643:LMA65673 LVW65643:LVW65673 MFS65643:MFS65673 MPO65643:MPO65673 MZK65643:MZK65673 NJG65643:NJG65673 NTC65643:NTC65673 OCY65643:OCY65673 OMU65643:OMU65673 OWQ65643:OWQ65673 PGM65643:PGM65673 PQI65643:PQI65673 QAE65643:QAE65673 QKA65643:QKA65673 QTW65643:QTW65673 RDS65643:RDS65673 RNO65643:RNO65673 RXK65643:RXK65673 SHG65643:SHG65673 SRC65643:SRC65673 TAY65643:TAY65673 TKU65643:TKU65673 TUQ65643:TUQ65673 UEM65643:UEM65673 UOI65643:UOI65673 UYE65643:UYE65673 VIA65643:VIA65673 VRW65643:VRW65673 WBS65643:WBS65673 WLO65643:WLO65673 WVK65643:WVK65673 C131179:C131209 IY131179:IY131209 SU131179:SU131209 ACQ131179:ACQ131209 AMM131179:AMM131209 AWI131179:AWI131209 BGE131179:BGE131209 BQA131179:BQA131209 BZW131179:BZW131209 CJS131179:CJS131209 CTO131179:CTO131209 DDK131179:DDK131209 DNG131179:DNG131209 DXC131179:DXC131209 EGY131179:EGY131209 EQU131179:EQU131209 FAQ131179:FAQ131209 FKM131179:FKM131209 FUI131179:FUI131209 GEE131179:GEE131209 GOA131179:GOA131209 GXW131179:GXW131209 HHS131179:HHS131209 HRO131179:HRO131209 IBK131179:IBK131209 ILG131179:ILG131209 IVC131179:IVC131209 JEY131179:JEY131209 JOU131179:JOU131209 JYQ131179:JYQ131209 KIM131179:KIM131209 KSI131179:KSI131209 LCE131179:LCE131209 LMA131179:LMA131209 LVW131179:LVW131209 MFS131179:MFS131209 MPO131179:MPO131209 MZK131179:MZK131209 NJG131179:NJG131209 NTC131179:NTC131209 OCY131179:OCY131209 OMU131179:OMU131209 OWQ131179:OWQ131209 PGM131179:PGM131209 PQI131179:PQI131209 QAE131179:QAE131209 QKA131179:QKA131209 QTW131179:QTW131209 RDS131179:RDS131209 RNO131179:RNO131209 RXK131179:RXK131209 SHG131179:SHG131209 SRC131179:SRC131209 TAY131179:TAY131209 TKU131179:TKU131209 TUQ131179:TUQ131209 UEM131179:UEM131209 UOI131179:UOI131209 UYE131179:UYE131209 VIA131179:VIA131209 VRW131179:VRW131209 WBS131179:WBS131209 WLO131179:WLO131209 WVK131179:WVK131209 C196715:C196745 IY196715:IY196745 SU196715:SU196745 ACQ196715:ACQ196745 AMM196715:AMM196745 AWI196715:AWI196745 BGE196715:BGE196745 BQA196715:BQA196745 BZW196715:BZW196745 CJS196715:CJS196745 CTO196715:CTO196745 DDK196715:DDK196745 DNG196715:DNG196745 DXC196715:DXC196745 EGY196715:EGY196745 EQU196715:EQU196745 FAQ196715:FAQ196745 FKM196715:FKM196745 FUI196715:FUI196745 GEE196715:GEE196745 GOA196715:GOA196745 GXW196715:GXW196745 HHS196715:HHS196745 HRO196715:HRO196745 IBK196715:IBK196745 ILG196715:ILG196745 IVC196715:IVC196745 JEY196715:JEY196745 JOU196715:JOU196745 JYQ196715:JYQ196745 KIM196715:KIM196745 KSI196715:KSI196745 LCE196715:LCE196745 LMA196715:LMA196745 LVW196715:LVW196745 MFS196715:MFS196745 MPO196715:MPO196745 MZK196715:MZK196745 NJG196715:NJG196745 NTC196715:NTC196745 OCY196715:OCY196745 OMU196715:OMU196745 OWQ196715:OWQ196745 PGM196715:PGM196745 PQI196715:PQI196745 QAE196715:QAE196745 QKA196715:QKA196745 QTW196715:QTW196745 RDS196715:RDS196745 RNO196715:RNO196745 RXK196715:RXK196745 SHG196715:SHG196745 SRC196715:SRC196745 TAY196715:TAY196745 TKU196715:TKU196745 TUQ196715:TUQ196745 UEM196715:UEM196745 UOI196715:UOI196745 UYE196715:UYE196745 VIA196715:VIA196745 VRW196715:VRW196745 WBS196715:WBS196745 WLO196715:WLO196745 WVK196715:WVK196745 C262251:C262281 IY262251:IY262281 SU262251:SU262281 ACQ262251:ACQ262281 AMM262251:AMM262281 AWI262251:AWI262281 BGE262251:BGE262281 BQA262251:BQA262281 BZW262251:BZW262281 CJS262251:CJS262281 CTO262251:CTO262281 DDK262251:DDK262281 DNG262251:DNG262281 DXC262251:DXC262281 EGY262251:EGY262281 EQU262251:EQU262281 FAQ262251:FAQ262281 FKM262251:FKM262281 FUI262251:FUI262281 GEE262251:GEE262281 GOA262251:GOA262281 GXW262251:GXW262281 HHS262251:HHS262281 HRO262251:HRO262281 IBK262251:IBK262281 ILG262251:ILG262281 IVC262251:IVC262281 JEY262251:JEY262281 JOU262251:JOU262281 JYQ262251:JYQ262281 KIM262251:KIM262281 KSI262251:KSI262281 LCE262251:LCE262281 LMA262251:LMA262281 LVW262251:LVW262281 MFS262251:MFS262281 MPO262251:MPO262281 MZK262251:MZK262281 NJG262251:NJG262281 NTC262251:NTC262281 OCY262251:OCY262281 OMU262251:OMU262281 OWQ262251:OWQ262281 PGM262251:PGM262281 PQI262251:PQI262281 QAE262251:QAE262281 QKA262251:QKA262281 QTW262251:QTW262281 RDS262251:RDS262281 RNO262251:RNO262281 RXK262251:RXK262281 SHG262251:SHG262281 SRC262251:SRC262281 TAY262251:TAY262281 TKU262251:TKU262281 TUQ262251:TUQ262281 UEM262251:UEM262281 UOI262251:UOI262281 UYE262251:UYE262281 VIA262251:VIA262281 VRW262251:VRW262281 WBS262251:WBS262281 WLO262251:WLO262281 WVK262251:WVK262281 C327787:C327817 IY327787:IY327817 SU327787:SU327817 ACQ327787:ACQ327817 AMM327787:AMM327817 AWI327787:AWI327817 BGE327787:BGE327817 BQA327787:BQA327817 BZW327787:BZW327817 CJS327787:CJS327817 CTO327787:CTO327817 DDK327787:DDK327817 DNG327787:DNG327817 DXC327787:DXC327817 EGY327787:EGY327817 EQU327787:EQU327817 FAQ327787:FAQ327817 FKM327787:FKM327817 FUI327787:FUI327817 GEE327787:GEE327817 GOA327787:GOA327817 GXW327787:GXW327817 HHS327787:HHS327817 HRO327787:HRO327817 IBK327787:IBK327817 ILG327787:ILG327817 IVC327787:IVC327817 JEY327787:JEY327817 JOU327787:JOU327817 JYQ327787:JYQ327817 KIM327787:KIM327817 KSI327787:KSI327817 LCE327787:LCE327817 LMA327787:LMA327817 LVW327787:LVW327817 MFS327787:MFS327817 MPO327787:MPO327817 MZK327787:MZK327817 NJG327787:NJG327817 NTC327787:NTC327817 OCY327787:OCY327817 OMU327787:OMU327817 OWQ327787:OWQ327817 PGM327787:PGM327817 PQI327787:PQI327817 QAE327787:QAE327817 QKA327787:QKA327817 QTW327787:QTW327817 RDS327787:RDS327817 RNO327787:RNO327817 RXK327787:RXK327817 SHG327787:SHG327817 SRC327787:SRC327817 TAY327787:TAY327817 TKU327787:TKU327817 TUQ327787:TUQ327817 UEM327787:UEM327817 UOI327787:UOI327817 UYE327787:UYE327817 VIA327787:VIA327817 VRW327787:VRW327817 WBS327787:WBS327817 WLO327787:WLO327817 WVK327787:WVK327817 C393323:C393353 IY393323:IY393353 SU393323:SU393353 ACQ393323:ACQ393353 AMM393323:AMM393353 AWI393323:AWI393353 BGE393323:BGE393353 BQA393323:BQA393353 BZW393323:BZW393353 CJS393323:CJS393353 CTO393323:CTO393353 DDK393323:DDK393353 DNG393323:DNG393353 DXC393323:DXC393353 EGY393323:EGY393353 EQU393323:EQU393353 FAQ393323:FAQ393353 FKM393323:FKM393353 FUI393323:FUI393353 GEE393323:GEE393353 GOA393323:GOA393353 GXW393323:GXW393353 HHS393323:HHS393353 HRO393323:HRO393353 IBK393323:IBK393353 ILG393323:ILG393353 IVC393323:IVC393353 JEY393323:JEY393353 JOU393323:JOU393353 JYQ393323:JYQ393353 KIM393323:KIM393353 KSI393323:KSI393353 LCE393323:LCE393353 LMA393323:LMA393353 LVW393323:LVW393353 MFS393323:MFS393353 MPO393323:MPO393353 MZK393323:MZK393353 NJG393323:NJG393353 NTC393323:NTC393353 OCY393323:OCY393353 OMU393323:OMU393353 OWQ393323:OWQ393353 PGM393323:PGM393353 PQI393323:PQI393353 QAE393323:QAE393353 QKA393323:QKA393353 QTW393323:QTW393353 RDS393323:RDS393353 RNO393323:RNO393353 RXK393323:RXK393353 SHG393323:SHG393353 SRC393323:SRC393353 TAY393323:TAY393353 TKU393323:TKU393353 TUQ393323:TUQ393353 UEM393323:UEM393353 UOI393323:UOI393353 UYE393323:UYE393353 VIA393323:VIA393353 VRW393323:VRW393353 WBS393323:WBS393353 WLO393323:WLO393353 WVK393323:WVK393353 C458859:C458889 IY458859:IY458889 SU458859:SU458889 ACQ458859:ACQ458889 AMM458859:AMM458889 AWI458859:AWI458889 BGE458859:BGE458889 BQA458859:BQA458889 BZW458859:BZW458889 CJS458859:CJS458889 CTO458859:CTO458889 DDK458859:DDK458889 DNG458859:DNG458889 DXC458859:DXC458889 EGY458859:EGY458889 EQU458859:EQU458889 FAQ458859:FAQ458889 FKM458859:FKM458889 FUI458859:FUI458889 GEE458859:GEE458889 GOA458859:GOA458889 GXW458859:GXW458889 HHS458859:HHS458889 HRO458859:HRO458889 IBK458859:IBK458889 ILG458859:ILG458889 IVC458859:IVC458889 JEY458859:JEY458889 JOU458859:JOU458889 JYQ458859:JYQ458889 KIM458859:KIM458889 KSI458859:KSI458889 LCE458859:LCE458889 LMA458859:LMA458889 LVW458859:LVW458889 MFS458859:MFS458889 MPO458859:MPO458889 MZK458859:MZK458889 NJG458859:NJG458889 NTC458859:NTC458889 OCY458859:OCY458889 OMU458859:OMU458889 OWQ458859:OWQ458889 PGM458859:PGM458889 PQI458859:PQI458889 QAE458859:QAE458889 QKA458859:QKA458889 QTW458859:QTW458889 RDS458859:RDS458889 RNO458859:RNO458889 RXK458859:RXK458889 SHG458859:SHG458889 SRC458859:SRC458889 TAY458859:TAY458889 TKU458859:TKU458889 TUQ458859:TUQ458889 UEM458859:UEM458889 UOI458859:UOI458889 UYE458859:UYE458889 VIA458859:VIA458889 VRW458859:VRW458889 WBS458859:WBS458889 WLO458859:WLO458889 WVK458859:WVK458889 C524395:C524425 IY524395:IY524425 SU524395:SU524425 ACQ524395:ACQ524425 AMM524395:AMM524425 AWI524395:AWI524425 BGE524395:BGE524425 BQA524395:BQA524425 BZW524395:BZW524425 CJS524395:CJS524425 CTO524395:CTO524425 DDK524395:DDK524425 DNG524395:DNG524425 DXC524395:DXC524425 EGY524395:EGY524425 EQU524395:EQU524425 FAQ524395:FAQ524425 FKM524395:FKM524425 FUI524395:FUI524425 GEE524395:GEE524425 GOA524395:GOA524425 GXW524395:GXW524425 HHS524395:HHS524425 HRO524395:HRO524425 IBK524395:IBK524425 ILG524395:ILG524425 IVC524395:IVC524425 JEY524395:JEY524425 JOU524395:JOU524425 JYQ524395:JYQ524425 KIM524395:KIM524425 KSI524395:KSI524425 LCE524395:LCE524425 LMA524395:LMA524425 LVW524395:LVW524425 MFS524395:MFS524425 MPO524395:MPO524425 MZK524395:MZK524425 NJG524395:NJG524425 NTC524395:NTC524425 OCY524395:OCY524425 OMU524395:OMU524425 OWQ524395:OWQ524425 PGM524395:PGM524425 PQI524395:PQI524425 QAE524395:QAE524425 QKA524395:QKA524425 QTW524395:QTW524425 RDS524395:RDS524425 RNO524395:RNO524425 RXK524395:RXK524425 SHG524395:SHG524425 SRC524395:SRC524425 TAY524395:TAY524425 TKU524395:TKU524425 TUQ524395:TUQ524425 UEM524395:UEM524425 UOI524395:UOI524425 UYE524395:UYE524425 VIA524395:VIA524425 VRW524395:VRW524425 WBS524395:WBS524425 WLO524395:WLO524425 WVK524395:WVK524425 C589931:C589961 IY589931:IY589961 SU589931:SU589961 ACQ589931:ACQ589961 AMM589931:AMM589961 AWI589931:AWI589961 BGE589931:BGE589961 BQA589931:BQA589961 BZW589931:BZW589961 CJS589931:CJS589961 CTO589931:CTO589961 DDK589931:DDK589961 DNG589931:DNG589961 DXC589931:DXC589961 EGY589931:EGY589961 EQU589931:EQU589961 FAQ589931:FAQ589961 FKM589931:FKM589961 FUI589931:FUI589961 GEE589931:GEE589961 GOA589931:GOA589961 GXW589931:GXW589961 HHS589931:HHS589961 HRO589931:HRO589961 IBK589931:IBK589961 ILG589931:ILG589961 IVC589931:IVC589961 JEY589931:JEY589961 JOU589931:JOU589961 JYQ589931:JYQ589961 KIM589931:KIM589961 KSI589931:KSI589961 LCE589931:LCE589961 LMA589931:LMA589961 LVW589931:LVW589961 MFS589931:MFS589961 MPO589931:MPO589961 MZK589931:MZK589961 NJG589931:NJG589961 NTC589931:NTC589961 OCY589931:OCY589961 OMU589931:OMU589961 OWQ589931:OWQ589961 PGM589931:PGM589961 PQI589931:PQI589961 QAE589931:QAE589961 QKA589931:QKA589961 QTW589931:QTW589961 RDS589931:RDS589961 RNO589931:RNO589961 RXK589931:RXK589961 SHG589931:SHG589961 SRC589931:SRC589961 TAY589931:TAY589961 TKU589931:TKU589961 TUQ589931:TUQ589961 UEM589931:UEM589961 UOI589931:UOI589961 UYE589931:UYE589961 VIA589931:VIA589961 VRW589931:VRW589961 WBS589931:WBS589961 WLO589931:WLO589961 WVK589931:WVK589961 C655467:C655497 IY655467:IY655497 SU655467:SU655497 ACQ655467:ACQ655497 AMM655467:AMM655497 AWI655467:AWI655497 BGE655467:BGE655497 BQA655467:BQA655497 BZW655467:BZW655497 CJS655467:CJS655497 CTO655467:CTO655497 DDK655467:DDK655497 DNG655467:DNG655497 DXC655467:DXC655497 EGY655467:EGY655497 EQU655467:EQU655497 FAQ655467:FAQ655497 FKM655467:FKM655497 FUI655467:FUI655497 GEE655467:GEE655497 GOA655467:GOA655497 GXW655467:GXW655497 HHS655467:HHS655497 HRO655467:HRO655497 IBK655467:IBK655497 ILG655467:ILG655497 IVC655467:IVC655497 JEY655467:JEY655497 JOU655467:JOU655497 JYQ655467:JYQ655497 KIM655467:KIM655497 KSI655467:KSI655497 LCE655467:LCE655497 LMA655467:LMA655497 LVW655467:LVW655497 MFS655467:MFS655497 MPO655467:MPO655497 MZK655467:MZK655497 NJG655467:NJG655497 NTC655467:NTC655497 OCY655467:OCY655497 OMU655467:OMU655497 OWQ655467:OWQ655497 PGM655467:PGM655497 PQI655467:PQI655497 QAE655467:QAE655497 QKA655467:QKA655497 QTW655467:QTW655497 RDS655467:RDS655497 RNO655467:RNO655497 RXK655467:RXK655497 SHG655467:SHG655497 SRC655467:SRC655497 TAY655467:TAY655497 TKU655467:TKU655497 TUQ655467:TUQ655497 UEM655467:UEM655497 UOI655467:UOI655497 UYE655467:UYE655497 VIA655467:VIA655497 VRW655467:VRW655497 WBS655467:WBS655497 WLO655467:WLO655497 WVK655467:WVK655497 C721003:C721033 IY721003:IY721033 SU721003:SU721033 ACQ721003:ACQ721033 AMM721003:AMM721033 AWI721003:AWI721033 BGE721003:BGE721033 BQA721003:BQA721033 BZW721003:BZW721033 CJS721003:CJS721033 CTO721003:CTO721033 DDK721003:DDK721033 DNG721003:DNG721033 DXC721003:DXC721033 EGY721003:EGY721033 EQU721003:EQU721033 FAQ721003:FAQ721033 FKM721003:FKM721033 FUI721003:FUI721033 GEE721003:GEE721033 GOA721003:GOA721033 GXW721003:GXW721033 HHS721003:HHS721033 HRO721003:HRO721033 IBK721003:IBK721033 ILG721003:ILG721033 IVC721003:IVC721033 JEY721003:JEY721033 JOU721003:JOU721033 JYQ721003:JYQ721033 KIM721003:KIM721033 KSI721003:KSI721033 LCE721003:LCE721033 LMA721003:LMA721033 LVW721003:LVW721033 MFS721003:MFS721033 MPO721003:MPO721033 MZK721003:MZK721033 NJG721003:NJG721033 NTC721003:NTC721033 OCY721003:OCY721033 OMU721003:OMU721033 OWQ721003:OWQ721033 PGM721003:PGM721033 PQI721003:PQI721033 QAE721003:QAE721033 QKA721003:QKA721033 QTW721003:QTW721033 RDS721003:RDS721033 RNO721003:RNO721033 RXK721003:RXK721033 SHG721003:SHG721033 SRC721003:SRC721033 TAY721003:TAY721033 TKU721003:TKU721033 TUQ721003:TUQ721033 UEM721003:UEM721033 UOI721003:UOI721033 UYE721003:UYE721033 VIA721003:VIA721033 VRW721003:VRW721033 WBS721003:WBS721033 WLO721003:WLO721033 WVK721003:WVK721033 C786539:C786569 IY786539:IY786569 SU786539:SU786569 ACQ786539:ACQ786569 AMM786539:AMM786569 AWI786539:AWI786569 BGE786539:BGE786569 BQA786539:BQA786569 BZW786539:BZW786569 CJS786539:CJS786569 CTO786539:CTO786569 DDK786539:DDK786569 DNG786539:DNG786569 DXC786539:DXC786569 EGY786539:EGY786569 EQU786539:EQU786569 FAQ786539:FAQ786569 FKM786539:FKM786569 FUI786539:FUI786569 GEE786539:GEE786569 GOA786539:GOA786569 GXW786539:GXW786569 HHS786539:HHS786569 HRO786539:HRO786569 IBK786539:IBK786569 ILG786539:ILG786569 IVC786539:IVC786569 JEY786539:JEY786569 JOU786539:JOU786569 JYQ786539:JYQ786569 KIM786539:KIM786569 KSI786539:KSI786569 LCE786539:LCE786569 LMA786539:LMA786569 LVW786539:LVW786569 MFS786539:MFS786569 MPO786539:MPO786569 MZK786539:MZK786569 NJG786539:NJG786569 NTC786539:NTC786569 OCY786539:OCY786569 OMU786539:OMU786569 OWQ786539:OWQ786569 PGM786539:PGM786569 PQI786539:PQI786569 QAE786539:QAE786569 QKA786539:QKA786569 QTW786539:QTW786569 RDS786539:RDS786569 RNO786539:RNO786569 RXK786539:RXK786569 SHG786539:SHG786569 SRC786539:SRC786569 TAY786539:TAY786569 TKU786539:TKU786569 TUQ786539:TUQ786569 UEM786539:UEM786569 UOI786539:UOI786569 UYE786539:UYE786569 VIA786539:VIA786569 VRW786539:VRW786569 WBS786539:WBS786569 WLO786539:WLO786569 WVK786539:WVK786569 C852075:C852105 IY852075:IY852105 SU852075:SU852105 ACQ852075:ACQ852105 AMM852075:AMM852105 AWI852075:AWI852105 BGE852075:BGE852105 BQA852075:BQA852105 BZW852075:BZW852105 CJS852075:CJS852105 CTO852075:CTO852105 DDK852075:DDK852105 DNG852075:DNG852105 DXC852075:DXC852105 EGY852075:EGY852105 EQU852075:EQU852105 FAQ852075:FAQ852105 FKM852075:FKM852105 FUI852075:FUI852105 GEE852075:GEE852105 GOA852075:GOA852105 GXW852075:GXW852105 HHS852075:HHS852105 HRO852075:HRO852105 IBK852075:IBK852105 ILG852075:ILG852105 IVC852075:IVC852105 JEY852075:JEY852105 JOU852075:JOU852105 JYQ852075:JYQ852105 KIM852075:KIM852105 KSI852075:KSI852105 LCE852075:LCE852105 LMA852075:LMA852105 LVW852075:LVW852105 MFS852075:MFS852105 MPO852075:MPO852105 MZK852075:MZK852105 NJG852075:NJG852105 NTC852075:NTC852105 OCY852075:OCY852105 OMU852075:OMU852105 OWQ852075:OWQ852105 PGM852075:PGM852105 PQI852075:PQI852105 QAE852075:QAE852105 QKA852075:QKA852105 QTW852075:QTW852105 RDS852075:RDS852105 RNO852075:RNO852105 RXK852075:RXK852105 SHG852075:SHG852105 SRC852075:SRC852105 TAY852075:TAY852105 TKU852075:TKU852105 TUQ852075:TUQ852105 UEM852075:UEM852105 UOI852075:UOI852105 UYE852075:UYE852105 VIA852075:VIA852105 VRW852075:VRW852105 WBS852075:WBS852105 WLO852075:WLO852105 WVK852075:WVK852105 C917611:C917641 IY917611:IY917641 SU917611:SU917641 ACQ917611:ACQ917641 AMM917611:AMM917641 AWI917611:AWI917641 BGE917611:BGE917641 BQA917611:BQA917641 BZW917611:BZW917641 CJS917611:CJS917641 CTO917611:CTO917641 DDK917611:DDK917641 DNG917611:DNG917641 DXC917611:DXC917641 EGY917611:EGY917641 EQU917611:EQU917641 FAQ917611:FAQ917641 FKM917611:FKM917641 FUI917611:FUI917641 GEE917611:GEE917641 GOA917611:GOA917641 GXW917611:GXW917641 HHS917611:HHS917641 HRO917611:HRO917641 IBK917611:IBK917641 ILG917611:ILG917641 IVC917611:IVC917641 JEY917611:JEY917641 JOU917611:JOU917641 JYQ917611:JYQ917641 KIM917611:KIM917641 KSI917611:KSI917641 LCE917611:LCE917641 LMA917611:LMA917641 LVW917611:LVW917641 MFS917611:MFS917641 MPO917611:MPO917641 MZK917611:MZK917641 NJG917611:NJG917641 NTC917611:NTC917641 OCY917611:OCY917641 OMU917611:OMU917641 OWQ917611:OWQ917641 PGM917611:PGM917641 PQI917611:PQI917641 QAE917611:QAE917641 QKA917611:QKA917641 QTW917611:QTW917641 RDS917611:RDS917641 RNO917611:RNO917641 RXK917611:RXK917641 SHG917611:SHG917641 SRC917611:SRC917641 TAY917611:TAY917641 TKU917611:TKU917641 TUQ917611:TUQ917641 UEM917611:UEM917641 UOI917611:UOI917641 UYE917611:UYE917641 VIA917611:VIA917641 VRW917611:VRW917641 WBS917611:WBS917641 WLO917611:WLO917641 WVK917611:WVK917641 C983147:C983177 IY983147:IY983177 SU983147:SU983177 ACQ983147:ACQ983177 AMM983147:AMM983177 AWI983147:AWI983177 BGE983147:BGE983177 BQA983147:BQA983177 BZW983147:BZW983177 CJS983147:CJS983177 CTO983147:CTO983177 DDK983147:DDK983177 DNG983147:DNG983177 DXC983147:DXC983177 EGY983147:EGY983177 EQU983147:EQU983177 FAQ983147:FAQ983177 FKM983147:FKM983177 FUI983147:FUI983177 GEE983147:GEE983177 GOA983147:GOA983177 GXW983147:GXW983177 HHS983147:HHS983177 HRO983147:HRO983177 IBK983147:IBK983177 ILG983147:ILG983177 IVC983147:IVC983177 JEY983147:JEY983177 JOU983147:JOU983177 JYQ983147:JYQ983177 KIM983147:KIM983177 KSI983147:KSI983177 LCE983147:LCE983177 LMA983147:LMA983177 LVW983147:LVW983177 MFS983147:MFS983177 MPO983147:MPO983177 MZK983147:MZK983177 NJG983147:NJG983177 NTC983147:NTC983177 OCY983147:OCY983177 OMU983147:OMU983177 OWQ983147:OWQ983177 PGM983147:PGM983177 PQI983147:PQI983177 QAE983147:QAE983177 QKA983147:QKA983177 QTW983147:QTW983177 RDS983147:RDS983177 RNO983147:RNO983177 RXK983147:RXK983177 SHG983147:SHG983177 SRC983147:SRC983177 TAY983147:TAY983177 TKU983147:TKU983177 TUQ983147:TUQ983177 UEM983147:UEM983177 UOI983147:UOI983177 UYE983147:UYE983177 VIA983147:VIA983177 VRW983147:VRW983177 WBS983147:WBS983177 WLO983147:WLO983177 C7:C87">
      <formula1>CURRENCY_TYPE</formula1>
    </dataValidation>
    <dataValidation type="whole" imeMode="off" showInputMessage="1" showErrorMessage="1" errorTitle="提示：" error="请输入连续13位纯数字，不允许有空格隔开，预配出口舱单是5字头。" promptTitle="提示：" prompt="请输入连续13位纯数字，不允许有空格隔开，预配出口舱单是5字头。" sqref="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638 IX65638 ST65638 ACP65638 AML65638 AWH65638 BGD65638 BPZ65638 BZV65638 CJR65638 CTN65638 DDJ65638 DNF65638 DXB65638 EGX65638 EQT65638 FAP65638 FKL65638 FUH65638 GED65638 GNZ65638 GXV65638 HHR65638 HRN65638 IBJ65638 ILF65638 IVB65638 JEX65638 JOT65638 JYP65638 KIL65638 KSH65638 LCD65638 LLZ65638 LVV65638 MFR65638 MPN65638 MZJ65638 NJF65638 NTB65638 OCX65638 OMT65638 OWP65638 PGL65638 PQH65638 QAD65638 QJZ65638 QTV65638 RDR65638 RNN65638 RXJ65638 SHF65638 SRB65638 TAX65638 TKT65638 TUP65638 UEL65638 UOH65638 UYD65638 VHZ65638 VRV65638 WBR65638 WLN65638 WVJ65638 B131174 IX131174 ST131174 ACP131174 AML131174 AWH131174 BGD131174 BPZ131174 BZV131174 CJR131174 CTN131174 DDJ131174 DNF131174 DXB131174 EGX131174 EQT131174 FAP131174 FKL131174 FUH131174 GED131174 GNZ131174 GXV131174 HHR131174 HRN131174 IBJ131174 ILF131174 IVB131174 JEX131174 JOT131174 JYP131174 KIL131174 KSH131174 LCD131174 LLZ131174 LVV131174 MFR131174 MPN131174 MZJ131174 NJF131174 NTB131174 OCX131174 OMT131174 OWP131174 PGL131174 PQH131174 QAD131174 QJZ131174 QTV131174 RDR131174 RNN131174 RXJ131174 SHF131174 SRB131174 TAX131174 TKT131174 TUP131174 UEL131174 UOH131174 UYD131174 VHZ131174 VRV131174 WBR131174 WLN131174 WVJ131174 B196710 IX196710 ST196710 ACP196710 AML196710 AWH196710 BGD196710 BPZ196710 BZV196710 CJR196710 CTN196710 DDJ196710 DNF196710 DXB196710 EGX196710 EQT196710 FAP196710 FKL196710 FUH196710 GED196710 GNZ196710 GXV196710 HHR196710 HRN196710 IBJ196710 ILF196710 IVB196710 JEX196710 JOT196710 JYP196710 KIL196710 KSH196710 LCD196710 LLZ196710 LVV196710 MFR196710 MPN196710 MZJ196710 NJF196710 NTB196710 OCX196710 OMT196710 OWP196710 PGL196710 PQH196710 QAD196710 QJZ196710 QTV196710 RDR196710 RNN196710 RXJ196710 SHF196710 SRB196710 TAX196710 TKT196710 TUP196710 UEL196710 UOH196710 UYD196710 VHZ196710 VRV196710 WBR196710 WLN196710 WVJ196710 B262246 IX262246 ST262246 ACP262246 AML262246 AWH262246 BGD262246 BPZ262246 BZV262246 CJR262246 CTN262246 DDJ262246 DNF262246 DXB262246 EGX262246 EQT262246 FAP262246 FKL262246 FUH262246 GED262246 GNZ262246 GXV262246 HHR262246 HRN262246 IBJ262246 ILF262246 IVB262246 JEX262246 JOT262246 JYP262246 KIL262246 KSH262246 LCD262246 LLZ262246 LVV262246 MFR262246 MPN262246 MZJ262246 NJF262246 NTB262246 OCX262246 OMT262246 OWP262246 PGL262246 PQH262246 QAD262246 QJZ262246 QTV262246 RDR262246 RNN262246 RXJ262246 SHF262246 SRB262246 TAX262246 TKT262246 TUP262246 UEL262246 UOH262246 UYD262246 VHZ262246 VRV262246 WBR262246 WLN262246 WVJ262246 B327782 IX327782 ST327782 ACP327782 AML327782 AWH327782 BGD327782 BPZ327782 BZV327782 CJR327782 CTN327782 DDJ327782 DNF327782 DXB327782 EGX327782 EQT327782 FAP327782 FKL327782 FUH327782 GED327782 GNZ327782 GXV327782 HHR327782 HRN327782 IBJ327782 ILF327782 IVB327782 JEX327782 JOT327782 JYP327782 KIL327782 KSH327782 LCD327782 LLZ327782 LVV327782 MFR327782 MPN327782 MZJ327782 NJF327782 NTB327782 OCX327782 OMT327782 OWP327782 PGL327782 PQH327782 QAD327782 QJZ327782 QTV327782 RDR327782 RNN327782 RXJ327782 SHF327782 SRB327782 TAX327782 TKT327782 TUP327782 UEL327782 UOH327782 UYD327782 VHZ327782 VRV327782 WBR327782 WLN327782 WVJ327782 B393318 IX393318 ST393318 ACP393318 AML393318 AWH393318 BGD393318 BPZ393318 BZV393318 CJR393318 CTN393318 DDJ393318 DNF393318 DXB393318 EGX393318 EQT393318 FAP393318 FKL393318 FUH393318 GED393318 GNZ393318 GXV393318 HHR393318 HRN393318 IBJ393318 ILF393318 IVB393318 JEX393318 JOT393318 JYP393318 KIL393318 KSH393318 LCD393318 LLZ393318 LVV393318 MFR393318 MPN393318 MZJ393318 NJF393318 NTB393318 OCX393318 OMT393318 OWP393318 PGL393318 PQH393318 QAD393318 QJZ393318 QTV393318 RDR393318 RNN393318 RXJ393318 SHF393318 SRB393318 TAX393318 TKT393318 TUP393318 UEL393318 UOH393318 UYD393318 VHZ393318 VRV393318 WBR393318 WLN393318 WVJ393318 B458854 IX458854 ST458854 ACP458854 AML458854 AWH458854 BGD458854 BPZ458854 BZV458854 CJR458854 CTN458854 DDJ458854 DNF458854 DXB458854 EGX458854 EQT458854 FAP458854 FKL458854 FUH458854 GED458854 GNZ458854 GXV458854 HHR458854 HRN458854 IBJ458854 ILF458854 IVB458854 JEX458854 JOT458854 JYP458854 KIL458854 KSH458854 LCD458854 LLZ458854 LVV458854 MFR458854 MPN458854 MZJ458854 NJF458854 NTB458854 OCX458854 OMT458854 OWP458854 PGL458854 PQH458854 QAD458854 QJZ458854 QTV458854 RDR458854 RNN458854 RXJ458854 SHF458854 SRB458854 TAX458854 TKT458854 TUP458854 UEL458854 UOH458854 UYD458854 VHZ458854 VRV458854 WBR458854 WLN458854 WVJ458854 B524390 IX524390 ST524390 ACP524390 AML524390 AWH524390 BGD524390 BPZ524390 BZV524390 CJR524390 CTN524390 DDJ524390 DNF524390 DXB524390 EGX524390 EQT524390 FAP524390 FKL524390 FUH524390 GED524390 GNZ524390 GXV524390 HHR524390 HRN524390 IBJ524390 ILF524390 IVB524390 JEX524390 JOT524390 JYP524390 KIL524390 KSH524390 LCD524390 LLZ524390 LVV524390 MFR524390 MPN524390 MZJ524390 NJF524390 NTB524390 OCX524390 OMT524390 OWP524390 PGL524390 PQH524390 QAD524390 QJZ524390 QTV524390 RDR524390 RNN524390 RXJ524390 SHF524390 SRB524390 TAX524390 TKT524390 TUP524390 UEL524390 UOH524390 UYD524390 VHZ524390 VRV524390 WBR524390 WLN524390 WVJ524390 B589926 IX589926 ST589926 ACP589926 AML589926 AWH589926 BGD589926 BPZ589926 BZV589926 CJR589926 CTN589926 DDJ589926 DNF589926 DXB589926 EGX589926 EQT589926 FAP589926 FKL589926 FUH589926 GED589926 GNZ589926 GXV589926 HHR589926 HRN589926 IBJ589926 ILF589926 IVB589926 JEX589926 JOT589926 JYP589926 KIL589926 KSH589926 LCD589926 LLZ589926 LVV589926 MFR589926 MPN589926 MZJ589926 NJF589926 NTB589926 OCX589926 OMT589926 OWP589926 PGL589926 PQH589926 QAD589926 QJZ589926 QTV589926 RDR589926 RNN589926 RXJ589926 SHF589926 SRB589926 TAX589926 TKT589926 TUP589926 UEL589926 UOH589926 UYD589926 VHZ589926 VRV589926 WBR589926 WLN589926 WVJ589926 B655462 IX655462 ST655462 ACP655462 AML655462 AWH655462 BGD655462 BPZ655462 BZV655462 CJR655462 CTN655462 DDJ655462 DNF655462 DXB655462 EGX655462 EQT655462 FAP655462 FKL655462 FUH655462 GED655462 GNZ655462 GXV655462 HHR655462 HRN655462 IBJ655462 ILF655462 IVB655462 JEX655462 JOT655462 JYP655462 KIL655462 KSH655462 LCD655462 LLZ655462 LVV655462 MFR655462 MPN655462 MZJ655462 NJF655462 NTB655462 OCX655462 OMT655462 OWP655462 PGL655462 PQH655462 QAD655462 QJZ655462 QTV655462 RDR655462 RNN655462 RXJ655462 SHF655462 SRB655462 TAX655462 TKT655462 TUP655462 UEL655462 UOH655462 UYD655462 VHZ655462 VRV655462 WBR655462 WLN655462 WVJ655462 B720998 IX720998 ST720998 ACP720998 AML720998 AWH720998 BGD720998 BPZ720998 BZV720998 CJR720998 CTN720998 DDJ720998 DNF720998 DXB720998 EGX720998 EQT720998 FAP720998 FKL720998 FUH720998 GED720998 GNZ720998 GXV720998 HHR720998 HRN720998 IBJ720998 ILF720998 IVB720998 JEX720998 JOT720998 JYP720998 KIL720998 KSH720998 LCD720998 LLZ720998 LVV720998 MFR720998 MPN720998 MZJ720998 NJF720998 NTB720998 OCX720998 OMT720998 OWP720998 PGL720998 PQH720998 QAD720998 QJZ720998 QTV720998 RDR720998 RNN720998 RXJ720998 SHF720998 SRB720998 TAX720998 TKT720998 TUP720998 UEL720998 UOH720998 UYD720998 VHZ720998 VRV720998 WBR720998 WLN720998 WVJ720998 B786534 IX786534 ST786534 ACP786534 AML786534 AWH786534 BGD786534 BPZ786534 BZV786534 CJR786534 CTN786534 DDJ786534 DNF786534 DXB786534 EGX786534 EQT786534 FAP786534 FKL786534 FUH786534 GED786534 GNZ786534 GXV786534 HHR786534 HRN786534 IBJ786534 ILF786534 IVB786534 JEX786534 JOT786534 JYP786534 KIL786534 KSH786534 LCD786534 LLZ786534 LVV786534 MFR786534 MPN786534 MZJ786534 NJF786534 NTB786534 OCX786534 OMT786534 OWP786534 PGL786534 PQH786534 QAD786534 QJZ786534 QTV786534 RDR786534 RNN786534 RXJ786534 SHF786534 SRB786534 TAX786534 TKT786534 TUP786534 UEL786534 UOH786534 UYD786534 VHZ786534 VRV786534 WBR786534 WLN786534 WVJ786534 B852070 IX852070 ST852070 ACP852070 AML852070 AWH852070 BGD852070 BPZ852070 BZV852070 CJR852070 CTN852070 DDJ852070 DNF852070 DXB852070 EGX852070 EQT852070 FAP852070 FKL852070 FUH852070 GED852070 GNZ852070 GXV852070 HHR852070 HRN852070 IBJ852070 ILF852070 IVB852070 JEX852070 JOT852070 JYP852070 KIL852070 KSH852070 LCD852070 LLZ852070 LVV852070 MFR852070 MPN852070 MZJ852070 NJF852070 NTB852070 OCX852070 OMT852070 OWP852070 PGL852070 PQH852070 QAD852070 QJZ852070 QTV852070 RDR852070 RNN852070 RXJ852070 SHF852070 SRB852070 TAX852070 TKT852070 TUP852070 UEL852070 UOH852070 UYD852070 VHZ852070 VRV852070 WBR852070 WLN852070 WVJ852070 B917606 IX917606 ST917606 ACP917606 AML917606 AWH917606 BGD917606 BPZ917606 BZV917606 CJR917606 CTN917606 DDJ917606 DNF917606 DXB917606 EGX917606 EQT917606 FAP917606 FKL917606 FUH917606 GED917606 GNZ917606 GXV917606 HHR917606 HRN917606 IBJ917606 ILF917606 IVB917606 JEX917606 JOT917606 JYP917606 KIL917606 KSH917606 LCD917606 LLZ917606 LVV917606 MFR917606 MPN917606 MZJ917606 NJF917606 NTB917606 OCX917606 OMT917606 OWP917606 PGL917606 PQH917606 QAD917606 QJZ917606 QTV917606 RDR917606 RNN917606 RXJ917606 SHF917606 SRB917606 TAX917606 TKT917606 TUP917606 UEL917606 UOH917606 UYD917606 VHZ917606 VRV917606 WBR917606 WLN917606 WVJ917606 B983142 IX983142 ST983142 ACP983142 AML983142 AWH983142 BGD983142 BPZ983142 BZV983142 CJR983142 CTN983142 DDJ983142 DNF983142 DXB983142 EGX983142 EQT983142 FAP983142 FKL983142 FUH983142 GED983142 GNZ983142 GXV983142 HHR983142 HRN983142 IBJ983142 ILF983142 IVB983142 JEX983142 JOT983142 JYP983142 KIL983142 KSH983142 LCD983142 LLZ983142 LVV983142 MFR983142 MPN983142 MZJ983142 NJF983142 NTB983142 OCX983142 OMT983142 OWP983142 PGL983142 PQH983142 QAD983142 QJZ983142 QTV983142 RDR983142 RNN983142 RXJ983142 SHF983142 SRB983142 TAX983142 TKT983142 TUP983142 UEL983142 UOH983142 UYD983142 VHZ983142 VRV983142 WBR983142 WLN983142 WVJ983142">
      <formula1>1000000000000</formula1>
      <formula2>5999999999999</formula2>
    </dataValidation>
    <dataValidation type="list" showInputMessage="1" showErrorMessage="1" errorTitle="提示：" error="只允许点单元格右侧下拉菜单按钮来选择。" promptTitle="提示：" prompt="只允许点单元格右侧下拉菜单按钮来选择。" sqref="B3 IX3 ST3 ACP3 AML3 AWH3 BGD3 BPZ3 BZV3 CJR3 CTN3 DDJ3 DNF3 DXB3 EGX3 EQT3 FAP3 FKL3 FUH3 GED3 GNZ3 GXV3 HHR3 HRN3 IBJ3 ILF3 IVB3 JEX3 JOT3 JYP3 KIL3 KSH3 LCD3 LLZ3 LVV3 MFR3 MPN3 MZJ3 NJF3 NTB3 OCX3 OMT3 OWP3 PGL3 PQH3 QAD3 QJZ3 QTV3 RDR3 RNN3 RXJ3 SHF3 SRB3 TAX3 TKT3 TUP3 UEL3 UOH3 UYD3 VHZ3 VRV3 WBR3 WLN3 WVJ3 B65639 IX65639 ST65639 ACP65639 AML65639 AWH65639 BGD65639 BPZ65639 BZV65639 CJR65639 CTN65639 DDJ65639 DNF65639 DXB65639 EGX65639 EQT65639 FAP65639 FKL65639 FUH65639 GED65639 GNZ65639 GXV65639 HHR65639 HRN65639 IBJ65639 ILF65639 IVB65639 JEX65639 JOT65639 JYP65639 KIL65639 KSH65639 LCD65639 LLZ65639 LVV65639 MFR65639 MPN65639 MZJ65639 NJF65639 NTB65639 OCX65639 OMT65639 OWP65639 PGL65639 PQH65639 QAD65639 QJZ65639 QTV65639 RDR65639 RNN65639 RXJ65639 SHF65639 SRB65639 TAX65639 TKT65639 TUP65639 UEL65639 UOH65639 UYD65639 VHZ65639 VRV65639 WBR65639 WLN65639 WVJ65639 B131175 IX131175 ST131175 ACP131175 AML131175 AWH131175 BGD131175 BPZ131175 BZV131175 CJR131175 CTN131175 DDJ131175 DNF131175 DXB131175 EGX131175 EQT131175 FAP131175 FKL131175 FUH131175 GED131175 GNZ131175 GXV131175 HHR131175 HRN131175 IBJ131175 ILF131175 IVB131175 JEX131175 JOT131175 JYP131175 KIL131175 KSH131175 LCD131175 LLZ131175 LVV131175 MFR131175 MPN131175 MZJ131175 NJF131175 NTB131175 OCX131175 OMT131175 OWP131175 PGL131175 PQH131175 QAD131175 QJZ131175 QTV131175 RDR131175 RNN131175 RXJ131175 SHF131175 SRB131175 TAX131175 TKT131175 TUP131175 UEL131175 UOH131175 UYD131175 VHZ131175 VRV131175 WBR131175 WLN131175 WVJ131175 B196711 IX196711 ST196711 ACP196711 AML196711 AWH196711 BGD196711 BPZ196711 BZV196711 CJR196711 CTN196711 DDJ196711 DNF196711 DXB196711 EGX196711 EQT196711 FAP196711 FKL196711 FUH196711 GED196711 GNZ196711 GXV196711 HHR196711 HRN196711 IBJ196711 ILF196711 IVB196711 JEX196711 JOT196711 JYP196711 KIL196711 KSH196711 LCD196711 LLZ196711 LVV196711 MFR196711 MPN196711 MZJ196711 NJF196711 NTB196711 OCX196711 OMT196711 OWP196711 PGL196711 PQH196711 QAD196711 QJZ196711 QTV196711 RDR196711 RNN196711 RXJ196711 SHF196711 SRB196711 TAX196711 TKT196711 TUP196711 UEL196711 UOH196711 UYD196711 VHZ196711 VRV196711 WBR196711 WLN196711 WVJ196711 B262247 IX262247 ST262247 ACP262247 AML262247 AWH262247 BGD262247 BPZ262247 BZV262247 CJR262247 CTN262247 DDJ262247 DNF262247 DXB262247 EGX262247 EQT262247 FAP262247 FKL262247 FUH262247 GED262247 GNZ262247 GXV262247 HHR262247 HRN262247 IBJ262247 ILF262247 IVB262247 JEX262247 JOT262247 JYP262247 KIL262247 KSH262247 LCD262247 LLZ262247 LVV262247 MFR262247 MPN262247 MZJ262247 NJF262247 NTB262247 OCX262247 OMT262247 OWP262247 PGL262247 PQH262247 QAD262247 QJZ262247 QTV262247 RDR262247 RNN262247 RXJ262247 SHF262247 SRB262247 TAX262247 TKT262247 TUP262247 UEL262247 UOH262247 UYD262247 VHZ262247 VRV262247 WBR262247 WLN262247 WVJ262247 B327783 IX327783 ST327783 ACP327783 AML327783 AWH327783 BGD327783 BPZ327783 BZV327783 CJR327783 CTN327783 DDJ327783 DNF327783 DXB327783 EGX327783 EQT327783 FAP327783 FKL327783 FUH327783 GED327783 GNZ327783 GXV327783 HHR327783 HRN327783 IBJ327783 ILF327783 IVB327783 JEX327783 JOT327783 JYP327783 KIL327783 KSH327783 LCD327783 LLZ327783 LVV327783 MFR327783 MPN327783 MZJ327783 NJF327783 NTB327783 OCX327783 OMT327783 OWP327783 PGL327783 PQH327783 QAD327783 QJZ327783 QTV327783 RDR327783 RNN327783 RXJ327783 SHF327783 SRB327783 TAX327783 TKT327783 TUP327783 UEL327783 UOH327783 UYD327783 VHZ327783 VRV327783 WBR327783 WLN327783 WVJ327783 B393319 IX393319 ST393319 ACP393319 AML393319 AWH393319 BGD393319 BPZ393319 BZV393319 CJR393319 CTN393319 DDJ393319 DNF393319 DXB393319 EGX393319 EQT393319 FAP393319 FKL393319 FUH393319 GED393319 GNZ393319 GXV393319 HHR393319 HRN393319 IBJ393319 ILF393319 IVB393319 JEX393319 JOT393319 JYP393319 KIL393319 KSH393319 LCD393319 LLZ393319 LVV393319 MFR393319 MPN393319 MZJ393319 NJF393319 NTB393319 OCX393319 OMT393319 OWP393319 PGL393319 PQH393319 QAD393319 QJZ393319 QTV393319 RDR393319 RNN393319 RXJ393319 SHF393319 SRB393319 TAX393319 TKT393319 TUP393319 UEL393319 UOH393319 UYD393319 VHZ393319 VRV393319 WBR393319 WLN393319 WVJ393319 B458855 IX458855 ST458855 ACP458855 AML458855 AWH458855 BGD458855 BPZ458855 BZV458855 CJR458855 CTN458855 DDJ458855 DNF458855 DXB458855 EGX458855 EQT458855 FAP458855 FKL458855 FUH458855 GED458855 GNZ458855 GXV458855 HHR458855 HRN458855 IBJ458855 ILF458855 IVB458855 JEX458855 JOT458855 JYP458855 KIL458855 KSH458855 LCD458855 LLZ458855 LVV458855 MFR458855 MPN458855 MZJ458855 NJF458855 NTB458855 OCX458855 OMT458855 OWP458855 PGL458855 PQH458855 QAD458855 QJZ458855 QTV458855 RDR458855 RNN458855 RXJ458855 SHF458855 SRB458855 TAX458855 TKT458855 TUP458855 UEL458855 UOH458855 UYD458855 VHZ458855 VRV458855 WBR458855 WLN458855 WVJ458855 B524391 IX524391 ST524391 ACP524391 AML524391 AWH524391 BGD524391 BPZ524391 BZV524391 CJR524391 CTN524391 DDJ524391 DNF524391 DXB524391 EGX524391 EQT524391 FAP524391 FKL524391 FUH524391 GED524391 GNZ524391 GXV524391 HHR524391 HRN524391 IBJ524391 ILF524391 IVB524391 JEX524391 JOT524391 JYP524391 KIL524391 KSH524391 LCD524391 LLZ524391 LVV524391 MFR524391 MPN524391 MZJ524391 NJF524391 NTB524391 OCX524391 OMT524391 OWP524391 PGL524391 PQH524391 QAD524391 QJZ524391 QTV524391 RDR524391 RNN524391 RXJ524391 SHF524391 SRB524391 TAX524391 TKT524391 TUP524391 UEL524391 UOH524391 UYD524391 VHZ524391 VRV524391 WBR524391 WLN524391 WVJ524391 B589927 IX589927 ST589927 ACP589927 AML589927 AWH589927 BGD589927 BPZ589927 BZV589927 CJR589927 CTN589927 DDJ589927 DNF589927 DXB589927 EGX589927 EQT589927 FAP589927 FKL589927 FUH589927 GED589927 GNZ589927 GXV589927 HHR589927 HRN589927 IBJ589927 ILF589927 IVB589927 JEX589927 JOT589927 JYP589927 KIL589927 KSH589927 LCD589927 LLZ589927 LVV589927 MFR589927 MPN589927 MZJ589927 NJF589927 NTB589927 OCX589927 OMT589927 OWP589927 PGL589927 PQH589927 QAD589927 QJZ589927 QTV589927 RDR589927 RNN589927 RXJ589927 SHF589927 SRB589927 TAX589927 TKT589927 TUP589927 UEL589927 UOH589927 UYD589927 VHZ589927 VRV589927 WBR589927 WLN589927 WVJ589927 B655463 IX655463 ST655463 ACP655463 AML655463 AWH655463 BGD655463 BPZ655463 BZV655463 CJR655463 CTN655463 DDJ655463 DNF655463 DXB655463 EGX655463 EQT655463 FAP655463 FKL655463 FUH655463 GED655463 GNZ655463 GXV655463 HHR655463 HRN655463 IBJ655463 ILF655463 IVB655463 JEX655463 JOT655463 JYP655463 KIL655463 KSH655463 LCD655463 LLZ655463 LVV655463 MFR655463 MPN655463 MZJ655463 NJF655463 NTB655463 OCX655463 OMT655463 OWP655463 PGL655463 PQH655463 QAD655463 QJZ655463 QTV655463 RDR655463 RNN655463 RXJ655463 SHF655463 SRB655463 TAX655463 TKT655463 TUP655463 UEL655463 UOH655463 UYD655463 VHZ655463 VRV655463 WBR655463 WLN655463 WVJ655463 B720999 IX720999 ST720999 ACP720999 AML720999 AWH720999 BGD720999 BPZ720999 BZV720999 CJR720999 CTN720999 DDJ720999 DNF720999 DXB720999 EGX720999 EQT720999 FAP720999 FKL720999 FUH720999 GED720999 GNZ720999 GXV720999 HHR720999 HRN720999 IBJ720999 ILF720999 IVB720999 JEX720999 JOT720999 JYP720999 KIL720999 KSH720999 LCD720999 LLZ720999 LVV720999 MFR720999 MPN720999 MZJ720999 NJF720999 NTB720999 OCX720999 OMT720999 OWP720999 PGL720999 PQH720999 QAD720999 QJZ720999 QTV720999 RDR720999 RNN720999 RXJ720999 SHF720999 SRB720999 TAX720999 TKT720999 TUP720999 UEL720999 UOH720999 UYD720999 VHZ720999 VRV720999 WBR720999 WLN720999 WVJ720999 B786535 IX786535 ST786535 ACP786535 AML786535 AWH786535 BGD786535 BPZ786535 BZV786535 CJR786535 CTN786535 DDJ786535 DNF786535 DXB786535 EGX786535 EQT786535 FAP786535 FKL786535 FUH786535 GED786535 GNZ786535 GXV786535 HHR786535 HRN786535 IBJ786535 ILF786535 IVB786535 JEX786535 JOT786535 JYP786535 KIL786535 KSH786535 LCD786535 LLZ786535 LVV786535 MFR786535 MPN786535 MZJ786535 NJF786535 NTB786535 OCX786535 OMT786535 OWP786535 PGL786535 PQH786535 QAD786535 QJZ786535 QTV786535 RDR786535 RNN786535 RXJ786535 SHF786535 SRB786535 TAX786535 TKT786535 TUP786535 UEL786535 UOH786535 UYD786535 VHZ786535 VRV786535 WBR786535 WLN786535 WVJ786535 B852071 IX852071 ST852071 ACP852071 AML852071 AWH852071 BGD852071 BPZ852071 BZV852071 CJR852071 CTN852071 DDJ852071 DNF852071 DXB852071 EGX852071 EQT852071 FAP852071 FKL852071 FUH852071 GED852071 GNZ852071 GXV852071 HHR852071 HRN852071 IBJ852071 ILF852071 IVB852071 JEX852071 JOT852071 JYP852071 KIL852071 KSH852071 LCD852071 LLZ852071 LVV852071 MFR852071 MPN852071 MZJ852071 NJF852071 NTB852071 OCX852071 OMT852071 OWP852071 PGL852071 PQH852071 QAD852071 QJZ852071 QTV852071 RDR852071 RNN852071 RXJ852071 SHF852071 SRB852071 TAX852071 TKT852071 TUP852071 UEL852071 UOH852071 UYD852071 VHZ852071 VRV852071 WBR852071 WLN852071 WVJ852071 B917607 IX917607 ST917607 ACP917607 AML917607 AWH917607 BGD917607 BPZ917607 BZV917607 CJR917607 CTN917607 DDJ917607 DNF917607 DXB917607 EGX917607 EQT917607 FAP917607 FKL917607 FUH917607 GED917607 GNZ917607 GXV917607 HHR917607 HRN917607 IBJ917607 ILF917607 IVB917607 JEX917607 JOT917607 JYP917607 KIL917607 KSH917607 LCD917607 LLZ917607 LVV917607 MFR917607 MPN917607 MZJ917607 NJF917607 NTB917607 OCX917607 OMT917607 OWP917607 PGL917607 PQH917607 QAD917607 QJZ917607 QTV917607 RDR917607 RNN917607 RXJ917607 SHF917607 SRB917607 TAX917607 TKT917607 TUP917607 UEL917607 UOH917607 UYD917607 VHZ917607 VRV917607 WBR917607 WLN917607 WVJ917607 B983143 IX983143 ST983143 ACP983143 AML983143 AWH983143 BGD983143 BPZ983143 BZV983143 CJR983143 CTN983143 DDJ983143 DNF983143 DXB983143 EGX983143 EQT983143 FAP983143 FKL983143 FUH983143 GED983143 GNZ983143 GXV983143 HHR983143 HRN983143 IBJ983143 ILF983143 IVB983143 JEX983143 JOT983143 JYP983143 KIL983143 KSH983143 LCD983143 LLZ983143 LVV983143 MFR983143 MPN983143 MZJ983143 NJF983143 NTB983143 OCX983143 OMT983143 OWP983143 PGL983143 PQH983143 QAD983143 QJZ983143 QTV983143 RDR983143 RNN983143 RXJ983143 SHF983143 SRB983143 TAX983143 TKT983143 TUP983143 UEL983143 UOH983143 UYD983143 VHZ983143 VRV983143 WBR983143 WLN983143 WVJ983143">
      <formula1>"--请选择--,5301 皇岗口岸,5320 文锦渡口岸,5345 深圳湾口岸,5303 沙头角口岸,5321 福田保税区,5322 沙头角保税区"</formula1>
    </dataValidation>
    <dataValidation type="list" showInputMessage="1" showErrorMessage="1" errorTitle="提示：" error="只允许点单元格右侧下拉菜单按钮来选择。" promptTitle="提示：" prompt="只允许点单元格右侧下拉菜单按钮来选择。" sqref="D3 IZ3 SV3 ACR3 AMN3 AWJ3 BGF3 BQB3 BZX3 CJT3 CTP3 DDL3 DNH3 DXD3 EGZ3 EQV3 FAR3 FKN3 FUJ3 GEF3 GOB3 GXX3 HHT3 HRP3 IBL3 ILH3 IVD3 JEZ3 JOV3 JYR3 KIN3 KSJ3 LCF3 LMB3 LVX3 MFT3 MPP3 MZL3 NJH3 NTD3 OCZ3 OMV3 OWR3 PGN3 PQJ3 QAF3 QKB3 QTX3 RDT3 RNP3 RXL3 SHH3 SRD3 TAZ3 TKV3 TUR3 UEN3 UOJ3 UYF3 VIB3 VRX3 WBT3 WLP3 WVL3 D65639 IZ65639 SV65639 ACR65639 AMN65639 AWJ65639 BGF65639 BQB65639 BZX65639 CJT65639 CTP65639 DDL65639 DNH65639 DXD65639 EGZ65639 EQV65639 FAR65639 FKN65639 FUJ65639 GEF65639 GOB65639 GXX65639 HHT65639 HRP65639 IBL65639 ILH65639 IVD65639 JEZ65639 JOV65639 JYR65639 KIN65639 KSJ65639 LCF65639 LMB65639 LVX65639 MFT65639 MPP65639 MZL65639 NJH65639 NTD65639 OCZ65639 OMV65639 OWR65639 PGN65639 PQJ65639 QAF65639 QKB65639 QTX65639 RDT65639 RNP65639 RXL65639 SHH65639 SRD65639 TAZ65639 TKV65639 TUR65639 UEN65639 UOJ65639 UYF65639 VIB65639 VRX65639 WBT65639 WLP65639 WVL65639 D131175 IZ131175 SV131175 ACR131175 AMN131175 AWJ131175 BGF131175 BQB131175 BZX131175 CJT131175 CTP131175 DDL131175 DNH131175 DXD131175 EGZ131175 EQV131175 FAR131175 FKN131175 FUJ131175 GEF131175 GOB131175 GXX131175 HHT131175 HRP131175 IBL131175 ILH131175 IVD131175 JEZ131175 JOV131175 JYR131175 KIN131175 KSJ131175 LCF131175 LMB131175 LVX131175 MFT131175 MPP131175 MZL131175 NJH131175 NTD131175 OCZ131175 OMV131175 OWR131175 PGN131175 PQJ131175 QAF131175 QKB131175 QTX131175 RDT131175 RNP131175 RXL131175 SHH131175 SRD131175 TAZ131175 TKV131175 TUR131175 UEN131175 UOJ131175 UYF131175 VIB131175 VRX131175 WBT131175 WLP131175 WVL131175 D196711 IZ196711 SV196711 ACR196711 AMN196711 AWJ196711 BGF196711 BQB196711 BZX196711 CJT196711 CTP196711 DDL196711 DNH196711 DXD196711 EGZ196711 EQV196711 FAR196711 FKN196711 FUJ196711 GEF196711 GOB196711 GXX196711 HHT196711 HRP196711 IBL196711 ILH196711 IVD196711 JEZ196711 JOV196711 JYR196711 KIN196711 KSJ196711 LCF196711 LMB196711 LVX196711 MFT196711 MPP196711 MZL196711 NJH196711 NTD196711 OCZ196711 OMV196711 OWR196711 PGN196711 PQJ196711 QAF196711 QKB196711 QTX196711 RDT196711 RNP196711 RXL196711 SHH196711 SRD196711 TAZ196711 TKV196711 TUR196711 UEN196711 UOJ196711 UYF196711 VIB196711 VRX196711 WBT196711 WLP196711 WVL196711 D262247 IZ262247 SV262247 ACR262247 AMN262247 AWJ262247 BGF262247 BQB262247 BZX262247 CJT262247 CTP262247 DDL262247 DNH262247 DXD262247 EGZ262247 EQV262247 FAR262247 FKN262247 FUJ262247 GEF262247 GOB262247 GXX262247 HHT262247 HRP262247 IBL262247 ILH262247 IVD262247 JEZ262247 JOV262247 JYR262247 KIN262247 KSJ262247 LCF262247 LMB262247 LVX262247 MFT262247 MPP262247 MZL262247 NJH262247 NTD262247 OCZ262247 OMV262247 OWR262247 PGN262247 PQJ262247 QAF262247 QKB262247 QTX262247 RDT262247 RNP262247 RXL262247 SHH262247 SRD262247 TAZ262247 TKV262247 TUR262247 UEN262247 UOJ262247 UYF262247 VIB262247 VRX262247 WBT262247 WLP262247 WVL262247 D327783 IZ327783 SV327783 ACR327783 AMN327783 AWJ327783 BGF327783 BQB327783 BZX327783 CJT327783 CTP327783 DDL327783 DNH327783 DXD327783 EGZ327783 EQV327783 FAR327783 FKN327783 FUJ327783 GEF327783 GOB327783 GXX327783 HHT327783 HRP327783 IBL327783 ILH327783 IVD327783 JEZ327783 JOV327783 JYR327783 KIN327783 KSJ327783 LCF327783 LMB327783 LVX327783 MFT327783 MPP327783 MZL327783 NJH327783 NTD327783 OCZ327783 OMV327783 OWR327783 PGN327783 PQJ327783 QAF327783 QKB327783 QTX327783 RDT327783 RNP327783 RXL327783 SHH327783 SRD327783 TAZ327783 TKV327783 TUR327783 UEN327783 UOJ327783 UYF327783 VIB327783 VRX327783 WBT327783 WLP327783 WVL327783 D393319 IZ393319 SV393319 ACR393319 AMN393319 AWJ393319 BGF393319 BQB393319 BZX393319 CJT393319 CTP393319 DDL393319 DNH393319 DXD393319 EGZ393319 EQV393319 FAR393319 FKN393319 FUJ393319 GEF393319 GOB393319 GXX393319 HHT393319 HRP393319 IBL393319 ILH393319 IVD393319 JEZ393319 JOV393319 JYR393319 KIN393319 KSJ393319 LCF393319 LMB393319 LVX393319 MFT393319 MPP393319 MZL393319 NJH393319 NTD393319 OCZ393319 OMV393319 OWR393319 PGN393319 PQJ393319 QAF393319 QKB393319 QTX393319 RDT393319 RNP393319 RXL393319 SHH393319 SRD393319 TAZ393319 TKV393319 TUR393319 UEN393319 UOJ393319 UYF393319 VIB393319 VRX393319 WBT393319 WLP393319 WVL393319 D458855 IZ458855 SV458855 ACR458855 AMN458855 AWJ458855 BGF458855 BQB458855 BZX458855 CJT458855 CTP458855 DDL458855 DNH458855 DXD458855 EGZ458855 EQV458855 FAR458855 FKN458855 FUJ458855 GEF458855 GOB458855 GXX458855 HHT458855 HRP458855 IBL458855 ILH458855 IVD458855 JEZ458855 JOV458855 JYR458855 KIN458855 KSJ458855 LCF458855 LMB458855 LVX458855 MFT458855 MPP458855 MZL458855 NJH458855 NTD458855 OCZ458855 OMV458855 OWR458855 PGN458855 PQJ458855 QAF458855 QKB458855 QTX458855 RDT458855 RNP458855 RXL458855 SHH458855 SRD458855 TAZ458855 TKV458855 TUR458855 UEN458855 UOJ458855 UYF458855 VIB458855 VRX458855 WBT458855 WLP458855 WVL458855 D524391 IZ524391 SV524391 ACR524391 AMN524391 AWJ524391 BGF524391 BQB524391 BZX524391 CJT524391 CTP524391 DDL524391 DNH524391 DXD524391 EGZ524391 EQV524391 FAR524391 FKN524391 FUJ524391 GEF524391 GOB524391 GXX524391 HHT524391 HRP524391 IBL524391 ILH524391 IVD524391 JEZ524391 JOV524391 JYR524391 KIN524391 KSJ524391 LCF524391 LMB524391 LVX524391 MFT524391 MPP524391 MZL524391 NJH524391 NTD524391 OCZ524391 OMV524391 OWR524391 PGN524391 PQJ524391 QAF524391 QKB524391 QTX524391 RDT524391 RNP524391 RXL524391 SHH524391 SRD524391 TAZ524391 TKV524391 TUR524391 UEN524391 UOJ524391 UYF524391 VIB524391 VRX524391 WBT524391 WLP524391 WVL524391 D589927 IZ589927 SV589927 ACR589927 AMN589927 AWJ589927 BGF589927 BQB589927 BZX589927 CJT589927 CTP589927 DDL589927 DNH589927 DXD589927 EGZ589927 EQV589927 FAR589927 FKN589927 FUJ589927 GEF589927 GOB589927 GXX589927 HHT589927 HRP589927 IBL589927 ILH589927 IVD589927 JEZ589927 JOV589927 JYR589927 KIN589927 KSJ589927 LCF589927 LMB589927 LVX589927 MFT589927 MPP589927 MZL589927 NJH589927 NTD589927 OCZ589927 OMV589927 OWR589927 PGN589927 PQJ589927 QAF589927 QKB589927 QTX589927 RDT589927 RNP589927 RXL589927 SHH589927 SRD589927 TAZ589927 TKV589927 TUR589927 UEN589927 UOJ589927 UYF589927 VIB589927 VRX589927 WBT589927 WLP589927 WVL589927 D655463 IZ655463 SV655463 ACR655463 AMN655463 AWJ655463 BGF655463 BQB655463 BZX655463 CJT655463 CTP655463 DDL655463 DNH655463 DXD655463 EGZ655463 EQV655463 FAR655463 FKN655463 FUJ655463 GEF655463 GOB655463 GXX655463 HHT655463 HRP655463 IBL655463 ILH655463 IVD655463 JEZ655463 JOV655463 JYR655463 KIN655463 KSJ655463 LCF655463 LMB655463 LVX655463 MFT655463 MPP655463 MZL655463 NJH655463 NTD655463 OCZ655463 OMV655463 OWR655463 PGN655463 PQJ655463 QAF655463 QKB655463 QTX655463 RDT655463 RNP655463 RXL655463 SHH655463 SRD655463 TAZ655463 TKV655463 TUR655463 UEN655463 UOJ655463 UYF655463 VIB655463 VRX655463 WBT655463 WLP655463 WVL655463 D720999 IZ720999 SV720999 ACR720999 AMN720999 AWJ720999 BGF720999 BQB720999 BZX720999 CJT720999 CTP720999 DDL720999 DNH720999 DXD720999 EGZ720999 EQV720999 FAR720999 FKN720999 FUJ720999 GEF720999 GOB720999 GXX720999 HHT720999 HRP720999 IBL720999 ILH720999 IVD720999 JEZ720999 JOV720999 JYR720999 KIN720999 KSJ720999 LCF720999 LMB720999 LVX720999 MFT720999 MPP720999 MZL720999 NJH720999 NTD720999 OCZ720999 OMV720999 OWR720999 PGN720999 PQJ720999 QAF720999 QKB720999 QTX720999 RDT720999 RNP720999 RXL720999 SHH720999 SRD720999 TAZ720999 TKV720999 TUR720999 UEN720999 UOJ720999 UYF720999 VIB720999 VRX720999 WBT720999 WLP720999 WVL720999 D786535 IZ786535 SV786535 ACR786535 AMN786535 AWJ786535 BGF786535 BQB786535 BZX786535 CJT786535 CTP786535 DDL786535 DNH786535 DXD786535 EGZ786535 EQV786535 FAR786535 FKN786535 FUJ786535 GEF786535 GOB786535 GXX786535 HHT786535 HRP786535 IBL786535 ILH786535 IVD786535 JEZ786535 JOV786535 JYR786535 KIN786535 KSJ786535 LCF786535 LMB786535 LVX786535 MFT786535 MPP786535 MZL786535 NJH786535 NTD786535 OCZ786535 OMV786535 OWR786535 PGN786535 PQJ786535 QAF786535 QKB786535 QTX786535 RDT786535 RNP786535 RXL786535 SHH786535 SRD786535 TAZ786535 TKV786535 TUR786535 UEN786535 UOJ786535 UYF786535 VIB786535 VRX786535 WBT786535 WLP786535 WVL786535 D852071 IZ852071 SV852071 ACR852071 AMN852071 AWJ852071 BGF852071 BQB852071 BZX852071 CJT852071 CTP852071 DDL852071 DNH852071 DXD852071 EGZ852071 EQV852071 FAR852071 FKN852071 FUJ852071 GEF852071 GOB852071 GXX852071 HHT852071 HRP852071 IBL852071 ILH852071 IVD852071 JEZ852071 JOV852071 JYR852071 KIN852071 KSJ852071 LCF852071 LMB852071 LVX852071 MFT852071 MPP852071 MZL852071 NJH852071 NTD852071 OCZ852071 OMV852071 OWR852071 PGN852071 PQJ852071 QAF852071 QKB852071 QTX852071 RDT852071 RNP852071 RXL852071 SHH852071 SRD852071 TAZ852071 TKV852071 TUR852071 UEN852071 UOJ852071 UYF852071 VIB852071 VRX852071 WBT852071 WLP852071 WVL852071 D917607 IZ917607 SV917607 ACR917607 AMN917607 AWJ917607 BGF917607 BQB917607 BZX917607 CJT917607 CTP917607 DDL917607 DNH917607 DXD917607 EGZ917607 EQV917607 FAR917607 FKN917607 FUJ917607 GEF917607 GOB917607 GXX917607 HHT917607 HRP917607 IBL917607 ILH917607 IVD917607 JEZ917607 JOV917607 JYR917607 KIN917607 KSJ917607 LCF917607 LMB917607 LVX917607 MFT917607 MPP917607 MZL917607 NJH917607 NTD917607 OCZ917607 OMV917607 OWR917607 PGN917607 PQJ917607 QAF917607 QKB917607 QTX917607 RDT917607 RNP917607 RXL917607 SHH917607 SRD917607 TAZ917607 TKV917607 TUR917607 UEN917607 UOJ917607 UYF917607 VIB917607 VRX917607 WBT917607 WLP917607 WVL917607 D983143 IZ983143 SV983143 ACR983143 AMN983143 AWJ983143 BGF983143 BQB983143 BZX983143 CJT983143 CTP983143 DDL983143 DNH983143 DXD983143 EGZ983143 EQV983143 FAR983143 FKN983143 FUJ983143 GEF983143 GOB983143 GXX983143 HHT983143 HRP983143 IBL983143 ILH983143 IVD983143 JEZ983143 JOV983143 JYR983143 KIN983143 KSJ983143 LCF983143 LMB983143 LVX983143 MFT983143 MPP983143 MZL983143 NJH983143 NTD983143 OCZ983143 OMV983143 OWR983143 PGN983143 PQJ983143 QAF983143 QKB983143 QTX983143 RDT983143 RNP983143 RXL983143 SHH983143 SRD983143 TAZ983143 TKV983143 TUR983143 UEN983143 UOJ983143 UYF983143 VIB983143 VRX983143 WBT983143 WLP983143 WVL983143">
      <formula1>"--请选择--,3 公路运输,6 其他"</formula1>
    </dataValidation>
    <dataValidation type="whole" imeMode="off" showInputMessage="1" showErrorMessage="1" errorTitle="提示：" error="---1开头的六联单，进口舱单填写卸货地代码。_x000a_---5开头的六联单，出口舱单填写装货地代码。" promptTitle="提示：" prompt="---1开头的六联单，进口舱单填写卸货地代码。_x000a_---5开头的六联单，出口舱单填写装货地代码。" sqref="F3 JB3 SX3 ACT3 AMP3 AWL3 BGH3 BQD3 BZZ3 CJV3 CTR3 DDN3 DNJ3 DXF3 EHB3 EQX3 FAT3 FKP3 FUL3 GEH3 GOD3 GXZ3 HHV3 HRR3 IBN3 ILJ3 IVF3 JFB3 JOX3 JYT3 KIP3 KSL3 LCH3 LMD3 LVZ3 MFV3 MPR3 MZN3 NJJ3 NTF3 ODB3 OMX3 OWT3 PGP3 PQL3 QAH3 QKD3 QTZ3 RDV3 RNR3 RXN3 SHJ3 SRF3 TBB3 TKX3 TUT3 UEP3 UOL3 UYH3 VID3 VRZ3 WBV3 WLR3 WVN3 F65639 JB65639 SX65639 ACT65639 AMP65639 AWL65639 BGH65639 BQD65639 BZZ65639 CJV65639 CTR65639 DDN65639 DNJ65639 DXF65639 EHB65639 EQX65639 FAT65639 FKP65639 FUL65639 GEH65639 GOD65639 GXZ65639 HHV65639 HRR65639 IBN65639 ILJ65639 IVF65639 JFB65639 JOX65639 JYT65639 KIP65639 KSL65639 LCH65639 LMD65639 LVZ65639 MFV65639 MPR65639 MZN65639 NJJ65639 NTF65639 ODB65639 OMX65639 OWT65639 PGP65639 PQL65639 QAH65639 QKD65639 QTZ65639 RDV65639 RNR65639 RXN65639 SHJ65639 SRF65639 TBB65639 TKX65639 TUT65639 UEP65639 UOL65639 UYH65639 VID65639 VRZ65639 WBV65639 WLR65639 WVN65639 F131175 JB131175 SX131175 ACT131175 AMP131175 AWL131175 BGH131175 BQD131175 BZZ131175 CJV131175 CTR131175 DDN131175 DNJ131175 DXF131175 EHB131175 EQX131175 FAT131175 FKP131175 FUL131175 GEH131175 GOD131175 GXZ131175 HHV131175 HRR131175 IBN131175 ILJ131175 IVF131175 JFB131175 JOX131175 JYT131175 KIP131175 KSL131175 LCH131175 LMD131175 LVZ131175 MFV131175 MPR131175 MZN131175 NJJ131175 NTF131175 ODB131175 OMX131175 OWT131175 PGP131175 PQL131175 QAH131175 QKD131175 QTZ131175 RDV131175 RNR131175 RXN131175 SHJ131175 SRF131175 TBB131175 TKX131175 TUT131175 UEP131175 UOL131175 UYH131175 VID131175 VRZ131175 WBV131175 WLR131175 WVN131175 F196711 JB196711 SX196711 ACT196711 AMP196711 AWL196711 BGH196711 BQD196711 BZZ196711 CJV196711 CTR196711 DDN196711 DNJ196711 DXF196711 EHB196711 EQX196711 FAT196711 FKP196711 FUL196711 GEH196711 GOD196711 GXZ196711 HHV196711 HRR196711 IBN196711 ILJ196711 IVF196711 JFB196711 JOX196711 JYT196711 KIP196711 KSL196711 LCH196711 LMD196711 LVZ196711 MFV196711 MPR196711 MZN196711 NJJ196711 NTF196711 ODB196711 OMX196711 OWT196711 PGP196711 PQL196711 QAH196711 QKD196711 QTZ196711 RDV196711 RNR196711 RXN196711 SHJ196711 SRF196711 TBB196711 TKX196711 TUT196711 UEP196711 UOL196711 UYH196711 VID196711 VRZ196711 WBV196711 WLR196711 WVN196711 F262247 JB262247 SX262247 ACT262247 AMP262247 AWL262247 BGH262247 BQD262247 BZZ262247 CJV262247 CTR262247 DDN262247 DNJ262247 DXF262247 EHB262247 EQX262247 FAT262247 FKP262247 FUL262247 GEH262247 GOD262247 GXZ262247 HHV262247 HRR262247 IBN262247 ILJ262247 IVF262247 JFB262247 JOX262247 JYT262247 KIP262247 KSL262247 LCH262247 LMD262247 LVZ262247 MFV262247 MPR262247 MZN262247 NJJ262247 NTF262247 ODB262247 OMX262247 OWT262247 PGP262247 PQL262247 QAH262247 QKD262247 QTZ262247 RDV262247 RNR262247 RXN262247 SHJ262247 SRF262247 TBB262247 TKX262247 TUT262247 UEP262247 UOL262247 UYH262247 VID262247 VRZ262247 WBV262247 WLR262247 WVN262247 F327783 JB327783 SX327783 ACT327783 AMP327783 AWL327783 BGH327783 BQD327783 BZZ327783 CJV327783 CTR327783 DDN327783 DNJ327783 DXF327783 EHB327783 EQX327783 FAT327783 FKP327783 FUL327783 GEH327783 GOD327783 GXZ327783 HHV327783 HRR327783 IBN327783 ILJ327783 IVF327783 JFB327783 JOX327783 JYT327783 KIP327783 KSL327783 LCH327783 LMD327783 LVZ327783 MFV327783 MPR327783 MZN327783 NJJ327783 NTF327783 ODB327783 OMX327783 OWT327783 PGP327783 PQL327783 QAH327783 QKD327783 QTZ327783 RDV327783 RNR327783 RXN327783 SHJ327783 SRF327783 TBB327783 TKX327783 TUT327783 UEP327783 UOL327783 UYH327783 VID327783 VRZ327783 WBV327783 WLR327783 WVN327783 F393319 JB393319 SX393319 ACT393319 AMP393319 AWL393319 BGH393319 BQD393319 BZZ393319 CJV393319 CTR393319 DDN393319 DNJ393319 DXF393319 EHB393319 EQX393319 FAT393319 FKP393319 FUL393319 GEH393319 GOD393319 GXZ393319 HHV393319 HRR393319 IBN393319 ILJ393319 IVF393319 JFB393319 JOX393319 JYT393319 KIP393319 KSL393319 LCH393319 LMD393319 LVZ393319 MFV393319 MPR393319 MZN393319 NJJ393319 NTF393319 ODB393319 OMX393319 OWT393319 PGP393319 PQL393319 QAH393319 QKD393319 QTZ393319 RDV393319 RNR393319 RXN393319 SHJ393319 SRF393319 TBB393319 TKX393319 TUT393319 UEP393319 UOL393319 UYH393319 VID393319 VRZ393319 WBV393319 WLR393319 WVN393319 F458855 JB458855 SX458855 ACT458855 AMP458855 AWL458855 BGH458855 BQD458855 BZZ458855 CJV458855 CTR458855 DDN458855 DNJ458855 DXF458855 EHB458855 EQX458855 FAT458855 FKP458855 FUL458855 GEH458855 GOD458855 GXZ458855 HHV458855 HRR458855 IBN458855 ILJ458855 IVF458855 JFB458855 JOX458855 JYT458855 KIP458855 KSL458855 LCH458855 LMD458855 LVZ458855 MFV458855 MPR458855 MZN458855 NJJ458855 NTF458855 ODB458855 OMX458855 OWT458855 PGP458855 PQL458855 QAH458855 QKD458855 QTZ458855 RDV458855 RNR458855 RXN458855 SHJ458855 SRF458855 TBB458855 TKX458855 TUT458855 UEP458855 UOL458855 UYH458855 VID458855 VRZ458855 WBV458855 WLR458855 WVN458855 F524391 JB524391 SX524391 ACT524391 AMP524391 AWL524391 BGH524391 BQD524391 BZZ524391 CJV524391 CTR524391 DDN524391 DNJ524391 DXF524391 EHB524391 EQX524391 FAT524391 FKP524391 FUL524391 GEH524391 GOD524391 GXZ524391 HHV524391 HRR524391 IBN524391 ILJ524391 IVF524391 JFB524391 JOX524391 JYT524391 KIP524391 KSL524391 LCH524391 LMD524391 LVZ524391 MFV524391 MPR524391 MZN524391 NJJ524391 NTF524391 ODB524391 OMX524391 OWT524391 PGP524391 PQL524391 QAH524391 QKD524391 QTZ524391 RDV524391 RNR524391 RXN524391 SHJ524391 SRF524391 TBB524391 TKX524391 TUT524391 UEP524391 UOL524391 UYH524391 VID524391 VRZ524391 WBV524391 WLR524391 WVN524391 F589927 JB589927 SX589927 ACT589927 AMP589927 AWL589927 BGH589927 BQD589927 BZZ589927 CJV589927 CTR589927 DDN589927 DNJ589927 DXF589927 EHB589927 EQX589927 FAT589927 FKP589927 FUL589927 GEH589927 GOD589927 GXZ589927 HHV589927 HRR589927 IBN589927 ILJ589927 IVF589927 JFB589927 JOX589927 JYT589927 KIP589927 KSL589927 LCH589927 LMD589927 LVZ589927 MFV589927 MPR589927 MZN589927 NJJ589927 NTF589927 ODB589927 OMX589927 OWT589927 PGP589927 PQL589927 QAH589927 QKD589927 QTZ589927 RDV589927 RNR589927 RXN589927 SHJ589927 SRF589927 TBB589927 TKX589927 TUT589927 UEP589927 UOL589927 UYH589927 VID589927 VRZ589927 WBV589927 WLR589927 WVN589927 F655463 JB655463 SX655463 ACT655463 AMP655463 AWL655463 BGH655463 BQD655463 BZZ655463 CJV655463 CTR655463 DDN655463 DNJ655463 DXF655463 EHB655463 EQX655463 FAT655463 FKP655463 FUL655463 GEH655463 GOD655463 GXZ655463 HHV655463 HRR655463 IBN655463 ILJ655463 IVF655463 JFB655463 JOX655463 JYT655463 KIP655463 KSL655463 LCH655463 LMD655463 LVZ655463 MFV655463 MPR655463 MZN655463 NJJ655463 NTF655463 ODB655463 OMX655463 OWT655463 PGP655463 PQL655463 QAH655463 QKD655463 QTZ655463 RDV655463 RNR655463 RXN655463 SHJ655463 SRF655463 TBB655463 TKX655463 TUT655463 UEP655463 UOL655463 UYH655463 VID655463 VRZ655463 WBV655463 WLR655463 WVN655463 F720999 JB720999 SX720999 ACT720999 AMP720999 AWL720999 BGH720999 BQD720999 BZZ720999 CJV720999 CTR720999 DDN720999 DNJ720999 DXF720999 EHB720999 EQX720999 FAT720999 FKP720999 FUL720999 GEH720999 GOD720999 GXZ720999 HHV720999 HRR720999 IBN720999 ILJ720999 IVF720999 JFB720999 JOX720999 JYT720999 KIP720999 KSL720999 LCH720999 LMD720999 LVZ720999 MFV720999 MPR720999 MZN720999 NJJ720999 NTF720999 ODB720999 OMX720999 OWT720999 PGP720999 PQL720999 QAH720999 QKD720999 QTZ720999 RDV720999 RNR720999 RXN720999 SHJ720999 SRF720999 TBB720999 TKX720999 TUT720999 UEP720999 UOL720999 UYH720999 VID720999 VRZ720999 WBV720999 WLR720999 WVN720999 F786535 JB786535 SX786535 ACT786535 AMP786535 AWL786535 BGH786535 BQD786535 BZZ786535 CJV786535 CTR786535 DDN786535 DNJ786535 DXF786535 EHB786535 EQX786535 FAT786535 FKP786535 FUL786535 GEH786535 GOD786535 GXZ786535 HHV786535 HRR786535 IBN786535 ILJ786535 IVF786535 JFB786535 JOX786535 JYT786535 KIP786535 KSL786535 LCH786535 LMD786535 LVZ786535 MFV786535 MPR786535 MZN786535 NJJ786535 NTF786535 ODB786535 OMX786535 OWT786535 PGP786535 PQL786535 QAH786535 QKD786535 QTZ786535 RDV786535 RNR786535 RXN786535 SHJ786535 SRF786535 TBB786535 TKX786535 TUT786535 UEP786535 UOL786535 UYH786535 VID786535 VRZ786535 WBV786535 WLR786535 WVN786535 F852071 JB852071 SX852071 ACT852071 AMP852071 AWL852071 BGH852071 BQD852071 BZZ852071 CJV852071 CTR852071 DDN852071 DNJ852071 DXF852071 EHB852071 EQX852071 FAT852071 FKP852071 FUL852071 GEH852071 GOD852071 GXZ852071 HHV852071 HRR852071 IBN852071 ILJ852071 IVF852071 JFB852071 JOX852071 JYT852071 KIP852071 KSL852071 LCH852071 LMD852071 LVZ852071 MFV852071 MPR852071 MZN852071 NJJ852071 NTF852071 ODB852071 OMX852071 OWT852071 PGP852071 PQL852071 QAH852071 QKD852071 QTZ852071 RDV852071 RNR852071 RXN852071 SHJ852071 SRF852071 TBB852071 TKX852071 TUT852071 UEP852071 UOL852071 UYH852071 VID852071 VRZ852071 WBV852071 WLR852071 WVN852071 F917607 JB917607 SX917607 ACT917607 AMP917607 AWL917607 BGH917607 BQD917607 BZZ917607 CJV917607 CTR917607 DDN917607 DNJ917607 DXF917607 EHB917607 EQX917607 FAT917607 FKP917607 FUL917607 GEH917607 GOD917607 GXZ917607 HHV917607 HRR917607 IBN917607 ILJ917607 IVF917607 JFB917607 JOX917607 JYT917607 KIP917607 KSL917607 LCH917607 LMD917607 LVZ917607 MFV917607 MPR917607 MZN917607 NJJ917607 NTF917607 ODB917607 OMX917607 OWT917607 PGP917607 PQL917607 QAH917607 QKD917607 QTZ917607 RDV917607 RNR917607 RXN917607 SHJ917607 SRF917607 TBB917607 TKX917607 TUT917607 UEP917607 UOL917607 UYH917607 VID917607 VRZ917607 WBV917607 WLR917607 WVN917607 F983143 JB983143 SX983143 ACT983143 AMP983143 AWL983143 BGH983143 BQD983143 BZZ983143 CJV983143 CTR983143 DDN983143 DNJ983143 DXF983143 EHB983143 EQX983143 FAT983143 FKP983143 FUL983143 GEH983143 GOD983143 GXZ983143 HHV983143 HRR983143 IBN983143 ILJ983143 IVF983143 JFB983143 JOX983143 JYT983143 KIP983143 KSL983143 LCH983143 LMD983143 LVZ983143 MFV983143 MPR983143 MZN983143 NJJ983143 NTF983143 ODB983143 OMX983143 OWT983143 PGP983143 PQL983143 QAH983143 QKD983143 QTZ983143 RDV983143 RNR983143 RXN983143 SHJ983143 SRF983143 TBB983143 TKX983143 TUT983143 UEP983143 UOL983143 UYH983143 VID983143 VRZ983143 WBV983143 WLR983143 WVN983143">
      <formula1>1000</formula1>
      <formula2>1000000</formula2>
    </dataValidation>
    <dataValidation type="textLength" imeMode="off" operator="equal" showInputMessage="1" showErrorMessage="1" errorTitle="提示：" error="共计14位长度，例如：20141219123000，代表为：2014年12月19号12点30分00秒。" promptTitle="提示：" prompt="共计14位长度，例如：20141219123000，代表为：2014年12月19号12点30分00秒。" sqref="H3 JD3 SZ3 ACV3 AMR3 AWN3 BGJ3 BQF3 CAB3 CJX3 CTT3 DDP3 DNL3 DXH3 EHD3 EQZ3 FAV3 FKR3 FUN3 GEJ3 GOF3 GYB3 HHX3 HRT3 IBP3 ILL3 IVH3 JFD3 JOZ3 JYV3 KIR3 KSN3 LCJ3 LMF3 LWB3 MFX3 MPT3 MZP3 NJL3 NTH3 ODD3 OMZ3 OWV3 PGR3 PQN3 QAJ3 QKF3 QUB3 RDX3 RNT3 RXP3 SHL3 SRH3 TBD3 TKZ3 TUV3 UER3 UON3 UYJ3 VIF3 VSB3 WBX3 WLT3 WVP3 H65639 JD65639 SZ65639 ACV65639 AMR65639 AWN65639 BGJ65639 BQF65639 CAB65639 CJX65639 CTT65639 DDP65639 DNL65639 DXH65639 EHD65639 EQZ65639 FAV65639 FKR65639 FUN65639 GEJ65639 GOF65639 GYB65639 HHX65639 HRT65639 IBP65639 ILL65639 IVH65639 JFD65639 JOZ65639 JYV65639 KIR65639 KSN65639 LCJ65639 LMF65639 LWB65639 MFX65639 MPT65639 MZP65639 NJL65639 NTH65639 ODD65639 OMZ65639 OWV65639 PGR65639 PQN65639 QAJ65639 QKF65639 QUB65639 RDX65639 RNT65639 RXP65639 SHL65639 SRH65639 TBD65639 TKZ65639 TUV65639 UER65639 UON65639 UYJ65639 VIF65639 VSB65639 WBX65639 WLT65639 WVP65639 H131175 JD131175 SZ131175 ACV131175 AMR131175 AWN131175 BGJ131175 BQF131175 CAB131175 CJX131175 CTT131175 DDP131175 DNL131175 DXH131175 EHD131175 EQZ131175 FAV131175 FKR131175 FUN131175 GEJ131175 GOF131175 GYB131175 HHX131175 HRT131175 IBP131175 ILL131175 IVH131175 JFD131175 JOZ131175 JYV131175 KIR131175 KSN131175 LCJ131175 LMF131175 LWB131175 MFX131175 MPT131175 MZP131175 NJL131175 NTH131175 ODD131175 OMZ131175 OWV131175 PGR131175 PQN131175 QAJ131175 QKF131175 QUB131175 RDX131175 RNT131175 RXP131175 SHL131175 SRH131175 TBD131175 TKZ131175 TUV131175 UER131175 UON131175 UYJ131175 VIF131175 VSB131175 WBX131175 WLT131175 WVP131175 H196711 JD196711 SZ196711 ACV196711 AMR196711 AWN196711 BGJ196711 BQF196711 CAB196711 CJX196711 CTT196711 DDP196711 DNL196711 DXH196711 EHD196711 EQZ196711 FAV196711 FKR196711 FUN196711 GEJ196711 GOF196711 GYB196711 HHX196711 HRT196711 IBP196711 ILL196711 IVH196711 JFD196711 JOZ196711 JYV196711 KIR196711 KSN196711 LCJ196711 LMF196711 LWB196711 MFX196711 MPT196711 MZP196711 NJL196711 NTH196711 ODD196711 OMZ196711 OWV196711 PGR196711 PQN196711 QAJ196711 QKF196711 QUB196711 RDX196711 RNT196711 RXP196711 SHL196711 SRH196711 TBD196711 TKZ196711 TUV196711 UER196711 UON196711 UYJ196711 VIF196711 VSB196711 WBX196711 WLT196711 WVP196711 H262247 JD262247 SZ262247 ACV262247 AMR262247 AWN262247 BGJ262247 BQF262247 CAB262247 CJX262247 CTT262247 DDP262247 DNL262247 DXH262247 EHD262247 EQZ262247 FAV262247 FKR262247 FUN262247 GEJ262247 GOF262247 GYB262247 HHX262247 HRT262247 IBP262247 ILL262247 IVH262247 JFD262247 JOZ262247 JYV262247 KIR262247 KSN262247 LCJ262247 LMF262247 LWB262247 MFX262247 MPT262247 MZP262247 NJL262247 NTH262247 ODD262247 OMZ262247 OWV262247 PGR262247 PQN262247 QAJ262247 QKF262247 QUB262247 RDX262247 RNT262247 RXP262247 SHL262247 SRH262247 TBD262247 TKZ262247 TUV262247 UER262247 UON262247 UYJ262247 VIF262247 VSB262247 WBX262247 WLT262247 WVP262247 H327783 JD327783 SZ327783 ACV327783 AMR327783 AWN327783 BGJ327783 BQF327783 CAB327783 CJX327783 CTT327783 DDP327783 DNL327783 DXH327783 EHD327783 EQZ327783 FAV327783 FKR327783 FUN327783 GEJ327783 GOF327783 GYB327783 HHX327783 HRT327783 IBP327783 ILL327783 IVH327783 JFD327783 JOZ327783 JYV327783 KIR327783 KSN327783 LCJ327783 LMF327783 LWB327783 MFX327783 MPT327783 MZP327783 NJL327783 NTH327783 ODD327783 OMZ327783 OWV327783 PGR327783 PQN327783 QAJ327783 QKF327783 QUB327783 RDX327783 RNT327783 RXP327783 SHL327783 SRH327783 TBD327783 TKZ327783 TUV327783 UER327783 UON327783 UYJ327783 VIF327783 VSB327783 WBX327783 WLT327783 WVP327783 H393319 JD393319 SZ393319 ACV393319 AMR393319 AWN393319 BGJ393319 BQF393319 CAB393319 CJX393319 CTT393319 DDP393319 DNL393319 DXH393319 EHD393319 EQZ393319 FAV393319 FKR393319 FUN393319 GEJ393319 GOF393319 GYB393319 HHX393319 HRT393319 IBP393319 ILL393319 IVH393319 JFD393319 JOZ393319 JYV393319 KIR393319 KSN393319 LCJ393319 LMF393319 LWB393319 MFX393319 MPT393319 MZP393319 NJL393319 NTH393319 ODD393319 OMZ393319 OWV393319 PGR393319 PQN393319 QAJ393319 QKF393319 QUB393319 RDX393319 RNT393319 RXP393319 SHL393319 SRH393319 TBD393319 TKZ393319 TUV393319 UER393319 UON393319 UYJ393319 VIF393319 VSB393319 WBX393319 WLT393319 WVP393319 H458855 JD458855 SZ458855 ACV458855 AMR458855 AWN458855 BGJ458855 BQF458855 CAB458855 CJX458855 CTT458855 DDP458855 DNL458855 DXH458855 EHD458855 EQZ458855 FAV458855 FKR458855 FUN458855 GEJ458855 GOF458855 GYB458855 HHX458855 HRT458855 IBP458855 ILL458855 IVH458855 JFD458855 JOZ458855 JYV458855 KIR458855 KSN458855 LCJ458855 LMF458855 LWB458855 MFX458855 MPT458855 MZP458855 NJL458855 NTH458855 ODD458855 OMZ458855 OWV458855 PGR458855 PQN458855 QAJ458855 QKF458855 QUB458855 RDX458855 RNT458855 RXP458855 SHL458855 SRH458855 TBD458855 TKZ458855 TUV458855 UER458855 UON458855 UYJ458855 VIF458855 VSB458855 WBX458855 WLT458855 WVP458855 H524391 JD524391 SZ524391 ACV524391 AMR524391 AWN524391 BGJ524391 BQF524391 CAB524391 CJX524391 CTT524391 DDP524391 DNL524391 DXH524391 EHD524391 EQZ524391 FAV524391 FKR524391 FUN524391 GEJ524391 GOF524391 GYB524391 HHX524391 HRT524391 IBP524391 ILL524391 IVH524391 JFD524391 JOZ524391 JYV524391 KIR524391 KSN524391 LCJ524391 LMF524391 LWB524391 MFX524391 MPT524391 MZP524391 NJL524391 NTH524391 ODD524391 OMZ524391 OWV524391 PGR524391 PQN524391 QAJ524391 QKF524391 QUB524391 RDX524391 RNT524391 RXP524391 SHL524391 SRH524391 TBD524391 TKZ524391 TUV524391 UER524391 UON524391 UYJ524391 VIF524391 VSB524391 WBX524391 WLT524391 WVP524391 H589927 JD589927 SZ589927 ACV589927 AMR589927 AWN589927 BGJ589927 BQF589927 CAB589927 CJX589927 CTT589927 DDP589927 DNL589927 DXH589927 EHD589927 EQZ589927 FAV589927 FKR589927 FUN589927 GEJ589927 GOF589927 GYB589927 HHX589927 HRT589927 IBP589927 ILL589927 IVH589927 JFD589927 JOZ589927 JYV589927 KIR589927 KSN589927 LCJ589927 LMF589927 LWB589927 MFX589927 MPT589927 MZP589927 NJL589927 NTH589927 ODD589927 OMZ589927 OWV589927 PGR589927 PQN589927 QAJ589927 QKF589927 QUB589927 RDX589927 RNT589927 RXP589927 SHL589927 SRH589927 TBD589927 TKZ589927 TUV589927 UER589927 UON589927 UYJ589927 VIF589927 VSB589927 WBX589927 WLT589927 WVP589927 H655463 JD655463 SZ655463 ACV655463 AMR655463 AWN655463 BGJ655463 BQF655463 CAB655463 CJX655463 CTT655463 DDP655463 DNL655463 DXH655463 EHD655463 EQZ655463 FAV655463 FKR655463 FUN655463 GEJ655463 GOF655463 GYB655463 HHX655463 HRT655463 IBP655463 ILL655463 IVH655463 JFD655463 JOZ655463 JYV655463 KIR655463 KSN655463 LCJ655463 LMF655463 LWB655463 MFX655463 MPT655463 MZP655463 NJL655463 NTH655463 ODD655463 OMZ655463 OWV655463 PGR655463 PQN655463 QAJ655463 QKF655463 QUB655463 RDX655463 RNT655463 RXP655463 SHL655463 SRH655463 TBD655463 TKZ655463 TUV655463 UER655463 UON655463 UYJ655463 VIF655463 VSB655463 WBX655463 WLT655463 WVP655463 H720999 JD720999 SZ720999 ACV720999 AMR720999 AWN720999 BGJ720999 BQF720999 CAB720999 CJX720999 CTT720999 DDP720999 DNL720999 DXH720999 EHD720999 EQZ720999 FAV720999 FKR720999 FUN720999 GEJ720999 GOF720999 GYB720999 HHX720999 HRT720999 IBP720999 ILL720999 IVH720999 JFD720999 JOZ720999 JYV720999 KIR720999 KSN720999 LCJ720999 LMF720999 LWB720999 MFX720999 MPT720999 MZP720999 NJL720999 NTH720999 ODD720999 OMZ720999 OWV720999 PGR720999 PQN720999 QAJ720999 QKF720999 QUB720999 RDX720999 RNT720999 RXP720999 SHL720999 SRH720999 TBD720999 TKZ720999 TUV720999 UER720999 UON720999 UYJ720999 VIF720999 VSB720999 WBX720999 WLT720999 WVP720999 H786535 JD786535 SZ786535 ACV786535 AMR786535 AWN786535 BGJ786535 BQF786535 CAB786535 CJX786535 CTT786535 DDP786535 DNL786535 DXH786535 EHD786535 EQZ786535 FAV786535 FKR786535 FUN786535 GEJ786535 GOF786535 GYB786535 HHX786535 HRT786535 IBP786535 ILL786535 IVH786535 JFD786535 JOZ786535 JYV786535 KIR786535 KSN786535 LCJ786535 LMF786535 LWB786535 MFX786535 MPT786535 MZP786535 NJL786535 NTH786535 ODD786535 OMZ786535 OWV786535 PGR786535 PQN786535 QAJ786535 QKF786535 QUB786535 RDX786535 RNT786535 RXP786535 SHL786535 SRH786535 TBD786535 TKZ786535 TUV786535 UER786535 UON786535 UYJ786535 VIF786535 VSB786535 WBX786535 WLT786535 WVP786535 H852071 JD852071 SZ852071 ACV852071 AMR852071 AWN852071 BGJ852071 BQF852071 CAB852071 CJX852071 CTT852071 DDP852071 DNL852071 DXH852071 EHD852071 EQZ852071 FAV852071 FKR852071 FUN852071 GEJ852071 GOF852071 GYB852071 HHX852071 HRT852071 IBP852071 ILL852071 IVH852071 JFD852071 JOZ852071 JYV852071 KIR852071 KSN852071 LCJ852071 LMF852071 LWB852071 MFX852071 MPT852071 MZP852071 NJL852071 NTH852071 ODD852071 OMZ852071 OWV852071 PGR852071 PQN852071 QAJ852071 QKF852071 QUB852071 RDX852071 RNT852071 RXP852071 SHL852071 SRH852071 TBD852071 TKZ852071 TUV852071 UER852071 UON852071 UYJ852071 VIF852071 VSB852071 WBX852071 WLT852071 WVP852071 H917607 JD917607 SZ917607 ACV917607 AMR917607 AWN917607 BGJ917607 BQF917607 CAB917607 CJX917607 CTT917607 DDP917607 DNL917607 DXH917607 EHD917607 EQZ917607 FAV917607 FKR917607 FUN917607 GEJ917607 GOF917607 GYB917607 HHX917607 HRT917607 IBP917607 ILL917607 IVH917607 JFD917607 JOZ917607 JYV917607 KIR917607 KSN917607 LCJ917607 LMF917607 LWB917607 MFX917607 MPT917607 MZP917607 NJL917607 NTH917607 ODD917607 OMZ917607 OWV917607 PGR917607 PQN917607 QAJ917607 QKF917607 QUB917607 RDX917607 RNT917607 RXP917607 SHL917607 SRH917607 TBD917607 TKZ917607 TUV917607 UER917607 UON917607 UYJ917607 VIF917607 VSB917607 WBX917607 WLT917607 WVP917607 H983143 JD983143 SZ983143 ACV983143 AMR983143 AWN983143 BGJ983143 BQF983143 CAB983143 CJX983143 CTT983143 DDP983143 DNL983143 DXH983143 EHD983143 EQZ983143 FAV983143 FKR983143 FUN983143 GEJ983143 GOF983143 GYB983143 HHX983143 HRT983143 IBP983143 ILL983143 IVH983143 JFD983143 JOZ983143 JYV983143 KIR983143 KSN983143 LCJ983143 LMF983143 LWB983143 MFX983143 MPT983143 MZP983143 NJL983143 NTH983143 ODD983143 OMZ983143 OWV983143 PGR983143 PQN983143 QAJ983143 QKF983143 QUB983143 RDX983143 RNT983143 RXP983143 SHL983143 SRH983143 TBD983143 TKZ983143 TUV983143 UER983143 UON983143 UYJ983143 VIF983143 VSB983143 WBX983143 WLT983143 WVP983143">
      <formula1>14</formula1>
    </dataValidation>
    <dataValidation type="list" imeMode="off" showInputMessage="1" showErrorMessage="1" errorTitle="提示：" error="只允许点单元格右侧下拉菜单按钮来选择。" promptTitle="提示：" prompt="只允许点单元格右侧下拉菜单按钮来选择。"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640 IZ65640 SV65640 ACR65640 AMN65640 AWJ65640 BGF65640 BQB65640 BZX65640 CJT65640 CTP65640 DDL65640 DNH65640 DXD65640 EGZ65640 EQV65640 FAR65640 FKN65640 FUJ65640 GEF65640 GOB65640 GXX65640 HHT65640 HRP65640 IBL65640 ILH65640 IVD65640 JEZ65640 JOV65640 JYR65640 KIN65640 KSJ65640 LCF65640 LMB65640 LVX65640 MFT65640 MPP65640 MZL65640 NJH65640 NTD65640 OCZ65640 OMV65640 OWR65640 PGN65640 PQJ65640 QAF65640 QKB65640 QTX65640 RDT65640 RNP65640 RXL65640 SHH65640 SRD65640 TAZ65640 TKV65640 TUR65640 UEN65640 UOJ65640 UYF65640 VIB65640 VRX65640 WBT65640 WLP65640 WVL65640 D131176 IZ131176 SV131176 ACR131176 AMN131176 AWJ131176 BGF131176 BQB131176 BZX131176 CJT131176 CTP131176 DDL131176 DNH131176 DXD131176 EGZ131176 EQV131176 FAR131176 FKN131176 FUJ131176 GEF131176 GOB131176 GXX131176 HHT131176 HRP131176 IBL131176 ILH131176 IVD131176 JEZ131176 JOV131176 JYR131176 KIN131176 KSJ131176 LCF131176 LMB131176 LVX131176 MFT131176 MPP131176 MZL131176 NJH131176 NTD131176 OCZ131176 OMV131176 OWR131176 PGN131176 PQJ131176 QAF131176 QKB131176 QTX131176 RDT131176 RNP131176 RXL131176 SHH131176 SRD131176 TAZ131176 TKV131176 TUR131176 UEN131176 UOJ131176 UYF131176 VIB131176 VRX131176 WBT131176 WLP131176 WVL131176 D196712 IZ196712 SV196712 ACR196712 AMN196712 AWJ196712 BGF196712 BQB196712 BZX196712 CJT196712 CTP196712 DDL196712 DNH196712 DXD196712 EGZ196712 EQV196712 FAR196712 FKN196712 FUJ196712 GEF196712 GOB196712 GXX196712 HHT196712 HRP196712 IBL196712 ILH196712 IVD196712 JEZ196712 JOV196712 JYR196712 KIN196712 KSJ196712 LCF196712 LMB196712 LVX196712 MFT196712 MPP196712 MZL196712 NJH196712 NTD196712 OCZ196712 OMV196712 OWR196712 PGN196712 PQJ196712 QAF196712 QKB196712 QTX196712 RDT196712 RNP196712 RXL196712 SHH196712 SRD196712 TAZ196712 TKV196712 TUR196712 UEN196712 UOJ196712 UYF196712 VIB196712 VRX196712 WBT196712 WLP196712 WVL196712 D262248 IZ262248 SV262248 ACR262248 AMN262248 AWJ262248 BGF262248 BQB262248 BZX262248 CJT262248 CTP262248 DDL262248 DNH262248 DXD262248 EGZ262248 EQV262248 FAR262248 FKN262248 FUJ262248 GEF262248 GOB262248 GXX262248 HHT262248 HRP262248 IBL262248 ILH262248 IVD262248 JEZ262248 JOV262248 JYR262248 KIN262248 KSJ262248 LCF262248 LMB262248 LVX262248 MFT262248 MPP262248 MZL262248 NJH262248 NTD262248 OCZ262248 OMV262248 OWR262248 PGN262248 PQJ262248 QAF262248 QKB262248 QTX262248 RDT262248 RNP262248 RXL262248 SHH262248 SRD262248 TAZ262248 TKV262248 TUR262248 UEN262248 UOJ262248 UYF262248 VIB262248 VRX262248 WBT262248 WLP262248 WVL262248 D327784 IZ327784 SV327784 ACR327784 AMN327784 AWJ327784 BGF327784 BQB327784 BZX327784 CJT327784 CTP327784 DDL327784 DNH327784 DXD327784 EGZ327784 EQV327784 FAR327784 FKN327784 FUJ327784 GEF327784 GOB327784 GXX327784 HHT327784 HRP327784 IBL327784 ILH327784 IVD327784 JEZ327784 JOV327784 JYR327784 KIN327784 KSJ327784 LCF327784 LMB327784 LVX327784 MFT327784 MPP327784 MZL327784 NJH327784 NTD327784 OCZ327784 OMV327784 OWR327784 PGN327784 PQJ327784 QAF327784 QKB327784 QTX327784 RDT327784 RNP327784 RXL327784 SHH327784 SRD327784 TAZ327784 TKV327784 TUR327784 UEN327784 UOJ327784 UYF327784 VIB327784 VRX327784 WBT327784 WLP327784 WVL327784 D393320 IZ393320 SV393320 ACR393320 AMN393320 AWJ393320 BGF393320 BQB393320 BZX393320 CJT393320 CTP393320 DDL393320 DNH393320 DXD393320 EGZ393320 EQV393320 FAR393320 FKN393320 FUJ393320 GEF393320 GOB393320 GXX393320 HHT393320 HRP393320 IBL393320 ILH393320 IVD393320 JEZ393320 JOV393320 JYR393320 KIN393320 KSJ393320 LCF393320 LMB393320 LVX393320 MFT393320 MPP393320 MZL393320 NJH393320 NTD393320 OCZ393320 OMV393320 OWR393320 PGN393320 PQJ393320 QAF393320 QKB393320 QTX393320 RDT393320 RNP393320 RXL393320 SHH393320 SRD393320 TAZ393320 TKV393320 TUR393320 UEN393320 UOJ393320 UYF393320 VIB393320 VRX393320 WBT393320 WLP393320 WVL393320 D458856 IZ458856 SV458856 ACR458856 AMN458856 AWJ458856 BGF458856 BQB458856 BZX458856 CJT458856 CTP458856 DDL458856 DNH458856 DXD458856 EGZ458856 EQV458856 FAR458856 FKN458856 FUJ458856 GEF458856 GOB458856 GXX458856 HHT458856 HRP458856 IBL458856 ILH458856 IVD458856 JEZ458856 JOV458856 JYR458856 KIN458856 KSJ458856 LCF458856 LMB458856 LVX458856 MFT458856 MPP458856 MZL458856 NJH458856 NTD458856 OCZ458856 OMV458856 OWR458856 PGN458856 PQJ458856 QAF458856 QKB458856 QTX458856 RDT458856 RNP458856 RXL458856 SHH458856 SRD458856 TAZ458856 TKV458856 TUR458856 UEN458856 UOJ458856 UYF458856 VIB458856 VRX458856 WBT458856 WLP458856 WVL458856 D524392 IZ524392 SV524392 ACR524392 AMN524392 AWJ524392 BGF524392 BQB524392 BZX524392 CJT524392 CTP524392 DDL524392 DNH524392 DXD524392 EGZ524392 EQV524392 FAR524392 FKN524392 FUJ524392 GEF524392 GOB524392 GXX524392 HHT524392 HRP524392 IBL524392 ILH524392 IVD524392 JEZ524392 JOV524392 JYR524392 KIN524392 KSJ524392 LCF524392 LMB524392 LVX524392 MFT524392 MPP524392 MZL524392 NJH524392 NTD524392 OCZ524392 OMV524392 OWR524392 PGN524392 PQJ524392 QAF524392 QKB524392 QTX524392 RDT524392 RNP524392 RXL524392 SHH524392 SRD524392 TAZ524392 TKV524392 TUR524392 UEN524392 UOJ524392 UYF524392 VIB524392 VRX524392 WBT524392 WLP524392 WVL524392 D589928 IZ589928 SV589928 ACR589928 AMN589928 AWJ589928 BGF589928 BQB589928 BZX589928 CJT589928 CTP589928 DDL589928 DNH589928 DXD589928 EGZ589928 EQV589928 FAR589928 FKN589928 FUJ589928 GEF589928 GOB589928 GXX589928 HHT589928 HRP589928 IBL589928 ILH589928 IVD589928 JEZ589928 JOV589928 JYR589928 KIN589928 KSJ589928 LCF589928 LMB589928 LVX589928 MFT589928 MPP589928 MZL589928 NJH589928 NTD589928 OCZ589928 OMV589928 OWR589928 PGN589928 PQJ589928 QAF589928 QKB589928 QTX589928 RDT589928 RNP589928 RXL589928 SHH589928 SRD589928 TAZ589928 TKV589928 TUR589928 UEN589928 UOJ589928 UYF589928 VIB589928 VRX589928 WBT589928 WLP589928 WVL589928 D655464 IZ655464 SV655464 ACR655464 AMN655464 AWJ655464 BGF655464 BQB655464 BZX655464 CJT655464 CTP655464 DDL655464 DNH655464 DXD655464 EGZ655464 EQV655464 FAR655464 FKN655464 FUJ655464 GEF655464 GOB655464 GXX655464 HHT655464 HRP655464 IBL655464 ILH655464 IVD655464 JEZ655464 JOV655464 JYR655464 KIN655464 KSJ655464 LCF655464 LMB655464 LVX655464 MFT655464 MPP655464 MZL655464 NJH655464 NTD655464 OCZ655464 OMV655464 OWR655464 PGN655464 PQJ655464 QAF655464 QKB655464 QTX655464 RDT655464 RNP655464 RXL655464 SHH655464 SRD655464 TAZ655464 TKV655464 TUR655464 UEN655464 UOJ655464 UYF655464 VIB655464 VRX655464 WBT655464 WLP655464 WVL655464 D721000 IZ721000 SV721000 ACR721000 AMN721000 AWJ721000 BGF721000 BQB721000 BZX721000 CJT721000 CTP721000 DDL721000 DNH721000 DXD721000 EGZ721000 EQV721000 FAR721000 FKN721000 FUJ721000 GEF721000 GOB721000 GXX721000 HHT721000 HRP721000 IBL721000 ILH721000 IVD721000 JEZ721000 JOV721000 JYR721000 KIN721000 KSJ721000 LCF721000 LMB721000 LVX721000 MFT721000 MPP721000 MZL721000 NJH721000 NTD721000 OCZ721000 OMV721000 OWR721000 PGN721000 PQJ721000 QAF721000 QKB721000 QTX721000 RDT721000 RNP721000 RXL721000 SHH721000 SRD721000 TAZ721000 TKV721000 TUR721000 UEN721000 UOJ721000 UYF721000 VIB721000 VRX721000 WBT721000 WLP721000 WVL721000 D786536 IZ786536 SV786536 ACR786536 AMN786536 AWJ786536 BGF786536 BQB786536 BZX786536 CJT786536 CTP786536 DDL786536 DNH786536 DXD786536 EGZ786536 EQV786536 FAR786536 FKN786536 FUJ786536 GEF786536 GOB786536 GXX786536 HHT786536 HRP786536 IBL786536 ILH786536 IVD786536 JEZ786536 JOV786536 JYR786536 KIN786536 KSJ786536 LCF786536 LMB786536 LVX786536 MFT786536 MPP786536 MZL786536 NJH786536 NTD786536 OCZ786536 OMV786536 OWR786536 PGN786536 PQJ786536 QAF786536 QKB786536 QTX786536 RDT786536 RNP786536 RXL786536 SHH786536 SRD786536 TAZ786536 TKV786536 TUR786536 UEN786536 UOJ786536 UYF786536 VIB786536 VRX786536 WBT786536 WLP786536 WVL786536 D852072 IZ852072 SV852072 ACR852072 AMN852072 AWJ852072 BGF852072 BQB852072 BZX852072 CJT852072 CTP852072 DDL852072 DNH852072 DXD852072 EGZ852072 EQV852072 FAR852072 FKN852072 FUJ852072 GEF852072 GOB852072 GXX852072 HHT852072 HRP852072 IBL852072 ILH852072 IVD852072 JEZ852072 JOV852072 JYR852072 KIN852072 KSJ852072 LCF852072 LMB852072 LVX852072 MFT852072 MPP852072 MZL852072 NJH852072 NTD852072 OCZ852072 OMV852072 OWR852072 PGN852072 PQJ852072 QAF852072 QKB852072 QTX852072 RDT852072 RNP852072 RXL852072 SHH852072 SRD852072 TAZ852072 TKV852072 TUR852072 UEN852072 UOJ852072 UYF852072 VIB852072 VRX852072 WBT852072 WLP852072 WVL852072 D917608 IZ917608 SV917608 ACR917608 AMN917608 AWJ917608 BGF917608 BQB917608 BZX917608 CJT917608 CTP917608 DDL917608 DNH917608 DXD917608 EGZ917608 EQV917608 FAR917608 FKN917608 FUJ917608 GEF917608 GOB917608 GXX917608 HHT917608 HRP917608 IBL917608 ILH917608 IVD917608 JEZ917608 JOV917608 JYR917608 KIN917608 KSJ917608 LCF917608 LMB917608 LVX917608 MFT917608 MPP917608 MZL917608 NJH917608 NTD917608 OCZ917608 OMV917608 OWR917608 PGN917608 PQJ917608 QAF917608 QKB917608 QTX917608 RDT917608 RNP917608 RXL917608 SHH917608 SRD917608 TAZ917608 TKV917608 TUR917608 UEN917608 UOJ917608 UYF917608 VIB917608 VRX917608 WBT917608 WLP917608 WVL917608 D983144 IZ983144 SV983144 ACR983144 AMN983144 AWJ983144 BGF983144 BQB983144 BZX983144 CJT983144 CTP983144 DDL983144 DNH983144 DXD983144 EGZ983144 EQV983144 FAR983144 FKN983144 FUJ983144 GEF983144 GOB983144 GXX983144 HHT983144 HRP983144 IBL983144 ILH983144 IVD983144 JEZ983144 JOV983144 JYR983144 KIN983144 KSJ983144 LCF983144 LMB983144 LVX983144 MFT983144 MPP983144 MZL983144 NJH983144 NTD983144 OCZ983144 OMV983144 OWR983144 PGN983144 PQJ983144 QAF983144 QKB983144 QTX983144 RDT983144 RNP983144 RXL983144 SHH983144 SRD983144 TAZ983144 TKV983144 TUR983144 UEN983144 UOJ983144 UYF983144 VIB983144 VRX983144 WBT983144 WLP983144 WVL983144">
      <formula1>"--请选择--,RD01 进出境直通,RD02 进出境直通转关,RD09 跨境快速通关,RD13 非贸进出境口岸直通,RD16 过境货物快速通关"</formula1>
    </dataValidation>
    <dataValidation imeMode="off" showInputMessage="1" showErrorMessage="1" errorTitle="出错提示：" error="1.输入货物件数即可（整数），无需输入单位 “件”。_x000a_2.请输入整数。" promptTitle="提示：" prompt="输入货物件数即可（整数），无需输入单位 “件”。" sqref="F7:F87"/>
    <dataValidation imeMode="off" allowBlank="1" errorTitle="提示：" error="请输入正确柜号，4位字母+7位数字，跨境快通RD09时，填写车辆海关编号。" promptTitle="提示：" prompt="1.请输入正确柜号，4位字母+7位数字。_x000a_2.一车一柜多票的情况，每个提运单后的柜号都应相同。_x000a_3.一车二柜（20尺）单票的情况，一个提运单对应两个不同的柜号。_x000a_4.一车二柜（20尺）多票的情况，提运单与柜号的关系是一对多或多对多。_x000a_5.多车多柜的情况，提运单与柜号的关系是一对多或多对多。" sqref="B90:B170"/>
  </dataValidations>
  <pageMargins left="0.7" right="0.7" top="0.75" bottom="0.75" header="0.3" footer="0.3"/>
  <pageSetup paperSize="9" orientation="portrait" horizontalDpi="200" verticalDpi="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BW42"/>
  <sheetViews>
    <sheetView showGridLines="0" view="pageBreakPreview" zoomScale="55" zoomScaleSheetLayoutView="55" workbookViewId="0">
      <pane xSplit="11" topLeftCell="L1" activePane="topRight" state="frozen"/>
      <selection activeCell="A4" sqref="A4:XFD14"/>
      <selection pane="topRight" activeCell="D19" sqref="D19:E19"/>
    </sheetView>
  </sheetViews>
  <sheetFormatPr defaultRowHeight="22.5"/>
  <cols>
    <col min="1" max="1" width="19.125" bestFit="1" customWidth="1"/>
    <col min="2" max="2" width="32" customWidth="1"/>
    <col min="3" max="3" width="34.5" style="119" customWidth="1"/>
    <col min="4" max="4" width="19.125" customWidth="1"/>
    <col min="5" max="5" width="12.375" customWidth="1"/>
    <col min="6" max="8" width="1.25" hidden="1" customWidth="1"/>
    <col min="9" max="9" width="2.375" customWidth="1"/>
    <col min="10" max="10" width="18.75" customWidth="1"/>
    <col min="11" max="11" width="26.875" customWidth="1"/>
    <col min="12" max="12" width="30.875" style="118" customWidth="1"/>
    <col min="13" max="13" width="21.375" customWidth="1"/>
    <col min="14" max="14" width="4.25" style="186" customWidth="1"/>
    <col min="15" max="15" width="62.875" style="186" customWidth="1"/>
    <col min="16" max="21" width="13.5" style="186" customWidth="1"/>
    <col min="22" max="22" width="21.875" style="186" hidden="1" customWidth="1"/>
    <col min="23" max="23" width="13.375" style="186" hidden="1" customWidth="1"/>
    <col min="24" max="24" width="4.75" style="186" hidden="1" customWidth="1"/>
    <col min="25" max="26" width="7.5" style="186" hidden="1" customWidth="1"/>
    <col min="27" max="27" width="17.25" style="186" bestFit="1" customWidth="1"/>
    <col min="28" max="28" width="62" style="186" customWidth="1"/>
    <col min="29" max="29" width="14.25" style="186" bestFit="1" customWidth="1"/>
    <col min="30" max="30" width="17.25" style="186" bestFit="1" customWidth="1"/>
    <col min="31" max="31" width="17.625" style="186" bestFit="1" customWidth="1"/>
    <col min="32" max="32" width="20.875" style="186" bestFit="1" customWidth="1"/>
    <col min="33" max="33" width="27" style="192" bestFit="1" customWidth="1"/>
    <col min="34" max="34" width="28.375" style="192" hidden="1" customWidth="1"/>
    <col min="35" max="37" width="17.625" style="186" hidden="1" customWidth="1"/>
    <col min="38" max="38" width="11.25" style="186" hidden="1" customWidth="1"/>
    <col min="39" max="39" width="13.375" style="186" hidden="1" customWidth="1"/>
    <col min="40" max="40" width="12.25" style="186" hidden="1" customWidth="1"/>
    <col min="41" max="41" width="11.25" style="186" hidden="1" customWidth="1"/>
    <col min="42" max="42" width="11.5" style="186" customWidth="1"/>
    <col min="43" max="43" width="13.375" style="186" bestFit="1" customWidth="1"/>
    <col min="44" max="44" width="17.875" style="186" bestFit="1" customWidth="1"/>
    <col min="45" max="45" width="13.375" style="186" bestFit="1" customWidth="1"/>
    <col min="46" max="46" width="51.875" style="186" bestFit="1" customWidth="1"/>
    <col min="47" max="47" width="22.125" style="186" bestFit="1" customWidth="1"/>
    <col min="48" max="48" width="26" style="186" bestFit="1" customWidth="1"/>
    <col min="49" max="49" width="9.25" style="186" bestFit="1" customWidth="1"/>
    <col min="50" max="50" width="22.125" style="186" bestFit="1" customWidth="1"/>
    <col min="51" max="51" width="21.75" style="186" bestFit="1" customWidth="1"/>
    <col min="52" max="52" width="23.875" style="186" bestFit="1" customWidth="1"/>
    <col min="53" max="53" width="5.875" style="186" bestFit="1" customWidth="1"/>
    <col min="54" max="55" width="7.75" style="186" bestFit="1" customWidth="1"/>
    <col min="56" max="56" width="23" style="186" bestFit="1" customWidth="1"/>
    <col min="57" max="57" width="15.75" style="186" bestFit="1" customWidth="1"/>
    <col min="58" max="58" width="7.75" style="186" bestFit="1" customWidth="1"/>
    <col min="59" max="59" width="13.375" style="186" bestFit="1" customWidth="1"/>
    <col min="60" max="60" width="7.5" style="186" bestFit="1" customWidth="1"/>
    <col min="61" max="61" width="9.25" style="186" bestFit="1" customWidth="1"/>
    <col min="62" max="62" width="5.625" style="186" bestFit="1" customWidth="1"/>
    <col min="63" max="65" width="16.5" style="186" bestFit="1" customWidth="1"/>
    <col min="66" max="66" width="8.375" style="186" bestFit="1" customWidth="1"/>
    <col min="67" max="67" width="22.125" style="186" bestFit="1" customWidth="1"/>
    <col min="68" max="68" width="8.5" style="186" bestFit="1" customWidth="1"/>
    <col min="69" max="69" width="32.625" style="186" bestFit="1" customWidth="1"/>
    <col min="70" max="70" width="11.25" style="186" bestFit="1" customWidth="1"/>
    <col min="71" max="71" width="13.375" style="186" bestFit="1" customWidth="1"/>
    <col min="72" max="72" width="12.5" style="193" bestFit="1" customWidth="1"/>
    <col min="73" max="73" width="15" style="193" bestFit="1" customWidth="1"/>
    <col min="74" max="74" width="12.5" style="193" bestFit="1" customWidth="1"/>
    <col min="75" max="75" width="12.75" style="193" bestFit="1" customWidth="1"/>
    <col min="76" max="76" width="21.75" style="186" bestFit="1" customWidth="1"/>
    <col min="77" max="77" width="17.625" style="186" bestFit="1" customWidth="1"/>
    <col min="78" max="78" width="9.25" style="186" bestFit="1" customWidth="1"/>
    <col min="79" max="79" width="13.375" style="186" bestFit="1" customWidth="1"/>
    <col min="80" max="80" width="8.375" style="186" bestFit="1" customWidth="1"/>
    <col min="81" max="81" width="17.625" style="186" bestFit="1" customWidth="1"/>
    <col min="82" max="83" width="11.25" style="186" bestFit="1" customWidth="1"/>
    <col min="84" max="84" width="9.25" style="186" bestFit="1" customWidth="1"/>
    <col min="85" max="85" width="13.625" style="186" bestFit="1" customWidth="1"/>
    <col min="86" max="86" width="9" style="186" customWidth="1"/>
    <col min="87" max="16384" width="9" style="186"/>
  </cols>
  <sheetData>
    <row r="1" spans="1:75" s="138" customFormat="1" ht="25.5" customHeight="1">
      <c r="A1" s="209" t="s">
        <v>3790</v>
      </c>
      <c r="B1" s="209"/>
      <c r="C1" s="209"/>
      <c r="D1" s="209"/>
      <c r="E1" s="209"/>
      <c r="F1" s="209"/>
      <c r="G1" s="209"/>
      <c r="H1" s="209"/>
      <c r="I1" s="209"/>
      <c r="J1" s="209"/>
      <c r="K1" s="209"/>
      <c r="L1" s="169" t="s">
        <v>3789</v>
      </c>
      <c r="M1" s="211">
        <v>7</v>
      </c>
      <c r="N1" s="185"/>
      <c r="AG1" s="140"/>
      <c r="AH1" s="140"/>
      <c r="BT1" s="139"/>
      <c r="BU1" s="139"/>
      <c r="BV1" s="139"/>
      <c r="BW1" s="139"/>
    </row>
    <row r="2" spans="1:75" s="138" customFormat="1" ht="47.25" customHeight="1">
      <c r="A2" s="210"/>
      <c r="B2" s="210"/>
      <c r="C2" s="210"/>
      <c r="D2" s="210"/>
      <c r="E2" s="210"/>
      <c r="F2" s="210"/>
      <c r="G2" s="210"/>
      <c r="H2" s="210"/>
      <c r="I2" s="210"/>
      <c r="J2" s="210"/>
      <c r="K2" s="210"/>
      <c r="L2" s="168" t="str">
        <f>IF(报舱数据!B2&lt;&gt;"",("修改_"&amp;AB12&amp;"_"&amp;AG12&amp;"_"&amp;AC12&amp;AE12),("新增_"&amp;AB12&amp;"_"&amp;AG12&amp;"_"&amp;AC12&amp;AE12))</f>
        <v>新增_0_0_件千克</v>
      </c>
      <c r="M2" s="211"/>
      <c r="N2" s="185"/>
      <c r="AG2" s="140"/>
      <c r="AH2" s="140"/>
      <c r="BT2" s="139"/>
      <c r="BU2" s="139"/>
      <c r="BV2" s="139"/>
      <c r="BW2" s="139"/>
    </row>
    <row r="3" spans="1:75" s="138" customFormat="1" ht="48" customHeight="1">
      <c r="A3" s="167" t="s">
        <v>3788</v>
      </c>
      <c r="B3" s="212" t="s">
        <v>3787</v>
      </c>
      <c r="C3" s="212"/>
      <c r="D3" s="212"/>
      <c r="E3" s="212"/>
      <c r="F3" s="212"/>
      <c r="G3" s="212"/>
      <c r="H3" s="212"/>
      <c r="I3" s="212"/>
      <c r="J3" s="167" t="s">
        <v>3786</v>
      </c>
      <c r="K3" s="166">
        <f ca="1">TODAY()</f>
        <v>44084</v>
      </c>
      <c r="L3" s="154" t="str">
        <f>AB12&amp;"_"&amp;AG12</f>
        <v>0_0</v>
      </c>
      <c r="M3" s="165"/>
      <c r="N3" s="185"/>
      <c r="AG3" s="140"/>
      <c r="AH3" s="140"/>
      <c r="BT3" s="139"/>
      <c r="BU3" s="139"/>
      <c r="BV3" s="139"/>
      <c r="BW3" s="139"/>
    </row>
    <row r="4" spans="1:75" s="138" customFormat="1" ht="23.25">
      <c r="A4" s="213"/>
      <c r="B4" s="214"/>
      <c r="C4" s="214"/>
      <c r="D4" s="214"/>
      <c r="E4" s="214"/>
      <c r="F4" s="214"/>
      <c r="G4" s="214"/>
      <c r="H4" s="214"/>
      <c r="I4" s="215"/>
      <c r="J4" s="215"/>
      <c r="K4" s="216"/>
      <c r="L4" s="164"/>
      <c r="M4" s="120"/>
      <c r="AG4" s="140"/>
      <c r="AH4" s="140"/>
      <c r="BT4" s="139"/>
      <c r="BU4" s="139"/>
      <c r="BV4" s="139"/>
      <c r="BW4" s="139"/>
    </row>
    <row r="5" spans="1:75" s="138" customFormat="1" ht="23.25">
      <c r="A5" s="156"/>
      <c r="B5" s="130"/>
      <c r="C5" s="163"/>
      <c r="D5" s="130"/>
      <c r="E5" s="130"/>
      <c r="F5" s="130"/>
      <c r="G5" s="130"/>
      <c r="H5" s="130"/>
      <c r="I5" s="130"/>
      <c r="J5" s="130"/>
      <c r="K5" s="155"/>
      <c r="L5" s="123"/>
      <c r="M5" s="120"/>
      <c r="AG5" s="140"/>
      <c r="AH5" s="140"/>
      <c r="BT5" s="139"/>
      <c r="BU5" s="139"/>
      <c r="BV5" s="139"/>
      <c r="BW5" s="139"/>
    </row>
    <row r="6" spans="1:75" s="138" customFormat="1" ht="23.25">
      <c r="A6" s="156"/>
      <c r="B6" s="130"/>
      <c r="C6" s="130"/>
      <c r="D6" s="130"/>
      <c r="E6" s="130"/>
      <c r="F6" s="130"/>
      <c r="G6" s="130"/>
      <c r="H6" s="130"/>
      <c r="I6" s="130"/>
      <c r="J6" s="130"/>
      <c r="K6" s="155"/>
      <c r="L6" s="123"/>
      <c r="M6" s="120"/>
      <c r="AG6" s="140"/>
      <c r="AH6" s="140"/>
      <c r="BT6" s="139"/>
      <c r="BU6" s="139"/>
      <c r="BV6" s="139"/>
      <c r="BW6" s="139"/>
    </row>
    <row r="7" spans="1:75" s="138" customFormat="1" ht="23.25">
      <c r="A7" s="162" t="s">
        <v>7667</v>
      </c>
      <c r="B7" s="130"/>
      <c r="C7" s="130"/>
      <c r="D7" s="130"/>
      <c r="E7" s="130"/>
      <c r="F7" s="130"/>
      <c r="G7" s="130"/>
      <c r="H7" s="130"/>
      <c r="I7" s="130"/>
      <c r="J7" s="130"/>
      <c r="K7" s="155"/>
      <c r="L7" s="123"/>
      <c r="M7" s="120"/>
      <c r="AG7" s="140"/>
      <c r="AH7" s="140"/>
      <c r="BT7" s="139"/>
      <c r="BU7" s="139"/>
      <c r="BV7" s="139"/>
      <c r="BW7" s="139"/>
    </row>
    <row r="8" spans="1:75" s="138" customFormat="1" ht="23.25">
      <c r="A8" s="156"/>
      <c r="B8" s="130"/>
      <c r="C8" s="130"/>
      <c r="D8" s="130"/>
      <c r="E8" s="130"/>
      <c r="F8" s="130"/>
      <c r="G8" s="130"/>
      <c r="H8" s="130"/>
      <c r="I8" s="130"/>
      <c r="J8" s="130"/>
      <c r="K8" s="155"/>
      <c r="L8" s="123"/>
      <c r="M8" s="120"/>
      <c r="AG8" s="140"/>
      <c r="AH8" s="140"/>
      <c r="BT8" s="139"/>
      <c r="BU8" s="139"/>
      <c r="BV8" s="139"/>
      <c r="BW8" s="139"/>
    </row>
    <row r="9" spans="1:75" s="138" customFormat="1" ht="23.25">
      <c r="A9" s="217" t="s">
        <v>3785</v>
      </c>
      <c r="B9" s="215"/>
      <c r="C9" s="215"/>
      <c r="D9" s="215"/>
      <c r="E9" s="215"/>
      <c r="F9" s="215"/>
      <c r="G9" s="215"/>
      <c r="H9" s="215"/>
      <c r="I9" s="215"/>
      <c r="J9" s="215"/>
      <c r="K9" s="216"/>
      <c r="L9" s="157"/>
      <c r="M9" s="120"/>
      <c r="AG9" s="140"/>
      <c r="AH9" s="140"/>
      <c r="BT9" s="139"/>
      <c r="BU9" s="139"/>
      <c r="BV9" s="139"/>
      <c r="BW9" s="139"/>
    </row>
    <row r="10" spans="1:75" s="138" customFormat="1" ht="23.25">
      <c r="A10" s="161"/>
      <c r="B10" s="208"/>
      <c r="C10" s="208"/>
      <c r="D10" s="160"/>
      <c r="E10" s="160"/>
      <c r="F10" s="160"/>
      <c r="G10" s="160"/>
      <c r="H10" s="160"/>
      <c r="I10" s="130"/>
      <c r="J10" s="159"/>
      <c r="K10" s="158"/>
      <c r="L10" s="157"/>
      <c r="M10" s="120"/>
      <c r="N10" s="138">
        <v>1</v>
      </c>
      <c r="O10" s="138" t="s">
        <v>5236</v>
      </c>
      <c r="AG10" s="140"/>
      <c r="AH10" s="140"/>
      <c r="BT10" s="139"/>
      <c r="BU10" s="139"/>
      <c r="BV10" s="139"/>
      <c r="BW10" s="139"/>
    </row>
    <row r="11" spans="1:75" s="138" customFormat="1" ht="23.25">
      <c r="A11" s="156"/>
      <c r="B11" s="130"/>
      <c r="C11" s="130"/>
      <c r="D11" s="130"/>
      <c r="E11" s="130"/>
      <c r="F11" s="130"/>
      <c r="G11" s="130"/>
      <c r="H11" s="130"/>
      <c r="I11" s="130"/>
      <c r="J11" s="130"/>
      <c r="K11" s="155"/>
      <c r="L11" s="157"/>
      <c r="M11" s="120"/>
      <c r="N11" s="147">
        <v>2</v>
      </c>
      <c r="O11" s="138" t="s">
        <v>5237</v>
      </c>
      <c r="AA11" s="187" t="s">
        <v>3784</v>
      </c>
      <c r="AB11" s="188" t="str">
        <f>报舱数据!I1</f>
        <v>运单号</v>
      </c>
      <c r="AC11" s="189" t="str">
        <f>报舱数据!C1&amp;"件"</f>
        <v>新件数件</v>
      </c>
      <c r="AD11" s="190" t="s">
        <v>3783</v>
      </c>
      <c r="AE11" s="189" t="str">
        <f>报舱数据!D1&amp;"千克"</f>
        <v>新重量千克</v>
      </c>
      <c r="AF11" s="190" t="s">
        <v>3782</v>
      </c>
      <c r="AG11" s="191" t="str">
        <f>报舱数据!J1</f>
        <v>总运单号</v>
      </c>
      <c r="AH11" s="140"/>
      <c r="BT11" s="139"/>
      <c r="BU11" s="139"/>
      <c r="BV11" s="139"/>
      <c r="BW11" s="139"/>
    </row>
    <row r="12" spans="1:75" s="138" customFormat="1" ht="23.25">
      <c r="A12" s="218" t="str">
        <f>IF(报舱数据!I2&lt;&gt;"",""&amp;新增报告!AA12&amp;新增报告!AB12&amp;"    "&amp;AC12,"")</f>
        <v/>
      </c>
      <c r="B12" s="219"/>
      <c r="C12" s="146" t="str">
        <f>IF(报舱数据!B2&lt;&gt;"","原申报重量:"&amp;报舱数据!P2&amp;"千克","")</f>
        <v/>
      </c>
      <c r="D12" s="220" t="str">
        <f>IF(报舱数据!I2&lt;&gt;"",AD12&amp;AE12,"")</f>
        <v/>
      </c>
      <c r="E12" s="220"/>
      <c r="F12" s="146"/>
      <c r="G12" s="146"/>
      <c r="H12" s="146"/>
      <c r="I12" s="146"/>
      <c r="J12" s="220" t="str">
        <f>IF(报舱数据!I2&lt;&gt;"",AF12&amp;AG12,"")</f>
        <v/>
      </c>
      <c r="K12" s="221"/>
      <c r="L12" s="157"/>
      <c r="AA12" s="145" t="s">
        <v>3784</v>
      </c>
      <c r="AB12" s="144">
        <f>报舱数据!I2</f>
        <v>0</v>
      </c>
      <c r="AC12" s="143" t="str">
        <f>报舱数据!C2&amp;"件"</f>
        <v>件</v>
      </c>
      <c r="AD12" s="142" t="s">
        <v>3783</v>
      </c>
      <c r="AE12" s="143" t="str">
        <f>报舱数据!D2&amp;"千克"</f>
        <v>千克</v>
      </c>
      <c r="AF12" s="142" t="s">
        <v>3782</v>
      </c>
      <c r="AG12" s="141">
        <f>报舱数据!J2</f>
        <v>0</v>
      </c>
      <c r="AH12" s="140"/>
      <c r="BT12" s="139"/>
      <c r="BU12" s="139"/>
      <c r="BV12" s="139"/>
      <c r="BW12" s="139"/>
    </row>
    <row r="13" spans="1:75" s="138" customFormat="1" ht="23.25">
      <c r="A13" s="218" t="str">
        <f>IF(报舱数据!I3&lt;&gt;"",""&amp;新增报告!AA13&amp;新增报告!AB13&amp;"    "&amp;AC13,"")</f>
        <v/>
      </c>
      <c r="B13" s="219"/>
      <c r="C13" s="146" t="str">
        <f>IF(报舱数据!B3&lt;&gt;"","原申报重量:"&amp;报舱数据!P3&amp;"千克","")</f>
        <v/>
      </c>
      <c r="D13" s="220" t="str">
        <f>IF(报舱数据!I3&lt;&gt;"",AD13&amp;AE13,"")</f>
        <v/>
      </c>
      <c r="E13" s="220"/>
      <c r="F13" s="146"/>
      <c r="G13" s="146"/>
      <c r="H13" s="146"/>
      <c r="I13" s="146"/>
      <c r="J13" s="220" t="str">
        <f>IF(报舱数据!I3&lt;&gt;"",AF13&amp;AG13,"")</f>
        <v/>
      </c>
      <c r="K13" s="221"/>
      <c r="L13" s="157"/>
      <c r="N13" s="138">
        <v>4</v>
      </c>
      <c r="O13" s="138" t="s">
        <v>5238</v>
      </c>
      <c r="S13" s="138" t="str">
        <f>IF(报舱数据!B3&lt;&gt;"","原申报重量:"&amp;报舱数据!P3,"")</f>
        <v/>
      </c>
      <c r="AA13" s="145" t="s">
        <v>3784</v>
      </c>
      <c r="AB13" s="144">
        <f>报舱数据!I3</f>
        <v>0</v>
      </c>
      <c r="AC13" s="143" t="str">
        <f>报舱数据!C3&amp;"件"</f>
        <v>件</v>
      </c>
      <c r="AD13" s="142" t="s">
        <v>3783</v>
      </c>
      <c r="AE13" s="143" t="str">
        <f>报舱数据!D3&amp;"千克"</f>
        <v>千克</v>
      </c>
      <c r="AF13" s="142" t="s">
        <v>3782</v>
      </c>
      <c r="AG13" s="141">
        <f>报舱数据!J3</f>
        <v>0</v>
      </c>
      <c r="AH13" s="140"/>
      <c r="BT13" s="139"/>
      <c r="BU13" s="139"/>
      <c r="BV13" s="139"/>
      <c r="BW13" s="139"/>
    </row>
    <row r="14" spans="1:75" s="138" customFormat="1" ht="23.25">
      <c r="A14" s="218" t="str">
        <f>IF(报舱数据!I4&lt;&gt;"",""&amp;新增报告!AA14&amp;新增报告!AB14&amp;"    "&amp;AC14,"")</f>
        <v/>
      </c>
      <c r="B14" s="219"/>
      <c r="C14" s="146" t="str">
        <f>IF(报舱数据!B4&lt;&gt;"","原申报重量:"&amp;报舱数据!P4&amp;"千克","")</f>
        <v/>
      </c>
      <c r="D14" s="220" t="str">
        <f>IF(报舱数据!I4&lt;&gt;"",AD14&amp;AE14,"")</f>
        <v/>
      </c>
      <c r="E14" s="220"/>
      <c r="F14" s="146"/>
      <c r="G14" s="146"/>
      <c r="H14" s="146"/>
      <c r="I14" s="146"/>
      <c r="J14" s="220" t="str">
        <f>IF(报舱数据!I4&lt;&gt;"",AF14&amp;AG14,"")</f>
        <v/>
      </c>
      <c r="K14" s="221"/>
      <c r="L14" s="157"/>
      <c r="N14" s="138">
        <v>5</v>
      </c>
      <c r="O14" s="138" t="s">
        <v>5239</v>
      </c>
      <c r="AA14" s="145" t="s">
        <v>3784</v>
      </c>
      <c r="AB14" s="144">
        <f>报舱数据!I4</f>
        <v>0</v>
      </c>
      <c r="AC14" s="143" t="str">
        <f>报舱数据!C4&amp;"件"</f>
        <v>件</v>
      </c>
      <c r="AD14" s="142" t="s">
        <v>3783</v>
      </c>
      <c r="AE14" s="143" t="str">
        <f>报舱数据!D4&amp;"千克"</f>
        <v>千克</v>
      </c>
      <c r="AF14" s="142" t="s">
        <v>3782</v>
      </c>
      <c r="AG14" s="141">
        <f>报舱数据!J4</f>
        <v>0</v>
      </c>
      <c r="AH14" s="140"/>
      <c r="BT14" s="139"/>
      <c r="BU14" s="139"/>
      <c r="BV14" s="139"/>
      <c r="BW14" s="139"/>
    </row>
    <row r="15" spans="1:75" s="147" customFormat="1" ht="23.25">
      <c r="A15" s="218" t="str">
        <f>IF(报舱数据!I5&lt;&gt;"",""&amp;新增报告!AA15&amp;新增报告!AB15&amp;"    "&amp;AC15,"")</f>
        <v/>
      </c>
      <c r="B15" s="219"/>
      <c r="C15" s="146" t="str">
        <f>IF(报舱数据!B5&lt;&gt;"","原申报重量:"&amp;报舱数据!P5&amp;"千克","")</f>
        <v/>
      </c>
      <c r="D15" s="220" t="str">
        <f>IF(报舱数据!I5&lt;&gt;"",AD15&amp;AE15,"")</f>
        <v/>
      </c>
      <c r="E15" s="220"/>
      <c r="F15" s="146"/>
      <c r="G15" s="146"/>
      <c r="H15" s="146"/>
      <c r="I15" s="146"/>
      <c r="J15" s="220" t="str">
        <f>IF(报舱数据!I5&lt;&gt;"",AF15&amp;AG15,"")</f>
        <v/>
      </c>
      <c r="K15" s="221"/>
      <c r="L15" s="157"/>
      <c r="N15" s="147">
        <v>6</v>
      </c>
      <c r="O15" s="138" t="s">
        <v>5243</v>
      </c>
      <c r="S15" s="138"/>
      <c r="U15" s="138"/>
      <c r="V15" s="138"/>
      <c r="W15" s="138"/>
      <c r="X15" s="138"/>
      <c r="Y15" s="138"/>
      <c r="Z15" s="138"/>
      <c r="AA15" s="145" t="s">
        <v>3784</v>
      </c>
      <c r="AB15" s="144">
        <f>报舱数据!I5</f>
        <v>0</v>
      </c>
      <c r="AC15" s="143" t="str">
        <f>报舱数据!C5&amp;"件"</f>
        <v>件</v>
      </c>
      <c r="AD15" s="142" t="s">
        <v>3783</v>
      </c>
      <c r="AE15" s="143" t="str">
        <f>报舱数据!D5&amp;"千克"</f>
        <v>千克</v>
      </c>
      <c r="AF15" s="142" t="s">
        <v>3782</v>
      </c>
      <c r="AG15" s="141">
        <f>报舱数据!J5</f>
        <v>0</v>
      </c>
      <c r="AH15" s="140"/>
      <c r="AI15" s="138"/>
      <c r="AJ15" s="138"/>
      <c r="AK15" s="138"/>
      <c r="BT15" s="148"/>
      <c r="BU15" s="148"/>
      <c r="BV15" s="148"/>
      <c r="BW15" s="148"/>
    </row>
    <row r="16" spans="1:75" s="138" customFormat="1" ht="23.25">
      <c r="A16" s="218" t="str">
        <f>IF(报舱数据!I6&lt;&gt;"",""&amp;新增报告!AA16&amp;新增报告!AB16&amp;"    "&amp;AC16,"")</f>
        <v/>
      </c>
      <c r="B16" s="219"/>
      <c r="C16" s="146" t="str">
        <f>IF(报舱数据!B6&lt;&gt;"","原申报重量:"&amp;报舱数据!P6&amp;"千克","")</f>
        <v/>
      </c>
      <c r="D16" s="220" t="str">
        <f>IF(报舱数据!I6&lt;&gt;"",AD16&amp;AE16,"")</f>
        <v/>
      </c>
      <c r="E16" s="220"/>
      <c r="F16" s="146"/>
      <c r="G16" s="146"/>
      <c r="H16" s="146"/>
      <c r="I16" s="146"/>
      <c r="J16" s="220" t="str">
        <f>IF(报舱数据!I6&lt;&gt;"",AF16&amp;AG16,"")</f>
        <v/>
      </c>
      <c r="K16" s="221"/>
      <c r="L16" s="157"/>
      <c r="N16" s="138">
        <v>7</v>
      </c>
      <c r="O16" s="138" t="s">
        <v>5240</v>
      </c>
      <c r="S16" s="138" t="str">
        <f>IF(报舱数据!B6&lt;&gt;"","原申报重量:"&amp;报舱数据!P6,"")</f>
        <v/>
      </c>
      <c r="AA16" s="145" t="s">
        <v>3784</v>
      </c>
      <c r="AB16" s="144">
        <f>报舱数据!I6</f>
        <v>0</v>
      </c>
      <c r="AC16" s="143" t="str">
        <f>报舱数据!C6&amp;"件"</f>
        <v>件</v>
      </c>
      <c r="AD16" s="142" t="s">
        <v>3783</v>
      </c>
      <c r="AE16" s="143" t="str">
        <f>报舱数据!D6&amp;"千克"</f>
        <v>千克</v>
      </c>
      <c r="AF16" s="142" t="s">
        <v>3782</v>
      </c>
      <c r="AG16" s="141">
        <f>报舱数据!J6</f>
        <v>0</v>
      </c>
      <c r="AH16" s="140"/>
      <c r="BT16" s="139"/>
      <c r="BU16" s="139"/>
      <c r="BV16" s="139"/>
      <c r="BW16" s="139"/>
    </row>
    <row r="17" spans="1:75" s="138" customFormat="1" ht="23.25">
      <c r="A17" s="218" t="str">
        <f>IF(报舱数据!I7&lt;&gt;"",""&amp;新增报告!AA17&amp;新增报告!AB17&amp;"    "&amp;AC17,"")</f>
        <v/>
      </c>
      <c r="B17" s="219"/>
      <c r="C17" s="146" t="str">
        <f>IF(报舱数据!B7&lt;&gt;"","原申报重量:"&amp;报舱数据!P7&amp;"千克","")</f>
        <v/>
      </c>
      <c r="D17" s="220" t="str">
        <f>IF(报舱数据!I7&lt;&gt;"",AD17&amp;AE17,"")</f>
        <v/>
      </c>
      <c r="E17" s="220"/>
      <c r="F17" s="146"/>
      <c r="G17" s="146"/>
      <c r="H17" s="146"/>
      <c r="I17" s="146"/>
      <c r="J17" s="220" t="str">
        <f>IF(报舱数据!I7&lt;&gt;"",AF17&amp;AG17,"")</f>
        <v/>
      </c>
      <c r="K17" s="221"/>
      <c r="L17" s="157"/>
      <c r="N17" s="138">
        <v>8</v>
      </c>
      <c r="O17" s="138" t="s">
        <v>5241</v>
      </c>
      <c r="S17" s="138" t="str">
        <f>IF(报舱数据!B7&lt;&gt;"","原申报重量:"&amp;报舱数据!P7,"")</f>
        <v/>
      </c>
      <c r="AA17" s="145" t="s">
        <v>3784</v>
      </c>
      <c r="AB17" s="144">
        <f>报舱数据!I7</f>
        <v>0</v>
      </c>
      <c r="AC17" s="143" t="str">
        <f>报舱数据!C7&amp;"件"</f>
        <v>件</v>
      </c>
      <c r="AD17" s="142" t="s">
        <v>3783</v>
      </c>
      <c r="AE17" s="143" t="str">
        <f>报舱数据!D7&amp;"千克"</f>
        <v>千克</v>
      </c>
      <c r="AF17" s="142" t="s">
        <v>3782</v>
      </c>
      <c r="AG17" s="141">
        <f>报舱数据!J7</f>
        <v>0</v>
      </c>
      <c r="AH17" s="140"/>
      <c r="BT17" s="139"/>
      <c r="BU17" s="139"/>
      <c r="BV17" s="139"/>
      <c r="BW17" s="139"/>
    </row>
    <row r="18" spans="1:75" s="138" customFormat="1" ht="23.25">
      <c r="A18" s="218" t="str">
        <f>IF(报舱数据!I8&lt;&gt;"",""&amp;新增报告!AA18&amp;新增报告!AB18&amp;"    "&amp;AC18,"")</f>
        <v/>
      </c>
      <c r="B18" s="219"/>
      <c r="C18" s="146" t="str">
        <f>IF(报舱数据!B8&lt;&gt;"","原申报重量:"&amp;报舱数据!P8&amp;"千克","")</f>
        <v/>
      </c>
      <c r="D18" s="220" t="str">
        <f>IF(报舱数据!I8&lt;&gt;"",AD18&amp;AE18,"")</f>
        <v/>
      </c>
      <c r="E18" s="220"/>
      <c r="F18" s="146"/>
      <c r="G18" s="146"/>
      <c r="H18" s="146"/>
      <c r="I18" s="146"/>
      <c r="J18" s="220" t="str">
        <f>IF(报舱数据!I8&lt;&gt;"",AF18&amp;AG18,"")</f>
        <v/>
      </c>
      <c r="K18" s="221"/>
      <c r="L18" s="157"/>
      <c r="N18" s="138">
        <v>9</v>
      </c>
      <c r="O18" s="138" t="s">
        <v>4470</v>
      </c>
      <c r="S18" s="138" t="str">
        <f>IF(报舱数据!B8&lt;&gt;"","原申报重量:"&amp;报舱数据!P8,"")</f>
        <v/>
      </c>
      <c r="AA18" s="145" t="s">
        <v>3784</v>
      </c>
      <c r="AB18" s="144">
        <f>报舱数据!I8</f>
        <v>0</v>
      </c>
      <c r="AC18" s="143" t="str">
        <f>报舱数据!C8&amp;"件"</f>
        <v>件</v>
      </c>
      <c r="AD18" s="142" t="s">
        <v>3783</v>
      </c>
      <c r="AE18" s="143" t="str">
        <f>报舱数据!D8&amp;"千克"</f>
        <v>千克</v>
      </c>
      <c r="AF18" s="142" t="s">
        <v>3782</v>
      </c>
      <c r="AG18" s="141">
        <f>报舱数据!J8</f>
        <v>0</v>
      </c>
      <c r="AH18" s="140"/>
      <c r="BT18" s="139"/>
      <c r="BU18" s="139"/>
      <c r="BV18" s="139"/>
      <c r="BW18" s="139"/>
    </row>
    <row r="19" spans="1:75" s="138" customFormat="1" ht="23.25">
      <c r="A19" s="218" t="str">
        <f>IF(报舱数据!I9&lt;&gt;"",""&amp;新增报告!AA19&amp;新增报告!AB19&amp;"    "&amp;AC19,"")</f>
        <v/>
      </c>
      <c r="B19" s="219"/>
      <c r="C19" s="146" t="str">
        <f>IF(报舱数据!B9&lt;&gt;"","原申报重量:"&amp;报舱数据!P9&amp;"千克","")</f>
        <v/>
      </c>
      <c r="D19" s="220" t="str">
        <f>IF(报舱数据!I9&lt;&gt;"",AD19&amp;AE19,"")</f>
        <v/>
      </c>
      <c r="E19" s="220"/>
      <c r="F19" s="146"/>
      <c r="G19" s="146"/>
      <c r="H19" s="146"/>
      <c r="I19" s="146"/>
      <c r="J19" s="220" t="str">
        <f>IF(报舱数据!I9&lt;&gt;"",AF19&amp;AG19,"")</f>
        <v/>
      </c>
      <c r="K19" s="221"/>
      <c r="L19" s="157"/>
      <c r="N19" s="138">
        <v>10</v>
      </c>
      <c r="O19" s="138" t="s">
        <v>4893</v>
      </c>
      <c r="S19" s="138" t="str">
        <f>IF(报舱数据!B9&lt;&gt;"","原申报重量:"&amp;报舱数据!P9,"")</f>
        <v/>
      </c>
      <c r="AA19" s="145" t="s">
        <v>3784</v>
      </c>
      <c r="AB19" s="144">
        <f>报舱数据!I9</f>
        <v>0</v>
      </c>
      <c r="AC19" s="143" t="str">
        <f>报舱数据!C9&amp;"件"</f>
        <v>件</v>
      </c>
      <c r="AD19" s="142" t="s">
        <v>3783</v>
      </c>
      <c r="AE19" s="143" t="str">
        <f>报舱数据!D9&amp;"千克"</f>
        <v>千克</v>
      </c>
      <c r="AF19" s="142" t="s">
        <v>3782</v>
      </c>
      <c r="AG19" s="141">
        <f>报舱数据!J9</f>
        <v>0</v>
      </c>
      <c r="AH19" s="140"/>
      <c r="BT19" s="139"/>
      <c r="BU19" s="139"/>
      <c r="BV19" s="139"/>
      <c r="BW19" s="139"/>
    </row>
    <row r="20" spans="1:75" s="138" customFormat="1" ht="23.25">
      <c r="A20" s="218" t="str">
        <f>IF(报舱数据!I10&lt;&gt;"",""&amp;新增报告!AA20&amp;新增报告!AB20&amp;"    "&amp;AC20,"")</f>
        <v/>
      </c>
      <c r="B20" s="219"/>
      <c r="C20" s="146" t="str">
        <f>IF(报舱数据!B10&lt;&gt;"","原申报重量:"&amp;报舱数据!P10&amp;"千克","")</f>
        <v/>
      </c>
      <c r="D20" s="220" t="str">
        <f>IF(报舱数据!I10&lt;&gt;"",AD20&amp;AE20,"")</f>
        <v/>
      </c>
      <c r="E20" s="220"/>
      <c r="F20" s="146"/>
      <c r="G20" s="146"/>
      <c r="H20" s="146"/>
      <c r="I20" s="146"/>
      <c r="J20" s="220" t="str">
        <f>IF(报舱数据!I10&lt;&gt;"",AF20&amp;AG20,"")</f>
        <v/>
      </c>
      <c r="K20" s="221"/>
      <c r="L20" s="157"/>
      <c r="N20" s="138">
        <v>11</v>
      </c>
      <c r="O20" s="138" t="s">
        <v>6946</v>
      </c>
      <c r="S20" s="138" t="str">
        <f>IF(报舱数据!B10&lt;&gt;"","原申报重量:"&amp;报舱数据!P10,"")</f>
        <v/>
      </c>
      <c r="AA20" s="145" t="s">
        <v>3784</v>
      </c>
      <c r="AB20" s="144">
        <f>报舱数据!I10</f>
        <v>0</v>
      </c>
      <c r="AC20" s="143" t="str">
        <f>报舱数据!C10&amp;"件"</f>
        <v>件</v>
      </c>
      <c r="AD20" s="142" t="s">
        <v>3783</v>
      </c>
      <c r="AE20" s="143" t="str">
        <f>报舱数据!D10&amp;"千克"</f>
        <v>千克</v>
      </c>
      <c r="AF20" s="142" t="s">
        <v>3782</v>
      </c>
      <c r="AG20" s="141">
        <f>报舱数据!J10</f>
        <v>0</v>
      </c>
      <c r="AH20" s="140"/>
      <c r="BT20" s="139"/>
      <c r="BU20" s="139"/>
      <c r="BV20" s="139"/>
      <c r="BW20" s="139"/>
    </row>
    <row r="21" spans="1:75" s="138" customFormat="1" ht="23.25">
      <c r="A21" s="218" t="str">
        <f>IF(报舱数据!I11&lt;&gt;"",""&amp;新增报告!AA21&amp;新增报告!AB21&amp;"    "&amp;AC21,"")</f>
        <v/>
      </c>
      <c r="B21" s="219"/>
      <c r="C21" s="146" t="str">
        <f>IF(报舱数据!B11&lt;&gt;"","原申报重量:"&amp;报舱数据!P11&amp;"千克","")</f>
        <v/>
      </c>
      <c r="D21" s="220" t="str">
        <f>IF(报舱数据!I11&lt;&gt;"",AD21&amp;AE21,"")</f>
        <v/>
      </c>
      <c r="E21" s="220"/>
      <c r="F21" s="146"/>
      <c r="G21" s="146"/>
      <c r="H21" s="146"/>
      <c r="I21" s="146"/>
      <c r="J21" s="220" t="str">
        <f>IF(报舱数据!I11&lt;&gt;"",AF21&amp;AG21,"")</f>
        <v/>
      </c>
      <c r="K21" s="221"/>
      <c r="L21" s="157"/>
      <c r="N21" s="138">
        <v>12</v>
      </c>
      <c r="O21" s="138" t="s">
        <v>6209</v>
      </c>
      <c r="S21" s="138" t="str">
        <f>IF(报舱数据!B11&lt;&gt;"","原申报重量:"&amp;报舱数据!P11,"")</f>
        <v/>
      </c>
      <c r="AA21" s="145" t="s">
        <v>3784</v>
      </c>
      <c r="AB21" s="144">
        <f>报舱数据!I11</f>
        <v>0</v>
      </c>
      <c r="AC21" s="143" t="str">
        <f>报舱数据!C11&amp;"件"</f>
        <v>件</v>
      </c>
      <c r="AD21" s="142" t="s">
        <v>3783</v>
      </c>
      <c r="AE21" s="143" t="str">
        <f>报舱数据!D11&amp;"千克"</f>
        <v>千克</v>
      </c>
      <c r="AF21" s="142" t="s">
        <v>3782</v>
      </c>
      <c r="AG21" s="141">
        <f>报舱数据!J11</f>
        <v>0</v>
      </c>
      <c r="AH21" s="140"/>
      <c r="BT21" s="139"/>
      <c r="BU21" s="139"/>
      <c r="BV21" s="139"/>
      <c r="BW21" s="139"/>
    </row>
    <row r="22" spans="1:75" s="138" customFormat="1" ht="23.25">
      <c r="A22" s="218" t="str">
        <f>IF(报舱数据!I12&lt;&gt;"",""&amp;新增报告!AA22&amp;新增报告!AB22&amp;"    "&amp;AC22,"")</f>
        <v/>
      </c>
      <c r="B22" s="219"/>
      <c r="C22" s="146" t="str">
        <f>IF(报舱数据!B12&lt;&gt;"","原申报重量:"&amp;报舱数据!P12&amp;"千克","")</f>
        <v/>
      </c>
      <c r="D22" s="220" t="str">
        <f>IF(报舱数据!I12&lt;&gt;"",AD22&amp;AE22,"")</f>
        <v/>
      </c>
      <c r="E22" s="220"/>
      <c r="F22" s="146"/>
      <c r="G22" s="146"/>
      <c r="H22" s="146"/>
      <c r="I22" s="146"/>
      <c r="J22" s="220" t="str">
        <f>IF(报舱数据!I12&lt;&gt;"",AF22&amp;AG22,"")</f>
        <v/>
      </c>
      <c r="K22" s="221"/>
      <c r="L22" s="157"/>
      <c r="N22" s="138">
        <v>13</v>
      </c>
      <c r="O22" s="138" t="s">
        <v>6895</v>
      </c>
      <c r="S22" s="138" t="str">
        <f>IF(报舱数据!B12&lt;&gt;"","原申报重量:"&amp;报舱数据!P12,"")</f>
        <v/>
      </c>
      <c r="AA22" s="145" t="s">
        <v>3784</v>
      </c>
      <c r="AB22" s="144">
        <f>报舱数据!I12</f>
        <v>0</v>
      </c>
      <c r="AC22" s="143" t="str">
        <f>报舱数据!C12&amp;"件"</f>
        <v>件</v>
      </c>
      <c r="AD22" s="142" t="s">
        <v>3783</v>
      </c>
      <c r="AE22" s="143" t="str">
        <f>报舱数据!D12&amp;"千克"</f>
        <v>千克</v>
      </c>
      <c r="AF22" s="142" t="s">
        <v>3782</v>
      </c>
      <c r="AG22" s="141">
        <f>报舱数据!J12</f>
        <v>0</v>
      </c>
      <c r="AH22" s="140"/>
      <c r="BT22" s="139"/>
      <c r="BU22" s="139"/>
      <c r="BV22" s="139"/>
      <c r="BW22" s="139"/>
    </row>
    <row r="23" spans="1:75" s="138" customFormat="1" ht="23.25">
      <c r="A23" s="218" t="str">
        <f>IF(报舱数据!I13&lt;&gt;"",""&amp;新增报告!AA23&amp;新增报告!AB23&amp;"    "&amp;AC23,"")</f>
        <v/>
      </c>
      <c r="B23" s="219"/>
      <c r="C23" s="146" t="str">
        <f>IF(报舱数据!B13&lt;&gt;"","原申报重量:"&amp;报舱数据!P13&amp;"千克","")</f>
        <v/>
      </c>
      <c r="D23" s="220" t="str">
        <f>IF(报舱数据!I13&lt;&gt;"",AD23&amp;AE23,"")</f>
        <v/>
      </c>
      <c r="E23" s="220"/>
      <c r="F23" s="146"/>
      <c r="G23" s="146"/>
      <c r="H23" s="146"/>
      <c r="I23" s="146"/>
      <c r="J23" s="220" t="str">
        <f>IF(报舱数据!I13&lt;&gt;"",AF23&amp;AG23,"")</f>
        <v/>
      </c>
      <c r="K23" s="221"/>
      <c r="L23" s="157"/>
      <c r="N23" s="147">
        <v>14</v>
      </c>
      <c r="O23" s="147" t="s">
        <v>5242</v>
      </c>
      <c r="S23" s="138" t="str">
        <f>IF(报舱数据!B13&lt;&gt;"","原申报重量:"&amp;报舱数据!P13,"")</f>
        <v/>
      </c>
      <c r="AA23" s="145" t="s">
        <v>3784</v>
      </c>
      <c r="AB23" s="144">
        <f>报舱数据!I13</f>
        <v>0</v>
      </c>
      <c r="AC23" s="143" t="str">
        <f>报舱数据!C13&amp;"件"</f>
        <v>件</v>
      </c>
      <c r="AD23" s="142" t="s">
        <v>3783</v>
      </c>
      <c r="AE23" s="143" t="str">
        <f>报舱数据!D13&amp;"千克"</f>
        <v>千克</v>
      </c>
      <c r="AF23" s="142" t="s">
        <v>3782</v>
      </c>
      <c r="AG23" s="141">
        <f>报舱数据!J13</f>
        <v>0</v>
      </c>
      <c r="AH23" s="140"/>
      <c r="BT23" s="139"/>
      <c r="BU23" s="139"/>
      <c r="BV23" s="139"/>
      <c r="BW23" s="139"/>
    </row>
    <row r="24" spans="1:75" s="138" customFormat="1" ht="23.25">
      <c r="A24" s="218" t="str">
        <f>IF(报舱数据!I14&lt;&gt;"",""&amp;新增报告!AA24&amp;新增报告!AB24&amp;"    "&amp;AC24,"")</f>
        <v/>
      </c>
      <c r="B24" s="219"/>
      <c r="C24" s="146" t="str">
        <f>IF(报舱数据!B14&lt;&gt;"","原申报重量:"&amp;报舱数据!P14&amp;"千克","")</f>
        <v/>
      </c>
      <c r="D24" s="220" t="str">
        <f>IF(报舱数据!I14&lt;&gt;"",AD24&amp;AE24,"")</f>
        <v/>
      </c>
      <c r="E24" s="220"/>
      <c r="F24" s="146"/>
      <c r="G24" s="146"/>
      <c r="H24" s="146"/>
      <c r="I24" s="146"/>
      <c r="J24" s="220" t="str">
        <f>IF(报舱数据!I14&lt;&gt;"",AF24&amp;AG24,"")</f>
        <v/>
      </c>
      <c r="K24" s="221"/>
      <c r="L24" s="157"/>
      <c r="S24" s="138" t="str">
        <f>IF(报舱数据!B14&lt;&gt;"","原申报重量:"&amp;报舱数据!P14,"")</f>
        <v/>
      </c>
      <c r="AA24" s="145" t="s">
        <v>3784</v>
      </c>
      <c r="AB24" s="144">
        <f>报舱数据!I14</f>
        <v>0</v>
      </c>
      <c r="AC24" s="143" t="str">
        <f>报舱数据!C14&amp;"件"</f>
        <v>件</v>
      </c>
      <c r="AD24" s="142" t="s">
        <v>3783</v>
      </c>
      <c r="AE24" s="143" t="str">
        <f>报舱数据!D14&amp;"千克"</f>
        <v>千克</v>
      </c>
      <c r="AF24" s="142" t="s">
        <v>3782</v>
      </c>
      <c r="AG24" s="141">
        <f>报舱数据!J14</f>
        <v>0</v>
      </c>
      <c r="AH24" s="140"/>
      <c r="BT24" s="139"/>
      <c r="BU24" s="139"/>
      <c r="BV24" s="139"/>
      <c r="BW24" s="139"/>
    </row>
    <row r="25" spans="1:75" s="138" customFormat="1" ht="23.25">
      <c r="A25" s="218" t="str">
        <f>IF(报舱数据!I15&lt;&gt;"",""&amp;新增报告!AA25&amp;新增报告!AB25&amp;"    "&amp;AC25,"")</f>
        <v/>
      </c>
      <c r="B25" s="219"/>
      <c r="C25" s="146" t="str">
        <f>IF(报舱数据!B15&lt;&gt;"","原申报重量:"&amp;报舱数据!P15&amp;"千克","")</f>
        <v/>
      </c>
      <c r="D25" s="220" t="str">
        <f>IF(报舱数据!I15&lt;&gt;"",AD25&amp;AE25,"")</f>
        <v/>
      </c>
      <c r="E25" s="220"/>
      <c r="F25" s="146"/>
      <c r="G25" s="146"/>
      <c r="H25" s="146"/>
      <c r="I25" s="146"/>
      <c r="J25" s="220" t="str">
        <f>IF(报舱数据!I15&lt;&gt;"",AF25&amp;AG25,"")</f>
        <v/>
      </c>
      <c r="K25" s="221"/>
      <c r="L25" s="157"/>
      <c r="S25" s="138" t="str">
        <f>IF(报舱数据!B15&lt;&gt;"","原申报重量:"&amp;报舱数据!P15,"")</f>
        <v/>
      </c>
      <c r="AA25" s="145" t="s">
        <v>3784</v>
      </c>
      <c r="AB25" s="144">
        <f>报舱数据!I15</f>
        <v>0</v>
      </c>
      <c r="AC25" s="143" t="str">
        <f>报舱数据!C15&amp;"件"</f>
        <v>件</v>
      </c>
      <c r="AD25" s="142" t="s">
        <v>3783</v>
      </c>
      <c r="AE25" s="143" t="str">
        <f>报舱数据!D15&amp;"千克"</f>
        <v>千克</v>
      </c>
      <c r="AF25" s="142" t="s">
        <v>3782</v>
      </c>
      <c r="AG25" s="141">
        <f>报舱数据!J15</f>
        <v>0</v>
      </c>
      <c r="AH25" s="140"/>
      <c r="BT25" s="139"/>
      <c r="BU25" s="139"/>
      <c r="BV25" s="139"/>
      <c r="BW25" s="139"/>
    </row>
    <row r="26" spans="1:75" s="138" customFormat="1" ht="23.25">
      <c r="A26" s="218" t="str">
        <f>IF(报舱数据!I16&lt;&gt;"",""&amp;新增报告!AA26&amp;新增报告!AB26&amp;"    "&amp;AC26,"")</f>
        <v/>
      </c>
      <c r="B26" s="219"/>
      <c r="C26" s="146" t="str">
        <f>IF(报舱数据!B16&lt;&gt;"","原申报重量:"&amp;报舱数据!P16&amp;"千克","")</f>
        <v/>
      </c>
      <c r="D26" s="220" t="str">
        <f>IF(报舱数据!I16&lt;&gt;"",AD26&amp;AE26,"")</f>
        <v/>
      </c>
      <c r="E26" s="220"/>
      <c r="F26" s="146"/>
      <c r="G26" s="146"/>
      <c r="H26" s="146"/>
      <c r="I26" s="146"/>
      <c r="J26" s="220" t="str">
        <f>IF(报舱数据!I16&lt;&gt;"",AF26&amp;AG26,"")</f>
        <v/>
      </c>
      <c r="K26" s="221"/>
      <c r="L26" s="157"/>
      <c r="S26" s="138" t="str">
        <f>IF(报舱数据!B16&lt;&gt;"","原申报重量:"&amp;报舱数据!P16,"")</f>
        <v/>
      </c>
      <c r="AA26" s="145" t="s">
        <v>3784</v>
      </c>
      <c r="AB26" s="144">
        <f>报舱数据!I16</f>
        <v>0</v>
      </c>
      <c r="AC26" s="143" t="str">
        <f>报舱数据!C16&amp;"件"</f>
        <v>件</v>
      </c>
      <c r="AD26" s="142" t="s">
        <v>3783</v>
      </c>
      <c r="AE26" s="143" t="str">
        <f>报舱数据!D16&amp;"千克"</f>
        <v>千克</v>
      </c>
      <c r="AF26" s="142" t="s">
        <v>3782</v>
      </c>
      <c r="AG26" s="141">
        <f>报舱数据!J16</f>
        <v>0</v>
      </c>
      <c r="AH26" s="140"/>
      <c r="BT26" s="139"/>
      <c r="BU26" s="139"/>
      <c r="BV26" s="139"/>
      <c r="BW26" s="139"/>
    </row>
    <row r="27" spans="1:75" s="138" customFormat="1" ht="20.25" customHeight="1">
      <c r="A27" s="226" t="str">
        <f>VLOOKUP(M1,N10:S30,2,FALSE)</f>
        <v xml:space="preserve">    由于我司客户要求分单报关。现向海关提出删除并新增舱单。给海关工作带来不便深表歉意，盼请予以批准！谢谢！</v>
      </c>
      <c r="B27" s="227"/>
      <c r="C27" s="227"/>
      <c r="D27" s="227"/>
      <c r="E27" s="227"/>
      <c r="F27" s="227"/>
      <c r="G27" s="227"/>
      <c r="H27" s="227"/>
      <c r="I27" s="227"/>
      <c r="J27" s="227"/>
      <c r="K27" s="228"/>
      <c r="L27" s="157"/>
      <c r="M27" s="120"/>
      <c r="N27" s="229"/>
      <c r="O27" s="230"/>
      <c r="P27" s="230"/>
      <c r="S27" s="138" t="str">
        <f>IF(报舱数据!B17&lt;&gt;"","原申报重量:"&amp;报舱数据!P17,"")</f>
        <v/>
      </c>
      <c r="AA27" s="145" t="s">
        <v>3784</v>
      </c>
      <c r="AB27" s="144">
        <f>报舱数据!I17</f>
        <v>0</v>
      </c>
      <c r="AC27" s="143" t="str">
        <f>报舱数据!C17&amp;"件"</f>
        <v>件</v>
      </c>
      <c r="AD27" s="142" t="s">
        <v>3783</v>
      </c>
      <c r="AE27" s="143" t="str">
        <f>报舱数据!D17&amp;"千克"</f>
        <v>千克</v>
      </c>
      <c r="AF27" s="142" t="s">
        <v>3782</v>
      </c>
      <c r="AG27" s="141">
        <f>报舱数据!J17</f>
        <v>0</v>
      </c>
      <c r="AH27" s="140"/>
      <c r="AP27" s="222"/>
      <c r="BT27" s="139"/>
      <c r="BU27" s="139"/>
      <c r="BV27" s="139"/>
      <c r="BW27" s="139"/>
    </row>
    <row r="28" spans="1:75" s="138" customFormat="1" ht="54.75" customHeight="1">
      <c r="A28" s="226"/>
      <c r="B28" s="227"/>
      <c r="C28" s="227"/>
      <c r="D28" s="227"/>
      <c r="E28" s="227"/>
      <c r="F28" s="227"/>
      <c r="G28" s="227"/>
      <c r="H28" s="227"/>
      <c r="I28" s="227"/>
      <c r="J28" s="227"/>
      <c r="K28" s="228"/>
      <c r="L28" s="131">
        <f>报舱数据!BG18</f>
        <v>0</v>
      </c>
      <c r="M28" s="120"/>
      <c r="N28" s="230"/>
      <c r="O28" s="230"/>
      <c r="P28" s="230"/>
      <c r="AA28" s="145" t="s">
        <v>3784</v>
      </c>
      <c r="AB28" s="144">
        <f>报舱数据!I18</f>
        <v>0</v>
      </c>
      <c r="AC28" s="143" t="str">
        <f>报舱数据!C18&amp;"件"</f>
        <v>件</v>
      </c>
      <c r="AD28" s="142" t="s">
        <v>3783</v>
      </c>
      <c r="AE28" s="143" t="str">
        <f>报舱数据!D18&amp;"千克"</f>
        <v>千克</v>
      </c>
      <c r="AF28" s="142" t="s">
        <v>3782</v>
      </c>
      <c r="AG28" s="141">
        <f>报舱数据!J18</f>
        <v>0</v>
      </c>
      <c r="AH28" s="140"/>
      <c r="AP28" s="222"/>
      <c r="BT28" s="139"/>
      <c r="BU28" s="139"/>
      <c r="BV28" s="139"/>
      <c r="BW28" s="139"/>
    </row>
    <row r="29" spans="1:75" s="138" customFormat="1" ht="23.25">
      <c r="A29" s="129"/>
      <c r="B29" s="127"/>
      <c r="C29" s="128"/>
      <c r="D29" s="127"/>
      <c r="E29" s="127"/>
      <c r="F29" s="127"/>
      <c r="G29" s="127"/>
      <c r="H29" s="127"/>
      <c r="I29" s="130"/>
      <c r="J29" s="130"/>
      <c r="K29" s="125"/>
      <c r="L29" s="131">
        <f>报舱数据!BG19</f>
        <v>0</v>
      </c>
      <c r="M29" s="120"/>
      <c r="N29" s="230"/>
      <c r="O29" s="230"/>
      <c r="P29" s="230"/>
      <c r="AA29" s="145" t="s">
        <v>3784</v>
      </c>
      <c r="AB29" s="144">
        <f>报舱数据!I19</f>
        <v>0</v>
      </c>
      <c r="AC29" s="143" t="str">
        <f>报舱数据!C19&amp;"件"</f>
        <v>件</v>
      </c>
      <c r="AD29" s="142" t="s">
        <v>3783</v>
      </c>
      <c r="AE29" s="143" t="str">
        <f>报舱数据!D19&amp;"千克"</f>
        <v>千克</v>
      </c>
      <c r="AF29" s="142" t="s">
        <v>3782</v>
      </c>
      <c r="AG29" s="141">
        <f>报舱数据!J19</f>
        <v>0</v>
      </c>
      <c r="AH29" s="140"/>
      <c r="BT29" s="139"/>
      <c r="BU29" s="139"/>
      <c r="BV29" s="139"/>
      <c r="BW29" s="139"/>
    </row>
    <row r="30" spans="1:75" s="138" customFormat="1" ht="23.25">
      <c r="A30" s="129"/>
      <c r="B30" s="127"/>
      <c r="C30" s="128"/>
      <c r="D30" s="127"/>
      <c r="E30" s="127"/>
      <c r="F30" s="127"/>
      <c r="G30" s="127"/>
      <c r="H30" s="127"/>
      <c r="I30" s="127"/>
      <c r="J30" s="130"/>
      <c r="K30" s="125"/>
      <c r="L30" s="131">
        <f>报舱数据!BG20</f>
        <v>0</v>
      </c>
      <c r="M30" s="120"/>
      <c r="AA30" s="145" t="s">
        <v>3784</v>
      </c>
      <c r="AB30" s="144">
        <f>报舱数据!I20</f>
        <v>0</v>
      </c>
      <c r="AC30" s="143" t="str">
        <f>报舱数据!C20&amp;"件"</f>
        <v>件</v>
      </c>
      <c r="AD30" s="142" t="s">
        <v>3783</v>
      </c>
      <c r="AE30" s="143" t="str">
        <f>报舱数据!D20&amp;"千克"</f>
        <v>千克</v>
      </c>
      <c r="AF30" s="142" t="s">
        <v>3782</v>
      </c>
      <c r="AG30" s="141">
        <f>报舱数据!J20</f>
        <v>0</v>
      </c>
      <c r="AH30" s="140"/>
      <c r="BT30" s="139"/>
      <c r="BU30" s="139"/>
      <c r="BV30" s="139"/>
      <c r="BW30" s="139"/>
    </row>
    <row r="31" spans="1:75" s="138" customFormat="1" ht="72" customHeight="1">
      <c r="A31" s="132" t="s">
        <v>3781</v>
      </c>
      <c r="B31" s="231" t="str">
        <f>code128bAsian(TEXT(B32,0))</f>
        <v>Éà01ËàÍà</v>
      </c>
      <c r="C31" s="231"/>
      <c r="D31" s="231"/>
      <c r="E31" s="231"/>
      <c r="F31" s="127"/>
      <c r="G31" s="127"/>
      <c r="H31" s="127"/>
      <c r="I31" s="127"/>
      <c r="J31" s="127"/>
      <c r="K31" s="125"/>
      <c r="L31" s="131">
        <f>报舱数据!BG21</f>
        <v>0</v>
      </c>
      <c r="M31" s="120"/>
      <c r="AG31" s="140"/>
      <c r="AH31" s="140"/>
      <c r="BT31" s="139"/>
      <c r="BU31" s="139"/>
      <c r="BV31" s="139"/>
      <c r="BW31" s="139"/>
    </row>
    <row r="32" spans="1:75" s="138" customFormat="1" ht="23.25">
      <c r="A32" s="129"/>
      <c r="B32" s="232">
        <f>报舱数据!J2</f>
        <v>0</v>
      </c>
      <c r="C32" s="232"/>
      <c r="D32" s="232"/>
      <c r="E32" s="232"/>
      <c r="F32" s="127"/>
      <c r="G32" s="127"/>
      <c r="H32" s="127"/>
      <c r="I32" s="127"/>
      <c r="J32" s="130"/>
      <c r="K32" s="125"/>
      <c r="L32" s="123"/>
      <c r="M32" s="120"/>
      <c r="AG32" s="140"/>
      <c r="AH32" s="140"/>
      <c r="BT32" s="139"/>
      <c r="BU32" s="139"/>
      <c r="BV32" s="139"/>
      <c r="BW32" s="139"/>
    </row>
    <row r="33" spans="1:75" s="138" customFormat="1" ht="23.25">
      <c r="A33" s="129"/>
      <c r="B33" s="127"/>
      <c r="C33" s="128"/>
      <c r="D33" s="127"/>
      <c r="E33" s="127"/>
      <c r="F33" s="127"/>
      <c r="G33" s="127"/>
      <c r="H33" s="127"/>
      <c r="I33" s="127"/>
      <c r="J33" s="130"/>
      <c r="K33" s="125"/>
      <c r="L33" s="123"/>
      <c r="M33" s="120"/>
      <c r="AG33" s="140"/>
      <c r="AH33" s="140"/>
      <c r="BT33" s="139"/>
      <c r="BU33" s="139"/>
      <c r="BV33" s="139"/>
      <c r="BW33" s="139"/>
    </row>
    <row r="34" spans="1:75" s="138" customFormat="1" ht="23.25">
      <c r="A34" s="129"/>
      <c r="B34" s="127"/>
      <c r="C34" s="128"/>
      <c r="D34" s="127"/>
      <c r="E34" s="127"/>
      <c r="F34" s="127"/>
      <c r="G34" s="127"/>
      <c r="H34" s="127"/>
      <c r="I34" s="127"/>
      <c r="J34" s="126" t="s">
        <v>3780</v>
      </c>
      <c r="K34" s="125"/>
      <c r="L34" s="123"/>
      <c r="M34" s="120"/>
      <c r="AG34" s="140"/>
      <c r="AH34" s="140"/>
      <c r="BT34" s="139"/>
      <c r="BU34" s="139"/>
      <c r="BV34" s="139"/>
      <c r="BW34" s="139"/>
    </row>
    <row r="35" spans="1:75" s="138" customFormat="1" ht="23.25">
      <c r="A35" s="233"/>
      <c r="B35" s="234"/>
      <c r="C35" s="234"/>
      <c r="D35" s="234"/>
      <c r="E35" s="234"/>
      <c r="F35" s="234"/>
      <c r="G35" s="234"/>
      <c r="H35" s="234"/>
      <c r="I35" s="234"/>
      <c r="J35" s="234"/>
      <c r="K35" s="235"/>
      <c r="L35" s="123"/>
      <c r="M35" s="120"/>
      <c r="AG35" s="140"/>
      <c r="AH35" s="140"/>
      <c r="BT35" s="139"/>
      <c r="BU35" s="139"/>
      <c r="BV35" s="139"/>
      <c r="BW35" s="139"/>
    </row>
    <row r="36" spans="1:75" s="138" customFormat="1" ht="46.5" customHeight="1">
      <c r="A36" s="236" t="s">
        <v>3779</v>
      </c>
      <c r="B36" s="237"/>
      <c r="C36" s="237"/>
      <c r="D36" s="237"/>
      <c r="E36" s="237"/>
      <c r="F36" s="237"/>
      <c r="G36" s="237"/>
      <c r="H36" s="237"/>
      <c r="I36" s="237"/>
      <c r="J36" s="237"/>
      <c r="K36" s="238"/>
      <c r="L36" s="123"/>
      <c r="M36" s="120"/>
      <c r="AG36" s="140"/>
      <c r="AH36" s="140"/>
      <c r="BT36" s="139"/>
      <c r="BU36" s="139"/>
      <c r="BV36" s="139"/>
      <c r="BW36" s="139"/>
    </row>
    <row r="37" spans="1:75" s="138" customFormat="1" ht="118.5" customHeight="1">
      <c r="A37" s="223" t="s">
        <v>3778</v>
      </c>
      <c r="B37" s="224"/>
      <c r="C37" s="224"/>
      <c r="D37" s="224"/>
      <c r="E37" s="224"/>
      <c r="F37" s="224"/>
      <c r="G37" s="224"/>
      <c r="H37" s="224"/>
      <c r="I37" s="224"/>
      <c r="J37" s="224"/>
      <c r="K37" s="225"/>
      <c r="L37" s="123"/>
      <c r="M37" s="120"/>
      <c r="AG37" s="140"/>
      <c r="AH37" s="140"/>
      <c r="BT37" s="139"/>
      <c r="BU37" s="139"/>
      <c r="BV37" s="139"/>
      <c r="BW37" s="139"/>
    </row>
    <row r="38" spans="1:75" s="138" customFormat="1" ht="23.25">
      <c r="A38" s="120"/>
      <c r="B38" s="120"/>
      <c r="C38" s="124"/>
      <c r="D38" s="120"/>
      <c r="E38" s="120"/>
      <c r="F38" s="120"/>
      <c r="G38" s="120"/>
      <c r="H38" s="120"/>
      <c r="I38" s="120"/>
      <c r="J38" s="120"/>
      <c r="K38" s="120"/>
      <c r="L38" s="123"/>
      <c r="M38" s="120"/>
      <c r="AG38" s="140"/>
      <c r="AH38" s="140"/>
      <c r="BT38" s="139"/>
      <c r="BU38" s="139"/>
      <c r="BV38" s="139"/>
      <c r="BW38" s="139"/>
    </row>
    <row r="39" spans="1:75" s="138" customFormat="1" ht="23.25">
      <c r="A39" s="120"/>
      <c r="B39" s="120"/>
      <c r="C39" s="124"/>
      <c r="D39" s="120"/>
      <c r="E39" s="120"/>
      <c r="F39" s="120"/>
      <c r="G39" s="120"/>
      <c r="H39" s="120"/>
      <c r="I39" s="120"/>
      <c r="J39" s="120"/>
      <c r="K39" s="120"/>
      <c r="L39" s="123"/>
      <c r="M39" s="120"/>
      <c r="AG39" s="140"/>
      <c r="AH39" s="140"/>
      <c r="BT39" s="139"/>
      <c r="BU39" s="139"/>
      <c r="BV39" s="139"/>
      <c r="BW39" s="139"/>
    </row>
    <row r="40" spans="1:75" s="138" customFormat="1" ht="23.25">
      <c r="A40" s="120"/>
      <c r="B40" s="120"/>
      <c r="C40" s="124"/>
      <c r="D40" s="120"/>
      <c r="E40" s="120"/>
      <c r="F40" s="120"/>
      <c r="G40" s="120"/>
      <c r="H40" s="120"/>
      <c r="I40" s="120"/>
      <c r="J40" s="120"/>
      <c r="K40" s="120"/>
      <c r="L40" s="123"/>
      <c r="M40" s="120"/>
      <c r="AG40" s="140"/>
      <c r="AH40" s="140"/>
      <c r="BT40" s="139"/>
      <c r="BU40" s="139"/>
      <c r="BV40" s="139"/>
      <c r="BW40" s="139"/>
    </row>
    <row r="41" spans="1:75" s="138" customFormat="1" ht="23.25">
      <c r="A41" s="120"/>
      <c r="B41" s="120"/>
      <c r="C41" s="124"/>
      <c r="D41" s="120"/>
      <c r="E41" s="120"/>
      <c r="F41" s="120"/>
      <c r="G41" s="120"/>
      <c r="H41" s="120"/>
      <c r="I41" s="120"/>
      <c r="J41" s="120"/>
      <c r="K41" s="120"/>
      <c r="L41" s="123"/>
      <c r="M41" s="120"/>
      <c r="AG41" s="140"/>
      <c r="AH41" s="140"/>
      <c r="BT41" s="139"/>
      <c r="BU41" s="139"/>
      <c r="BV41" s="139"/>
      <c r="BW41" s="139"/>
    </row>
    <row r="42" spans="1:75" s="138" customFormat="1" ht="23.25">
      <c r="A42" s="120"/>
      <c r="B42" s="120"/>
      <c r="C42" s="124"/>
      <c r="D42" s="120"/>
      <c r="E42" s="120"/>
      <c r="F42" s="120"/>
      <c r="G42" s="120"/>
      <c r="H42" s="120"/>
      <c r="I42" s="120"/>
      <c r="J42" s="120"/>
      <c r="K42" s="120"/>
      <c r="L42" s="123"/>
      <c r="M42" s="120"/>
      <c r="AG42" s="140"/>
      <c r="AH42" s="140"/>
      <c r="BT42" s="139"/>
      <c r="BU42" s="139"/>
      <c r="BV42" s="139"/>
      <c r="BW42" s="139"/>
    </row>
  </sheetData>
  <mergeCells count="59">
    <mergeCell ref="A37:K37"/>
    <mergeCell ref="A27:K28"/>
    <mergeCell ref="N27:P29"/>
    <mergeCell ref="B31:E31"/>
    <mergeCell ref="B32:E32"/>
    <mergeCell ref="A35:K35"/>
    <mergeCell ref="A36:K36"/>
    <mergeCell ref="AP27:AP28"/>
    <mergeCell ref="A24:B24"/>
    <mergeCell ref="D24:E24"/>
    <mergeCell ref="J24:K24"/>
    <mergeCell ref="A25:B25"/>
    <mergeCell ref="D25:E25"/>
    <mergeCell ref="J25:K25"/>
    <mergeCell ref="A26:B26"/>
    <mergeCell ref="D26:E26"/>
    <mergeCell ref="J26:K26"/>
    <mergeCell ref="A22:B22"/>
    <mergeCell ref="D22:E22"/>
    <mergeCell ref="J22:K22"/>
    <mergeCell ref="A23:B23"/>
    <mergeCell ref="D23:E23"/>
    <mergeCell ref="J23:K23"/>
    <mergeCell ref="A20:B20"/>
    <mergeCell ref="D20:E20"/>
    <mergeCell ref="J20:K20"/>
    <mergeCell ref="A21:B21"/>
    <mergeCell ref="D21:E21"/>
    <mergeCell ref="J21:K21"/>
    <mergeCell ref="A18:B18"/>
    <mergeCell ref="D18:E18"/>
    <mergeCell ref="J18:K18"/>
    <mergeCell ref="A19:B19"/>
    <mergeCell ref="D19:E19"/>
    <mergeCell ref="J19:K19"/>
    <mergeCell ref="A16:B16"/>
    <mergeCell ref="D16:E16"/>
    <mergeCell ref="J16:K16"/>
    <mergeCell ref="A17:B17"/>
    <mergeCell ref="D17:E17"/>
    <mergeCell ref="J17:K17"/>
    <mergeCell ref="A14:B14"/>
    <mergeCell ref="D14:E14"/>
    <mergeCell ref="J14:K14"/>
    <mergeCell ref="A15:B15"/>
    <mergeCell ref="D15:E15"/>
    <mergeCell ref="J15:K15"/>
    <mergeCell ref="A12:B12"/>
    <mergeCell ref="D12:E12"/>
    <mergeCell ref="J12:K12"/>
    <mergeCell ref="A13:B13"/>
    <mergeCell ref="D13:E13"/>
    <mergeCell ref="J13:K13"/>
    <mergeCell ref="B10:C10"/>
    <mergeCell ref="A1:K2"/>
    <mergeCell ref="M1:M2"/>
    <mergeCell ref="B3:I3"/>
    <mergeCell ref="A4:K4"/>
    <mergeCell ref="A9:K9"/>
  </mergeCells>
  <phoneticPr fontId="1" type="noConversion"/>
  <pageMargins left="0.23622047244094491" right="0.23622047244094491" top="0.74803149606299213" bottom="0.74803149606299213" header="0.31496062992125984" footer="0.31496062992125984"/>
  <pageSetup paperSize="9" scale="61" orientation="portrait" horizontalDpi="180" verticalDpi="180" r:id="rId1"/>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打印区域" altText="另存为">
                <anchor moveWithCells="1">
                  <from>
                    <xdr:col>11</xdr:col>
                    <xdr:colOff>19050</xdr:colOff>
                    <xdr:row>0</xdr:row>
                    <xdr:rowOff>0</xdr:rowOff>
                  </from>
                  <to>
                    <xdr:col>11</xdr:col>
                    <xdr:colOff>1876425</xdr:colOff>
                    <xdr:row>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BW42"/>
  <sheetViews>
    <sheetView showGridLines="0" view="pageBreakPreview" zoomScale="55" zoomScaleSheetLayoutView="55" workbookViewId="0">
      <pane xSplit="11" topLeftCell="L1" activePane="topRight" state="frozen"/>
      <selection activeCell="H12" sqref="H12"/>
      <selection pane="topRight" activeCell="M18" sqref="M18"/>
    </sheetView>
  </sheetViews>
  <sheetFormatPr defaultRowHeight="20.25"/>
  <cols>
    <col min="1" max="1" width="19.125" bestFit="1" customWidth="1"/>
    <col min="2" max="2" width="31.875" customWidth="1"/>
    <col min="3" max="3" width="34.5" style="119" customWidth="1"/>
    <col min="4" max="4" width="19.625" customWidth="1"/>
    <col min="5" max="5" width="14.125" customWidth="1"/>
    <col min="6" max="9" width="1.25" hidden="1" customWidth="1"/>
    <col min="10" max="10" width="18.75" customWidth="1"/>
    <col min="11" max="11" width="26.875" customWidth="1"/>
    <col min="12" max="12" width="31.75" style="118" customWidth="1"/>
    <col min="13" max="13" width="19.125" customWidth="1"/>
    <col min="14" max="14" width="5.75" bestFit="1" customWidth="1"/>
    <col min="15" max="15" width="236.875" bestFit="1" customWidth="1"/>
    <col min="16" max="21" width="13.5" customWidth="1"/>
    <col min="22" max="22" width="21.875" hidden="1" customWidth="1"/>
    <col min="23" max="23" width="13.375" hidden="1" customWidth="1"/>
    <col min="24" max="24" width="4.75" hidden="1" customWidth="1"/>
    <col min="25" max="26" width="7.5" hidden="1" customWidth="1"/>
    <col min="27" max="27" width="17.25" bestFit="1" customWidth="1"/>
    <col min="28" max="28" width="115.75" customWidth="1"/>
    <col min="29" max="29" width="14.25" bestFit="1" customWidth="1"/>
    <col min="30" max="30" width="17.25" bestFit="1" customWidth="1"/>
    <col min="31" max="31" width="17.625" bestFit="1" customWidth="1"/>
    <col min="32" max="32" width="20.875" bestFit="1" customWidth="1"/>
    <col min="33" max="33" width="27" style="117" bestFit="1" customWidth="1"/>
    <col min="34" max="34" width="28.375" style="117" hidden="1" customWidth="1"/>
    <col min="35" max="37" width="17.625" hidden="1" customWidth="1"/>
    <col min="38" max="38" width="11.25" hidden="1" customWidth="1"/>
    <col min="39" max="39" width="13.375" hidden="1" customWidth="1"/>
    <col min="40" max="40" width="12.25" hidden="1" customWidth="1"/>
    <col min="41" max="41" width="11.25" hidden="1" customWidth="1"/>
    <col min="42" max="42" width="11.5" customWidth="1"/>
    <col min="43" max="43" width="13.375" bestFit="1" customWidth="1"/>
    <col min="44" max="44" width="17.875" bestFit="1" customWidth="1"/>
    <col min="45" max="45" width="13.375" bestFit="1" customWidth="1"/>
    <col min="46" max="46" width="51.875" bestFit="1" customWidth="1"/>
    <col min="47" max="47" width="22.125" bestFit="1" customWidth="1"/>
    <col min="48" max="48" width="26" bestFit="1" customWidth="1"/>
    <col min="49" max="49" width="9.25" bestFit="1" customWidth="1"/>
    <col min="50" max="50" width="22.125" bestFit="1" customWidth="1"/>
    <col min="51" max="51" width="21.75" bestFit="1" customWidth="1"/>
    <col min="52" max="52" width="23.875" bestFit="1" customWidth="1"/>
    <col min="53" max="53" width="5.875" bestFit="1" customWidth="1"/>
    <col min="54" max="55" width="7.75" bestFit="1" customWidth="1"/>
    <col min="56" max="56" width="23" bestFit="1" customWidth="1"/>
    <col min="57" max="57" width="15.75" bestFit="1" customWidth="1"/>
    <col min="58" max="58" width="7.75" bestFit="1" customWidth="1"/>
    <col min="59" max="59" width="13.375" bestFit="1" customWidth="1"/>
    <col min="60" max="60" width="7.5" bestFit="1" customWidth="1"/>
    <col min="61" max="61" width="9.25" bestFit="1" customWidth="1"/>
    <col min="62" max="62" width="5.625" bestFit="1" customWidth="1"/>
    <col min="63" max="65" width="16.5" bestFit="1" customWidth="1"/>
    <col min="66" max="66" width="8.375" bestFit="1" customWidth="1"/>
    <col min="67" max="67" width="22.125" bestFit="1" customWidth="1"/>
    <col min="68" max="68" width="8.5" bestFit="1" customWidth="1"/>
    <col min="69" max="69" width="32.625" bestFit="1" customWidth="1"/>
    <col min="70" max="70" width="11.25" bestFit="1" customWidth="1"/>
    <col min="71" max="71" width="13.375" bestFit="1" customWidth="1"/>
    <col min="72" max="72" width="12.5" style="116" bestFit="1" customWidth="1"/>
    <col min="73" max="73" width="15" style="116" bestFit="1" customWidth="1"/>
    <col min="74" max="74" width="12.5" style="116" bestFit="1" customWidth="1"/>
    <col min="75" max="75" width="12.75" style="116" bestFit="1" customWidth="1"/>
    <col min="76" max="76" width="21.75" bestFit="1" customWidth="1"/>
    <col min="77" max="77" width="17.625" bestFit="1" customWidth="1"/>
    <col min="78" max="78" width="9.25" bestFit="1" customWidth="1"/>
    <col min="79" max="79" width="13.375" bestFit="1" customWidth="1"/>
    <col min="80" max="80" width="8.375" bestFit="1" customWidth="1"/>
    <col min="81" max="81" width="17.625" bestFit="1" customWidth="1"/>
    <col min="82" max="83" width="11.25" bestFit="1" customWidth="1"/>
    <col min="84" max="84" width="9.25" bestFit="1" customWidth="1"/>
    <col min="85" max="85" width="13.625" bestFit="1" customWidth="1"/>
    <col min="86" max="86" width="9" customWidth="1"/>
  </cols>
  <sheetData>
    <row r="1" spans="1:75" s="120" customFormat="1" ht="25.5" customHeight="1">
      <c r="A1" s="209" t="s">
        <v>4411</v>
      </c>
      <c r="B1" s="209"/>
      <c r="C1" s="209"/>
      <c r="D1" s="209"/>
      <c r="E1" s="209"/>
      <c r="F1" s="209"/>
      <c r="G1" s="209"/>
      <c r="H1" s="209"/>
      <c r="I1" s="209"/>
      <c r="J1" s="209"/>
      <c r="K1" s="209"/>
      <c r="L1" s="169" t="s">
        <v>3789</v>
      </c>
      <c r="M1" s="239">
        <v>7</v>
      </c>
      <c r="N1" s="172"/>
      <c r="AG1" s="122"/>
      <c r="AH1" s="122"/>
      <c r="BT1" s="121"/>
      <c r="BU1" s="121"/>
      <c r="BV1" s="121"/>
      <c r="BW1" s="121"/>
    </row>
    <row r="2" spans="1:75" s="120" customFormat="1" ht="47.25" customHeight="1">
      <c r="A2" s="210"/>
      <c r="B2" s="210"/>
      <c r="C2" s="210"/>
      <c r="D2" s="210"/>
      <c r="E2" s="210"/>
      <c r="F2" s="210"/>
      <c r="G2" s="210"/>
      <c r="H2" s="210"/>
      <c r="I2" s="210"/>
      <c r="J2" s="210"/>
      <c r="K2" s="210"/>
      <c r="L2" s="168" t="str">
        <f>IF(报舱数据!B2&lt;&gt;"",("修改_"&amp;AB12&amp;"_"&amp;AG12&amp;"_"&amp;AC12&amp;AE12),("新增_"&amp;AB12&amp;"_"&amp;AG12&amp;"_"&amp;AC12&amp;AE12))</f>
        <v>新增_0_0_件千克</v>
      </c>
      <c r="M2" s="239"/>
      <c r="N2" s="172"/>
      <c r="AG2" s="122"/>
      <c r="AH2" s="122"/>
      <c r="BT2" s="121"/>
      <c r="BU2" s="121"/>
      <c r="BV2" s="121"/>
      <c r="BW2" s="121"/>
    </row>
    <row r="3" spans="1:75" s="120" customFormat="1" ht="48" customHeight="1">
      <c r="A3" s="167" t="s">
        <v>3788</v>
      </c>
      <c r="B3" s="212" t="s">
        <v>3787</v>
      </c>
      <c r="C3" s="212"/>
      <c r="D3" s="212"/>
      <c r="E3" s="212"/>
      <c r="F3" s="212"/>
      <c r="G3" s="212"/>
      <c r="H3" s="212"/>
      <c r="I3" s="212"/>
      <c r="J3" s="167" t="s">
        <v>3786</v>
      </c>
      <c r="K3" s="166">
        <f ca="1">TODAY()</f>
        <v>44084</v>
      </c>
      <c r="L3" s="154" t="str">
        <f>AB12&amp;"_"&amp;AG12</f>
        <v>0_0</v>
      </c>
      <c r="M3" s="172"/>
      <c r="N3" s="172"/>
      <c r="AG3" s="122"/>
      <c r="AH3" s="122"/>
      <c r="BT3" s="121"/>
      <c r="BU3" s="121"/>
      <c r="BV3" s="121"/>
      <c r="BW3" s="121"/>
    </row>
    <row r="4" spans="1:75" s="120" customFormat="1" ht="21">
      <c r="A4" s="213"/>
      <c r="B4" s="214"/>
      <c r="C4" s="214"/>
      <c r="D4" s="214"/>
      <c r="E4" s="214"/>
      <c r="F4" s="214"/>
      <c r="G4" s="214"/>
      <c r="H4" s="214"/>
      <c r="I4" s="215"/>
      <c r="J4" s="215"/>
      <c r="K4" s="216"/>
      <c r="L4" s="164"/>
      <c r="AG4" s="122"/>
      <c r="AH4" s="122"/>
      <c r="BT4" s="121"/>
      <c r="BU4" s="121"/>
      <c r="BV4" s="121"/>
      <c r="BW4" s="121"/>
    </row>
    <row r="5" spans="1:75" s="120" customFormat="1">
      <c r="A5" s="156"/>
      <c r="B5" s="130"/>
      <c r="C5" s="163"/>
      <c r="D5" s="130"/>
      <c r="E5" s="130"/>
      <c r="F5" s="130"/>
      <c r="G5" s="130"/>
      <c r="H5" s="130"/>
      <c r="I5" s="130"/>
      <c r="J5" s="130"/>
      <c r="K5" s="155"/>
      <c r="L5" s="123"/>
      <c r="AG5" s="122"/>
      <c r="AH5" s="122"/>
      <c r="BT5" s="121"/>
      <c r="BU5" s="121"/>
      <c r="BV5" s="121"/>
      <c r="BW5" s="121"/>
    </row>
    <row r="6" spans="1:75" s="120" customFormat="1">
      <c r="A6" s="156"/>
      <c r="B6" s="130"/>
      <c r="C6" s="130"/>
      <c r="D6" s="130"/>
      <c r="E6" s="130"/>
      <c r="F6" s="130"/>
      <c r="G6" s="130"/>
      <c r="H6" s="130"/>
      <c r="I6" s="130"/>
      <c r="J6" s="130"/>
      <c r="K6" s="155"/>
      <c r="L6" s="123"/>
      <c r="AG6" s="122"/>
      <c r="AH6" s="122"/>
      <c r="BT6" s="121"/>
      <c r="BU6" s="121"/>
      <c r="BV6" s="121"/>
      <c r="BW6" s="121"/>
    </row>
    <row r="7" spans="1:75" s="120" customFormat="1" ht="22.5">
      <c r="A7" s="162" t="s">
        <v>7667</v>
      </c>
      <c r="B7" s="130"/>
      <c r="C7" s="130"/>
      <c r="D7" s="130"/>
      <c r="E7" s="130"/>
      <c r="F7" s="130"/>
      <c r="G7" s="130"/>
      <c r="H7" s="130"/>
      <c r="I7" s="130"/>
      <c r="J7" s="130"/>
      <c r="K7" s="155"/>
      <c r="L7" s="123"/>
      <c r="AG7" s="122"/>
      <c r="AH7" s="122"/>
      <c r="BT7" s="121"/>
      <c r="BU7" s="121"/>
      <c r="BV7" s="121"/>
      <c r="BW7" s="121"/>
    </row>
    <row r="8" spans="1:75" s="120" customFormat="1">
      <c r="A8" s="156"/>
      <c r="B8" s="130"/>
      <c r="C8" s="130"/>
      <c r="D8" s="130"/>
      <c r="E8" s="130"/>
      <c r="F8" s="130"/>
      <c r="G8" s="130"/>
      <c r="H8" s="130"/>
      <c r="I8" s="130"/>
      <c r="J8" s="130"/>
      <c r="K8" s="155"/>
      <c r="L8" s="123"/>
      <c r="AG8" s="122"/>
      <c r="AH8" s="122"/>
      <c r="BT8" s="121"/>
      <c r="BU8" s="121"/>
      <c r="BV8" s="121"/>
      <c r="BW8" s="121"/>
    </row>
    <row r="9" spans="1:75" s="120" customFormat="1" ht="21">
      <c r="A9" s="217" t="s">
        <v>3785</v>
      </c>
      <c r="B9" s="215"/>
      <c r="C9" s="215"/>
      <c r="D9" s="215"/>
      <c r="E9" s="215"/>
      <c r="F9" s="215"/>
      <c r="G9" s="215"/>
      <c r="H9" s="215"/>
      <c r="I9" s="215"/>
      <c r="J9" s="215"/>
      <c r="K9" s="216"/>
      <c r="L9" s="157"/>
      <c r="AG9" s="122"/>
      <c r="AH9" s="122"/>
      <c r="BT9" s="121"/>
      <c r="BU9" s="121"/>
      <c r="BV9" s="121"/>
      <c r="BW9" s="121"/>
    </row>
    <row r="10" spans="1:75" s="120" customFormat="1" ht="23.25">
      <c r="A10" s="161"/>
      <c r="B10" s="208"/>
      <c r="C10" s="208"/>
      <c r="D10" s="160"/>
      <c r="E10" s="160"/>
      <c r="F10" s="160"/>
      <c r="G10" s="160"/>
      <c r="H10" s="160"/>
      <c r="I10" s="130"/>
      <c r="J10" s="159"/>
      <c r="K10" s="158"/>
      <c r="L10" s="157"/>
      <c r="N10" s="138">
        <v>1</v>
      </c>
      <c r="O10" s="138" t="s">
        <v>5236</v>
      </c>
      <c r="AG10" s="122"/>
      <c r="AH10" s="122"/>
      <c r="BT10" s="121"/>
      <c r="BU10" s="121"/>
      <c r="BV10" s="121"/>
      <c r="BW10" s="121"/>
    </row>
    <row r="11" spans="1:75" s="120" customFormat="1" ht="23.25">
      <c r="A11" s="156"/>
      <c r="B11" s="130"/>
      <c r="C11" s="171"/>
      <c r="D11" s="130"/>
      <c r="E11" s="130"/>
      <c r="F11" s="130"/>
      <c r="G11" s="130"/>
      <c r="H11" s="130"/>
      <c r="I11" s="130"/>
      <c r="J11" s="130"/>
      <c r="K11" s="155"/>
      <c r="L11" s="157"/>
      <c r="N11" s="147">
        <v>2</v>
      </c>
      <c r="O11" s="147" t="s">
        <v>5237</v>
      </c>
      <c r="AA11" s="153" t="s">
        <v>3784</v>
      </c>
      <c r="AB11" s="152" t="str">
        <f>报舱数据!I1</f>
        <v>运单号</v>
      </c>
      <c r="AC11" s="151" t="str">
        <f>报舱数据!C1&amp;"件"</f>
        <v>新件数件</v>
      </c>
      <c r="AD11" s="150" t="s">
        <v>3783</v>
      </c>
      <c r="AE11" s="151" t="str">
        <f>报舱数据!D1&amp;"千克"</f>
        <v>新重量千克</v>
      </c>
      <c r="AF11" s="150" t="s">
        <v>3782</v>
      </c>
      <c r="AG11" s="149" t="str">
        <f>报舱数据!J1</f>
        <v>总运单号</v>
      </c>
      <c r="AH11" s="122"/>
      <c r="BT11" s="121"/>
      <c r="BU11" s="121"/>
      <c r="BV11" s="121"/>
      <c r="BW11" s="121"/>
    </row>
    <row r="12" spans="1:75" s="138" customFormat="1" ht="23.25">
      <c r="A12" s="218" t="str">
        <f>IF(报舱数据!I2&lt;&gt;"",""&amp;删除报告!AA12&amp;删除报告!AB12&amp;"    "&amp;AC12,"")</f>
        <v/>
      </c>
      <c r="B12" s="219"/>
      <c r="C12" s="170" t="str">
        <f>IF(报舱数据!B2&lt;&gt;"","原申报重量:"&amp;报舱数据!P2&amp;"千克","")</f>
        <v/>
      </c>
      <c r="D12" s="220" t="str">
        <f>IF(报舱数据!I2&lt;&gt;"",AD12&amp;AE12,"")</f>
        <v/>
      </c>
      <c r="E12" s="220"/>
      <c r="F12" s="146"/>
      <c r="G12" s="146"/>
      <c r="H12" s="146"/>
      <c r="I12" s="146"/>
      <c r="J12" s="220" t="str">
        <f>IF(报舱数据!I2&lt;&gt;"",AF12&amp;AG12,"")</f>
        <v/>
      </c>
      <c r="K12" s="221"/>
      <c r="L12" s="157"/>
      <c r="AA12" s="145" t="s">
        <v>3784</v>
      </c>
      <c r="AB12" s="144">
        <f>报舱数据!I2</f>
        <v>0</v>
      </c>
      <c r="AC12" s="143" t="str">
        <f>报舱数据!C2&amp;"件"</f>
        <v>件</v>
      </c>
      <c r="AD12" s="142" t="s">
        <v>3783</v>
      </c>
      <c r="AE12" s="143" t="str">
        <f>报舱数据!D2&amp;"千克"</f>
        <v>千克</v>
      </c>
      <c r="AF12" s="142" t="s">
        <v>3782</v>
      </c>
      <c r="AG12" s="141">
        <f>报舱数据!J2</f>
        <v>0</v>
      </c>
      <c r="AH12" s="140"/>
      <c r="BT12" s="139"/>
      <c r="BU12" s="139"/>
      <c r="BV12" s="139"/>
      <c r="BW12" s="139"/>
    </row>
    <row r="13" spans="1:75" s="138" customFormat="1" ht="23.25">
      <c r="A13" s="218" t="str">
        <f>IF(报舱数据!I3&lt;&gt;"",""&amp;删除报告!AA13&amp;删除报告!AB13&amp;"    "&amp;AC13,"")</f>
        <v/>
      </c>
      <c r="B13" s="219"/>
      <c r="C13" s="170" t="str">
        <f>IF(报舱数据!B3&lt;&gt;"","原申报重量:"&amp;报舱数据!P3&amp;"千克","")</f>
        <v/>
      </c>
      <c r="D13" s="220" t="str">
        <f>IF(报舱数据!I3&lt;&gt;"",AD13&amp;AE13,"")</f>
        <v/>
      </c>
      <c r="E13" s="220"/>
      <c r="F13" s="146"/>
      <c r="G13" s="146"/>
      <c r="H13" s="146"/>
      <c r="I13" s="146"/>
      <c r="J13" s="220" t="str">
        <f>IF(报舱数据!I3&lt;&gt;"",AF13&amp;AG13,"")</f>
        <v/>
      </c>
      <c r="K13" s="221"/>
      <c r="L13" s="157"/>
      <c r="N13" s="138">
        <v>4</v>
      </c>
      <c r="O13" s="138" t="s">
        <v>5238</v>
      </c>
      <c r="S13" s="138" t="str">
        <f>IF(报舱数据!B3&lt;&gt;"","原申报重量:"&amp;报舱数据!P3,"")</f>
        <v/>
      </c>
      <c r="AA13" s="145" t="s">
        <v>3784</v>
      </c>
      <c r="AB13" s="144">
        <f>报舱数据!I3</f>
        <v>0</v>
      </c>
      <c r="AC13" s="143" t="str">
        <f>报舱数据!C3&amp;"件"</f>
        <v>件</v>
      </c>
      <c r="AD13" s="142" t="s">
        <v>3783</v>
      </c>
      <c r="AE13" s="143" t="str">
        <f>报舱数据!D3&amp;"千克"</f>
        <v>千克</v>
      </c>
      <c r="AF13" s="142" t="s">
        <v>3782</v>
      </c>
      <c r="AG13" s="141">
        <f>报舱数据!J3</f>
        <v>0</v>
      </c>
      <c r="AH13" s="140"/>
      <c r="BT13" s="139"/>
      <c r="BU13" s="139"/>
      <c r="BV13" s="139"/>
      <c r="BW13" s="139"/>
    </row>
    <row r="14" spans="1:75" s="138" customFormat="1" ht="23.25">
      <c r="A14" s="218" t="str">
        <f>IF(报舱数据!I4&lt;&gt;"",""&amp;删除报告!AA14&amp;删除报告!AB14&amp;"    "&amp;AC14,"")</f>
        <v/>
      </c>
      <c r="B14" s="219"/>
      <c r="C14" s="170" t="str">
        <f>IF(报舱数据!B4&lt;&gt;"","原申报重量:"&amp;报舱数据!P4&amp;"千克","")</f>
        <v/>
      </c>
      <c r="D14" s="220" t="str">
        <f>IF(报舱数据!I4&lt;&gt;"",AD14&amp;AE14,"")</f>
        <v/>
      </c>
      <c r="E14" s="220"/>
      <c r="F14" s="146"/>
      <c r="G14" s="146"/>
      <c r="H14" s="146"/>
      <c r="I14" s="146"/>
      <c r="J14" s="220" t="str">
        <f>IF(报舱数据!I4&lt;&gt;"",AF14&amp;AG14,"")</f>
        <v/>
      </c>
      <c r="K14" s="221"/>
      <c r="L14" s="157"/>
      <c r="N14" s="138">
        <v>5</v>
      </c>
      <c r="O14" s="138" t="s">
        <v>5239</v>
      </c>
      <c r="AA14" s="145" t="s">
        <v>3784</v>
      </c>
      <c r="AB14" s="144">
        <f>报舱数据!I4</f>
        <v>0</v>
      </c>
      <c r="AC14" s="143" t="str">
        <f>报舱数据!C4&amp;"件"</f>
        <v>件</v>
      </c>
      <c r="AD14" s="142" t="s">
        <v>3783</v>
      </c>
      <c r="AE14" s="143" t="str">
        <f>报舱数据!D4&amp;"千克"</f>
        <v>千克</v>
      </c>
      <c r="AF14" s="142" t="s">
        <v>3782</v>
      </c>
      <c r="AG14" s="141">
        <f>报舱数据!J4</f>
        <v>0</v>
      </c>
      <c r="AH14" s="140"/>
      <c r="BT14" s="139"/>
      <c r="BU14" s="139"/>
      <c r="BV14" s="139"/>
      <c r="BW14" s="139"/>
    </row>
    <row r="15" spans="1:75" s="147" customFormat="1" ht="23.25">
      <c r="A15" s="218" t="str">
        <f>IF(报舱数据!I5&lt;&gt;"",""&amp;删除报告!AA15&amp;删除报告!AB15&amp;"    "&amp;AC15,"")</f>
        <v/>
      </c>
      <c r="B15" s="219"/>
      <c r="C15" s="170" t="str">
        <f>IF(报舱数据!B5&lt;&gt;"","原申报重量:"&amp;报舱数据!P5&amp;"千克","")</f>
        <v/>
      </c>
      <c r="D15" s="220" t="str">
        <f>IF(报舱数据!I5&lt;&gt;"",AD15&amp;AE15,"")</f>
        <v/>
      </c>
      <c r="E15" s="220"/>
      <c r="F15" s="146"/>
      <c r="G15" s="146"/>
      <c r="H15" s="146"/>
      <c r="I15" s="146"/>
      <c r="J15" s="220" t="str">
        <f>IF(报舱数据!I5&lt;&gt;"",AF15&amp;AG15,"")</f>
        <v/>
      </c>
      <c r="K15" s="221"/>
      <c r="L15" s="157"/>
      <c r="N15" s="147">
        <v>6</v>
      </c>
      <c r="O15" s="138" t="s">
        <v>5352</v>
      </c>
      <c r="S15" s="138"/>
      <c r="U15" s="138"/>
      <c r="V15" s="138"/>
      <c r="W15" s="138"/>
      <c r="X15" s="138"/>
      <c r="Y15" s="138"/>
      <c r="Z15" s="138"/>
      <c r="AA15" s="145" t="s">
        <v>3784</v>
      </c>
      <c r="AB15" s="144">
        <f>报舱数据!I5</f>
        <v>0</v>
      </c>
      <c r="AC15" s="143" t="str">
        <f>报舱数据!C5&amp;"件"</f>
        <v>件</v>
      </c>
      <c r="AD15" s="142" t="s">
        <v>3783</v>
      </c>
      <c r="AE15" s="143" t="str">
        <f>报舱数据!D5&amp;"千克"</f>
        <v>千克</v>
      </c>
      <c r="AF15" s="142" t="s">
        <v>3782</v>
      </c>
      <c r="AG15" s="141">
        <f>报舱数据!J5</f>
        <v>0</v>
      </c>
      <c r="AH15" s="140"/>
      <c r="AI15" s="138"/>
      <c r="AJ15" s="138"/>
      <c r="AK15" s="138"/>
      <c r="BT15" s="148"/>
      <c r="BU15" s="148"/>
      <c r="BV15" s="148"/>
      <c r="BW15" s="148"/>
    </row>
    <row r="16" spans="1:75" s="138" customFormat="1" ht="23.25">
      <c r="A16" s="218" t="str">
        <f>IF(报舱数据!I6&lt;&gt;"",""&amp;删除报告!AA16&amp;删除报告!AB16&amp;"    "&amp;AC16,"")</f>
        <v/>
      </c>
      <c r="B16" s="219"/>
      <c r="C16" s="170" t="str">
        <f>IF(报舱数据!B6&lt;&gt;"","原申报重量:"&amp;报舱数据!P6&amp;"千克","")</f>
        <v/>
      </c>
      <c r="D16" s="220" t="str">
        <f>IF(报舱数据!I6&lt;&gt;"",AD16&amp;AE16,"")</f>
        <v/>
      </c>
      <c r="E16" s="220"/>
      <c r="F16" s="146"/>
      <c r="G16" s="146"/>
      <c r="H16" s="146"/>
      <c r="I16" s="146"/>
      <c r="J16" s="220" t="str">
        <f>IF(报舱数据!I6&lt;&gt;"",AF16&amp;AG16,"")</f>
        <v/>
      </c>
      <c r="K16" s="221"/>
      <c r="L16" s="157"/>
      <c r="N16" s="138">
        <v>7</v>
      </c>
      <c r="O16" s="138" t="s">
        <v>5240</v>
      </c>
      <c r="S16" s="138" t="str">
        <f>IF(报舱数据!B6&lt;&gt;"","原申报重量:"&amp;报舱数据!P6,"")</f>
        <v/>
      </c>
      <c r="AA16" s="145" t="s">
        <v>3784</v>
      </c>
      <c r="AB16" s="144">
        <f>报舱数据!I6</f>
        <v>0</v>
      </c>
      <c r="AC16" s="143" t="str">
        <f>报舱数据!C6&amp;"件"</f>
        <v>件</v>
      </c>
      <c r="AD16" s="142" t="s">
        <v>3783</v>
      </c>
      <c r="AE16" s="143" t="str">
        <f>报舱数据!D6&amp;"千克"</f>
        <v>千克</v>
      </c>
      <c r="AF16" s="142" t="s">
        <v>3782</v>
      </c>
      <c r="AG16" s="141">
        <f>报舱数据!J6</f>
        <v>0</v>
      </c>
      <c r="AH16" s="140"/>
      <c r="BT16" s="139"/>
      <c r="BU16" s="139"/>
      <c r="BV16" s="139"/>
      <c r="BW16" s="139"/>
    </row>
    <row r="17" spans="1:75" s="138" customFormat="1" ht="23.25">
      <c r="A17" s="218" t="str">
        <f>IF(报舱数据!I7&lt;&gt;"",""&amp;删除报告!AA17&amp;删除报告!AB17&amp;"    "&amp;AC17,"")</f>
        <v/>
      </c>
      <c r="B17" s="219"/>
      <c r="C17" s="170" t="str">
        <f>IF(报舱数据!B7&lt;&gt;"","原申报重量:"&amp;报舱数据!P7&amp;"千克","")</f>
        <v/>
      </c>
      <c r="D17" s="220" t="str">
        <f>IF(报舱数据!I7&lt;&gt;"",AD17&amp;AE17,"")</f>
        <v/>
      </c>
      <c r="E17" s="220"/>
      <c r="F17" s="146"/>
      <c r="G17" s="146"/>
      <c r="H17" s="146"/>
      <c r="I17" s="146"/>
      <c r="J17" s="220" t="str">
        <f>IF(报舱数据!I7&lt;&gt;"",AF17&amp;AG17,"")</f>
        <v/>
      </c>
      <c r="K17" s="221"/>
      <c r="L17" s="157"/>
      <c r="N17" s="138">
        <v>8</v>
      </c>
      <c r="O17" s="138" t="s">
        <v>5241</v>
      </c>
      <c r="S17" s="138" t="str">
        <f>IF(报舱数据!B7&lt;&gt;"","原申报重量:"&amp;报舱数据!P7,"")</f>
        <v/>
      </c>
      <c r="AA17" s="145" t="s">
        <v>3784</v>
      </c>
      <c r="AB17" s="144">
        <f>报舱数据!I7</f>
        <v>0</v>
      </c>
      <c r="AC17" s="143" t="str">
        <f>报舱数据!C7&amp;"件"</f>
        <v>件</v>
      </c>
      <c r="AD17" s="142" t="s">
        <v>3783</v>
      </c>
      <c r="AE17" s="143" t="str">
        <f>报舱数据!D7&amp;"千克"</f>
        <v>千克</v>
      </c>
      <c r="AF17" s="142" t="s">
        <v>3782</v>
      </c>
      <c r="AG17" s="141">
        <f>报舱数据!J7</f>
        <v>0</v>
      </c>
      <c r="AH17" s="140"/>
      <c r="BT17" s="139"/>
      <c r="BU17" s="139"/>
      <c r="BV17" s="139"/>
      <c r="BW17" s="139"/>
    </row>
    <row r="18" spans="1:75" s="138" customFormat="1" ht="23.25">
      <c r="A18" s="218" t="str">
        <f>IF(报舱数据!I8&lt;&gt;"",""&amp;删除报告!AA18&amp;删除报告!AB18&amp;"    "&amp;AC18,"")</f>
        <v/>
      </c>
      <c r="B18" s="219"/>
      <c r="C18" s="170" t="str">
        <f>IF(报舱数据!B8&lt;&gt;"","原申报重量:"&amp;报舱数据!P8&amp;"千克","")</f>
        <v/>
      </c>
      <c r="D18" s="220" t="str">
        <f>IF(报舱数据!I8&lt;&gt;"",AD18&amp;AE18,"")</f>
        <v/>
      </c>
      <c r="E18" s="220"/>
      <c r="F18" s="146"/>
      <c r="G18" s="146"/>
      <c r="H18" s="146"/>
      <c r="I18" s="146"/>
      <c r="J18" s="220" t="str">
        <f>IF(报舱数据!I8&lt;&gt;"",AF18&amp;AG18,"")</f>
        <v/>
      </c>
      <c r="K18" s="221"/>
      <c r="L18" s="157"/>
      <c r="N18" s="138">
        <v>9</v>
      </c>
      <c r="O18" s="138" t="s">
        <v>4470</v>
      </c>
      <c r="S18" s="138" t="str">
        <f>IF(报舱数据!B8&lt;&gt;"","原申报重量:"&amp;报舱数据!P8,"")</f>
        <v/>
      </c>
      <c r="AA18" s="145" t="s">
        <v>3784</v>
      </c>
      <c r="AB18" s="144">
        <f>报舱数据!I8</f>
        <v>0</v>
      </c>
      <c r="AC18" s="143" t="str">
        <f>报舱数据!C8&amp;"件"</f>
        <v>件</v>
      </c>
      <c r="AD18" s="142" t="s">
        <v>3783</v>
      </c>
      <c r="AE18" s="143" t="str">
        <f>报舱数据!D8&amp;"千克"</f>
        <v>千克</v>
      </c>
      <c r="AF18" s="142" t="s">
        <v>3782</v>
      </c>
      <c r="AG18" s="141">
        <f>报舱数据!J8</f>
        <v>0</v>
      </c>
      <c r="AH18" s="140"/>
      <c r="BT18" s="139"/>
      <c r="BU18" s="139"/>
      <c r="BV18" s="139"/>
      <c r="BW18" s="139"/>
    </row>
    <row r="19" spans="1:75" s="138" customFormat="1" ht="23.25">
      <c r="A19" s="218" t="str">
        <f>IF(报舱数据!I9&lt;&gt;"",""&amp;删除报告!AA19&amp;删除报告!AB19&amp;"    "&amp;AC19,"")</f>
        <v/>
      </c>
      <c r="B19" s="219"/>
      <c r="C19" s="170" t="str">
        <f>IF(报舱数据!B9&lt;&gt;"","原申报重量:"&amp;报舱数据!P9&amp;"千克","")</f>
        <v/>
      </c>
      <c r="D19" s="220" t="str">
        <f>IF(报舱数据!I9&lt;&gt;"",AD19&amp;AE19,"")</f>
        <v/>
      </c>
      <c r="E19" s="220"/>
      <c r="F19" s="146"/>
      <c r="G19" s="146"/>
      <c r="H19" s="146"/>
      <c r="I19" s="146"/>
      <c r="J19" s="220" t="str">
        <f>IF(报舱数据!I9&lt;&gt;"",AF19&amp;AG19,"")</f>
        <v/>
      </c>
      <c r="K19" s="221"/>
      <c r="L19" s="157"/>
      <c r="N19" s="138">
        <v>10</v>
      </c>
      <c r="O19" s="138" t="s">
        <v>4893</v>
      </c>
      <c r="S19" s="138" t="str">
        <f>IF(报舱数据!B9&lt;&gt;"","原申报重量:"&amp;报舱数据!P9,"")</f>
        <v/>
      </c>
      <c r="AA19" s="145" t="s">
        <v>3784</v>
      </c>
      <c r="AB19" s="144">
        <f>报舱数据!I9</f>
        <v>0</v>
      </c>
      <c r="AC19" s="143" t="str">
        <f>报舱数据!C9&amp;"件"</f>
        <v>件</v>
      </c>
      <c r="AD19" s="142" t="s">
        <v>3783</v>
      </c>
      <c r="AE19" s="143" t="str">
        <f>报舱数据!D9&amp;"千克"</f>
        <v>千克</v>
      </c>
      <c r="AF19" s="142" t="s">
        <v>3782</v>
      </c>
      <c r="AG19" s="141">
        <f>报舱数据!J9</f>
        <v>0</v>
      </c>
      <c r="AH19" s="140"/>
      <c r="BT19" s="139"/>
      <c r="BU19" s="139"/>
      <c r="BV19" s="139"/>
      <c r="BW19" s="139"/>
    </row>
    <row r="20" spans="1:75" s="138" customFormat="1" ht="23.25">
      <c r="A20" s="218" t="str">
        <f>IF(报舱数据!I10&lt;&gt;"",""&amp;删除报告!AA20&amp;删除报告!AB20&amp;"    "&amp;AC20,"")</f>
        <v/>
      </c>
      <c r="B20" s="219"/>
      <c r="C20" s="170" t="str">
        <f>IF(报舱数据!B10&lt;&gt;"","原申报重量:"&amp;报舱数据!P10&amp;"千克","")</f>
        <v/>
      </c>
      <c r="D20" s="220" t="str">
        <f>IF(报舱数据!I10&lt;&gt;"",AD20&amp;AE20,"")</f>
        <v/>
      </c>
      <c r="E20" s="220"/>
      <c r="F20" s="146"/>
      <c r="G20" s="146"/>
      <c r="H20" s="146"/>
      <c r="I20" s="146"/>
      <c r="J20" s="220" t="str">
        <f>IF(报舱数据!I10&lt;&gt;"",AF20&amp;AG20,"")</f>
        <v/>
      </c>
      <c r="K20" s="221"/>
      <c r="L20" s="157"/>
      <c r="N20" s="147">
        <v>11</v>
      </c>
      <c r="O20" s="147" t="s">
        <v>5242</v>
      </c>
      <c r="S20" s="138" t="str">
        <f>IF(报舱数据!B10&lt;&gt;"","原申报重量:"&amp;报舱数据!P10,"")</f>
        <v/>
      </c>
      <c r="AA20" s="145" t="s">
        <v>3784</v>
      </c>
      <c r="AB20" s="144">
        <f>报舱数据!I10</f>
        <v>0</v>
      </c>
      <c r="AC20" s="143" t="str">
        <f>报舱数据!C10&amp;"件"</f>
        <v>件</v>
      </c>
      <c r="AD20" s="142" t="s">
        <v>3783</v>
      </c>
      <c r="AE20" s="143" t="str">
        <f>报舱数据!D10&amp;"千克"</f>
        <v>千克</v>
      </c>
      <c r="AF20" s="142" t="s">
        <v>3782</v>
      </c>
      <c r="AG20" s="141">
        <f>报舱数据!J10</f>
        <v>0</v>
      </c>
      <c r="AH20" s="140"/>
      <c r="BT20" s="139"/>
      <c r="BU20" s="139"/>
      <c r="BV20" s="139"/>
      <c r="BW20" s="139"/>
    </row>
    <row r="21" spans="1:75" s="138" customFormat="1" ht="23.25">
      <c r="A21" s="218" t="str">
        <f>IF(报舱数据!I11&lt;&gt;"",""&amp;删除报告!AA21&amp;删除报告!AB21&amp;"    "&amp;AC21,"")</f>
        <v/>
      </c>
      <c r="B21" s="219"/>
      <c r="C21" s="170" t="str">
        <f>IF(报舱数据!B11&lt;&gt;"","原申报重量:"&amp;报舱数据!P11&amp;"千克","")</f>
        <v/>
      </c>
      <c r="D21" s="220" t="str">
        <f>IF(报舱数据!I11&lt;&gt;"",AD21&amp;AE21,"")</f>
        <v/>
      </c>
      <c r="E21" s="220"/>
      <c r="F21" s="146"/>
      <c r="G21" s="146"/>
      <c r="H21" s="146"/>
      <c r="I21" s="146"/>
      <c r="J21" s="220" t="str">
        <f>IF(报舱数据!I11&lt;&gt;"",AF21&amp;AG21,"")</f>
        <v/>
      </c>
      <c r="K21" s="221"/>
      <c r="L21" s="157"/>
      <c r="N21" s="138">
        <v>12</v>
      </c>
      <c r="O21" s="138" t="s">
        <v>6708</v>
      </c>
      <c r="S21" s="138" t="str">
        <f>IF(报舱数据!B11&lt;&gt;"","原申报重量:"&amp;报舱数据!P11,"")</f>
        <v/>
      </c>
      <c r="AA21" s="145" t="s">
        <v>3784</v>
      </c>
      <c r="AB21" s="144">
        <f>报舱数据!I11</f>
        <v>0</v>
      </c>
      <c r="AC21" s="143" t="str">
        <f>报舱数据!C11&amp;"件"</f>
        <v>件</v>
      </c>
      <c r="AD21" s="142" t="s">
        <v>3783</v>
      </c>
      <c r="AE21" s="143" t="str">
        <f>报舱数据!D11&amp;"千克"</f>
        <v>千克</v>
      </c>
      <c r="AF21" s="142" t="s">
        <v>3782</v>
      </c>
      <c r="AG21" s="141">
        <f>报舱数据!J11</f>
        <v>0</v>
      </c>
      <c r="AH21" s="140"/>
      <c r="BT21" s="139"/>
      <c r="BU21" s="139"/>
      <c r="BV21" s="139"/>
      <c r="BW21" s="139"/>
    </row>
    <row r="22" spans="1:75" s="138" customFormat="1" ht="23.25">
      <c r="A22" s="218" t="str">
        <f>IF(报舱数据!I12&lt;&gt;"",""&amp;删除报告!AA22&amp;删除报告!AB22&amp;"    "&amp;AC22,"")</f>
        <v/>
      </c>
      <c r="B22" s="219"/>
      <c r="C22" s="170" t="str">
        <f>IF(报舱数据!B12&lt;&gt;"","原申报重量:"&amp;报舱数据!P12&amp;"千克","")</f>
        <v/>
      </c>
      <c r="D22" s="220" t="str">
        <f>IF(报舱数据!I12&lt;&gt;"",AD22&amp;AE22,"")</f>
        <v/>
      </c>
      <c r="E22" s="220"/>
      <c r="F22" s="146"/>
      <c r="G22" s="146"/>
      <c r="H22" s="146"/>
      <c r="I22" s="146"/>
      <c r="J22" s="220" t="str">
        <f>IF(报舱数据!I12&lt;&gt;"",AF22&amp;AG22,"")</f>
        <v/>
      </c>
      <c r="K22" s="221"/>
      <c r="L22" s="157"/>
      <c r="N22" s="138">
        <v>13</v>
      </c>
      <c r="O22" s="138" t="s">
        <v>6896</v>
      </c>
      <c r="S22" s="138" t="str">
        <f>IF(报舱数据!B12&lt;&gt;"","原申报重量:"&amp;报舱数据!P12,"")</f>
        <v/>
      </c>
      <c r="AA22" s="145" t="s">
        <v>3784</v>
      </c>
      <c r="AB22" s="144">
        <f>报舱数据!I12</f>
        <v>0</v>
      </c>
      <c r="AC22" s="143" t="str">
        <f>报舱数据!C12&amp;"件"</f>
        <v>件</v>
      </c>
      <c r="AD22" s="142" t="s">
        <v>3783</v>
      </c>
      <c r="AE22" s="143" t="str">
        <f>报舱数据!D12&amp;"千克"</f>
        <v>千克</v>
      </c>
      <c r="AF22" s="142" t="s">
        <v>3782</v>
      </c>
      <c r="AG22" s="141">
        <f>报舱数据!J12</f>
        <v>0</v>
      </c>
      <c r="AH22" s="140"/>
      <c r="BT22" s="139"/>
      <c r="BU22" s="139"/>
      <c r="BV22" s="139"/>
      <c r="BW22" s="139"/>
    </row>
    <row r="23" spans="1:75" s="138" customFormat="1" ht="23.25">
      <c r="A23" s="218" t="str">
        <f>IF(报舱数据!I13&lt;&gt;"",""&amp;删除报告!AA23&amp;删除报告!AB23&amp;"    "&amp;AC23,"")</f>
        <v/>
      </c>
      <c r="B23" s="219"/>
      <c r="C23" s="170" t="str">
        <f>IF(报舱数据!B13&lt;&gt;"","原申报重量:"&amp;报舱数据!P13&amp;"千克","")</f>
        <v/>
      </c>
      <c r="D23" s="220" t="str">
        <f>IF(报舱数据!I13&lt;&gt;"",AD23&amp;AE23,"")</f>
        <v/>
      </c>
      <c r="E23" s="220"/>
      <c r="F23" s="146"/>
      <c r="G23" s="146"/>
      <c r="H23" s="146"/>
      <c r="I23" s="146"/>
      <c r="J23" s="220" t="str">
        <f>IF(报舱数据!I13&lt;&gt;"",AF23&amp;AG23,"")</f>
        <v/>
      </c>
      <c r="K23" s="221"/>
      <c r="L23" s="157"/>
      <c r="N23" s="147">
        <v>14</v>
      </c>
      <c r="O23" s="147" t="s">
        <v>7625</v>
      </c>
      <c r="S23" s="138" t="str">
        <f>IF(报舱数据!B13&lt;&gt;"","原申报重量:"&amp;报舱数据!P13,"")</f>
        <v/>
      </c>
      <c r="AA23" s="145" t="s">
        <v>3784</v>
      </c>
      <c r="AB23" s="144">
        <f>报舱数据!I13</f>
        <v>0</v>
      </c>
      <c r="AC23" s="143" t="str">
        <f>报舱数据!C13&amp;"件"</f>
        <v>件</v>
      </c>
      <c r="AD23" s="142" t="s">
        <v>3783</v>
      </c>
      <c r="AE23" s="143" t="str">
        <f>报舱数据!D13&amp;"千克"</f>
        <v>千克</v>
      </c>
      <c r="AF23" s="142" t="s">
        <v>3782</v>
      </c>
      <c r="AG23" s="141">
        <f>报舱数据!J13</f>
        <v>0</v>
      </c>
      <c r="AH23" s="140"/>
      <c r="BT23" s="139"/>
      <c r="BU23" s="139"/>
      <c r="BV23" s="139"/>
      <c r="BW23" s="139"/>
    </row>
    <row r="24" spans="1:75" s="138" customFormat="1" ht="23.25">
      <c r="A24" s="218" t="str">
        <f>IF(报舱数据!I14&lt;&gt;"",""&amp;删除报告!AA24&amp;删除报告!AB24&amp;"    "&amp;AC24,"")</f>
        <v/>
      </c>
      <c r="B24" s="219"/>
      <c r="C24" s="170" t="str">
        <f>IF(报舱数据!B14&lt;&gt;"","原申报重量:"&amp;报舱数据!P14&amp;"千克","")</f>
        <v/>
      </c>
      <c r="D24" s="220" t="str">
        <f>IF(报舱数据!I14&lt;&gt;"",AD24&amp;AE24,"")</f>
        <v/>
      </c>
      <c r="E24" s="220"/>
      <c r="F24" s="146"/>
      <c r="G24" s="146"/>
      <c r="H24" s="146"/>
      <c r="I24" s="146"/>
      <c r="J24" s="220" t="str">
        <f>IF(报舱数据!I14&lt;&gt;"",AF24&amp;AG24,"")</f>
        <v/>
      </c>
      <c r="K24" s="221"/>
      <c r="L24" s="157"/>
      <c r="S24" s="138" t="str">
        <f>IF(报舱数据!B14&lt;&gt;"","原申报重量:"&amp;报舱数据!P14,"")</f>
        <v/>
      </c>
      <c r="AA24" s="145" t="s">
        <v>3784</v>
      </c>
      <c r="AB24" s="144">
        <f>报舱数据!I14</f>
        <v>0</v>
      </c>
      <c r="AC24" s="143" t="str">
        <f>报舱数据!C14&amp;"件"</f>
        <v>件</v>
      </c>
      <c r="AD24" s="142" t="s">
        <v>3783</v>
      </c>
      <c r="AE24" s="143" t="str">
        <f>报舱数据!D14&amp;"千克"</f>
        <v>千克</v>
      </c>
      <c r="AF24" s="142" t="s">
        <v>3782</v>
      </c>
      <c r="AG24" s="141">
        <f>报舱数据!J14</f>
        <v>0</v>
      </c>
      <c r="AH24" s="140"/>
      <c r="BT24" s="139"/>
      <c r="BU24" s="139"/>
      <c r="BV24" s="139"/>
      <c r="BW24" s="139"/>
    </row>
    <row r="25" spans="1:75" s="138" customFormat="1" ht="23.25">
      <c r="A25" s="218" t="str">
        <f>IF(报舱数据!I15&lt;&gt;"",""&amp;删除报告!AA25&amp;删除报告!AB25&amp;"    "&amp;AC25,"")</f>
        <v/>
      </c>
      <c r="B25" s="219"/>
      <c r="C25" s="170" t="str">
        <f>IF(报舱数据!B15&lt;&gt;"","原申报重量:"&amp;报舱数据!P15&amp;"千克","")</f>
        <v/>
      </c>
      <c r="D25" s="220" t="str">
        <f>IF(报舱数据!I15&lt;&gt;"",AD25&amp;AE25,"")</f>
        <v/>
      </c>
      <c r="E25" s="220"/>
      <c r="F25" s="146"/>
      <c r="G25" s="146"/>
      <c r="H25" s="146"/>
      <c r="I25" s="146"/>
      <c r="J25" s="220" t="str">
        <f>IF(报舱数据!I15&lt;&gt;"",AF25&amp;AG25,"")</f>
        <v/>
      </c>
      <c r="K25" s="221"/>
      <c r="L25" s="157"/>
      <c r="S25" s="138" t="str">
        <f>IF(报舱数据!B15&lt;&gt;"","原申报重量:"&amp;报舱数据!P15,"")</f>
        <v/>
      </c>
      <c r="AA25" s="145" t="s">
        <v>3784</v>
      </c>
      <c r="AB25" s="144">
        <f>报舱数据!I15</f>
        <v>0</v>
      </c>
      <c r="AC25" s="143" t="str">
        <f>报舱数据!C15&amp;"件"</f>
        <v>件</v>
      </c>
      <c r="AD25" s="142" t="s">
        <v>3783</v>
      </c>
      <c r="AE25" s="143" t="str">
        <f>报舱数据!D15&amp;"千克"</f>
        <v>千克</v>
      </c>
      <c r="AF25" s="142" t="s">
        <v>3782</v>
      </c>
      <c r="AG25" s="141">
        <f>报舱数据!J15</f>
        <v>0</v>
      </c>
      <c r="AH25" s="140"/>
      <c r="BT25" s="139"/>
      <c r="BU25" s="139"/>
      <c r="BV25" s="139"/>
      <c r="BW25" s="139"/>
    </row>
    <row r="26" spans="1:75" s="138" customFormat="1" ht="23.25">
      <c r="A26" s="218" t="str">
        <f>IF(报舱数据!I16&lt;&gt;"",""&amp;删除报告!AA26&amp;删除报告!AB26&amp;"    "&amp;AC26,"")</f>
        <v/>
      </c>
      <c r="B26" s="219"/>
      <c r="C26" s="170" t="str">
        <f>IF(报舱数据!B16&lt;&gt;"","原申报重量:"&amp;报舱数据!P16&amp;"千克","")</f>
        <v/>
      </c>
      <c r="D26" s="220" t="str">
        <f>IF(报舱数据!I16&lt;&gt;"",AD26&amp;AE26,"")</f>
        <v/>
      </c>
      <c r="E26" s="220"/>
      <c r="F26" s="146"/>
      <c r="G26" s="146"/>
      <c r="H26" s="146"/>
      <c r="I26" s="146"/>
      <c r="J26" s="220" t="str">
        <f>IF(报舱数据!I16&lt;&gt;"",AF26&amp;AG26,"")</f>
        <v/>
      </c>
      <c r="K26" s="221"/>
      <c r="L26" s="157"/>
      <c r="S26" s="138" t="str">
        <f>IF(报舱数据!B16&lt;&gt;"","原申报重量:"&amp;报舱数据!P16,"")</f>
        <v/>
      </c>
      <c r="AA26" s="145" t="s">
        <v>3784</v>
      </c>
      <c r="AB26" s="144">
        <f>报舱数据!I16</f>
        <v>0</v>
      </c>
      <c r="AC26" s="143" t="str">
        <f>报舱数据!C16&amp;"件"</f>
        <v>件</v>
      </c>
      <c r="AD26" s="142" t="s">
        <v>3783</v>
      </c>
      <c r="AE26" s="143" t="str">
        <f>报舱数据!D16&amp;"千克"</f>
        <v>千克</v>
      </c>
      <c r="AF26" s="142" t="s">
        <v>3782</v>
      </c>
      <c r="AG26" s="141">
        <f>报舱数据!J16</f>
        <v>0</v>
      </c>
      <c r="AH26" s="140"/>
      <c r="BT26" s="139"/>
      <c r="BU26" s="139"/>
      <c r="BV26" s="139"/>
      <c r="BW26" s="139"/>
    </row>
    <row r="27" spans="1:75" s="120" customFormat="1" ht="20.25" customHeight="1">
      <c r="A27" s="226" t="str">
        <f>VLOOKUP(M1,N10:S27,2,FALSE)</f>
        <v xml:space="preserve">    由于我司客户要求分单报关。现向海关提出删除并新增舱单。给海关工作带来不便深表歉意，盼请予以批准！谢谢！</v>
      </c>
      <c r="B27" s="227"/>
      <c r="C27" s="227"/>
      <c r="D27" s="227"/>
      <c r="E27" s="227"/>
      <c r="F27" s="227"/>
      <c r="G27" s="227"/>
      <c r="H27" s="227"/>
      <c r="I27" s="227"/>
      <c r="J27" s="227"/>
      <c r="K27" s="228"/>
      <c r="L27" s="157"/>
      <c r="N27" s="241"/>
      <c r="O27" s="242"/>
      <c r="P27" s="242"/>
      <c r="S27" s="138" t="str">
        <f>IF(报舱数据!B17&lt;&gt;"","原申报重量:"&amp;报舱数据!P17,"")</f>
        <v/>
      </c>
      <c r="AA27" s="137" t="s">
        <v>3784</v>
      </c>
      <c r="AB27" s="136">
        <f>报舱数据!I17</f>
        <v>0</v>
      </c>
      <c r="AC27" s="135" t="str">
        <f>报舱数据!C17&amp;"件"</f>
        <v>件</v>
      </c>
      <c r="AD27" s="134" t="s">
        <v>3783</v>
      </c>
      <c r="AE27" s="135" t="str">
        <f>报舱数据!D17&amp;"千克"</f>
        <v>千克</v>
      </c>
      <c r="AF27" s="134" t="s">
        <v>3782</v>
      </c>
      <c r="AG27" s="133">
        <f>报舱数据!J17</f>
        <v>0</v>
      </c>
      <c r="AH27" s="122"/>
      <c r="AP27" s="240"/>
      <c r="BT27" s="121"/>
      <c r="BU27" s="121"/>
      <c r="BV27" s="121"/>
      <c r="BW27" s="121"/>
    </row>
    <row r="28" spans="1:75" s="120" customFormat="1" ht="54.75" customHeight="1">
      <c r="A28" s="226"/>
      <c r="B28" s="227"/>
      <c r="C28" s="227"/>
      <c r="D28" s="227"/>
      <c r="E28" s="227"/>
      <c r="F28" s="227"/>
      <c r="G28" s="227"/>
      <c r="H28" s="227"/>
      <c r="I28" s="227"/>
      <c r="J28" s="227"/>
      <c r="K28" s="228"/>
      <c r="L28" s="131">
        <f>报舱数据!BG18</f>
        <v>0</v>
      </c>
      <c r="N28" s="242"/>
      <c r="O28" s="242"/>
      <c r="P28" s="242"/>
      <c r="AA28" s="137" t="s">
        <v>3784</v>
      </c>
      <c r="AB28" s="136">
        <f>报舱数据!I18</f>
        <v>0</v>
      </c>
      <c r="AC28" s="135" t="str">
        <f>报舱数据!C18&amp;"件"</f>
        <v>件</v>
      </c>
      <c r="AD28" s="134" t="s">
        <v>3783</v>
      </c>
      <c r="AE28" s="135" t="str">
        <f>报舱数据!D18&amp;"千克"</f>
        <v>千克</v>
      </c>
      <c r="AF28" s="134" t="s">
        <v>3782</v>
      </c>
      <c r="AG28" s="133">
        <f>报舱数据!J18</f>
        <v>0</v>
      </c>
      <c r="AH28" s="122"/>
      <c r="AP28" s="240"/>
      <c r="BT28" s="121"/>
      <c r="BU28" s="121"/>
      <c r="BV28" s="121"/>
      <c r="BW28" s="121"/>
    </row>
    <row r="29" spans="1:75" s="120" customFormat="1" ht="23.25">
      <c r="A29" s="129"/>
      <c r="B29" s="127"/>
      <c r="C29" s="128"/>
      <c r="D29" s="127"/>
      <c r="E29" s="127"/>
      <c r="F29" s="127"/>
      <c r="G29" s="127"/>
      <c r="H29" s="127"/>
      <c r="I29" s="130"/>
      <c r="J29" s="130"/>
      <c r="K29" s="125"/>
      <c r="L29" s="131">
        <f>报舱数据!BG19</f>
        <v>0</v>
      </c>
      <c r="N29" s="242"/>
      <c r="O29" s="242"/>
      <c r="P29" s="242"/>
      <c r="AA29" s="137" t="s">
        <v>3784</v>
      </c>
      <c r="AB29" s="136">
        <f>报舱数据!I19</f>
        <v>0</v>
      </c>
      <c r="AC29" s="135" t="str">
        <f>报舱数据!C19&amp;"件"</f>
        <v>件</v>
      </c>
      <c r="AD29" s="134" t="s">
        <v>3783</v>
      </c>
      <c r="AE29" s="135" t="str">
        <f>报舱数据!D19&amp;"千克"</f>
        <v>千克</v>
      </c>
      <c r="AF29" s="134" t="s">
        <v>3782</v>
      </c>
      <c r="AG29" s="133">
        <f>报舱数据!J19</f>
        <v>0</v>
      </c>
      <c r="AH29" s="122"/>
      <c r="BT29" s="121"/>
      <c r="BU29" s="121"/>
      <c r="BV29" s="121"/>
      <c r="BW29" s="121"/>
    </row>
    <row r="30" spans="1:75" s="120" customFormat="1" ht="23.25">
      <c r="A30" s="129"/>
      <c r="B30" s="127"/>
      <c r="C30" s="128"/>
      <c r="D30" s="127"/>
      <c r="E30" s="127"/>
      <c r="F30" s="127"/>
      <c r="G30" s="127"/>
      <c r="H30" s="127"/>
      <c r="I30" s="127"/>
      <c r="J30" s="130"/>
      <c r="K30" s="125"/>
      <c r="L30" s="131">
        <f>报舱数据!BG20</f>
        <v>0</v>
      </c>
      <c r="AA30" s="137" t="s">
        <v>3784</v>
      </c>
      <c r="AB30" s="136">
        <f>报舱数据!I20</f>
        <v>0</v>
      </c>
      <c r="AC30" s="135" t="str">
        <f>报舱数据!C20&amp;"件"</f>
        <v>件</v>
      </c>
      <c r="AD30" s="134" t="s">
        <v>3783</v>
      </c>
      <c r="AE30" s="135" t="str">
        <f>报舱数据!D20&amp;"千克"</f>
        <v>千克</v>
      </c>
      <c r="AF30" s="134" t="s">
        <v>3782</v>
      </c>
      <c r="AG30" s="133">
        <f>报舱数据!J20</f>
        <v>0</v>
      </c>
      <c r="AH30" s="122"/>
      <c r="BT30" s="121"/>
      <c r="BU30" s="121"/>
      <c r="BV30" s="121"/>
      <c r="BW30" s="121"/>
    </row>
    <row r="31" spans="1:75" s="120" customFormat="1" ht="72" customHeight="1">
      <c r="A31" s="132" t="s">
        <v>3781</v>
      </c>
      <c r="B31" s="231" t="str">
        <f>code128bAsian(TEXT(B32,0))</f>
        <v>Éà01ËàÍà</v>
      </c>
      <c r="C31" s="231"/>
      <c r="D31" s="231"/>
      <c r="E31" s="231"/>
      <c r="F31" s="127"/>
      <c r="G31" s="127"/>
      <c r="H31" s="127"/>
      <c r="I31" s="127"/>
      <c r="J31" s="127"/>
      <c r="K31" s="125"/>
      <c r="L31" s="131">
        <f>报舱数据!BG21</f>
        <v>0</v>
      </c>
      <c r="AG31" s="122"/>
      <c r="AH31" s="122"/>
      <c r="BT31" s="121"/>
      <c r="BU31" s="121"/>
      <c r="BV31" s="121"/>
      <c r="BW31" s="121"/>
    </row>
    <row r="32" spans="1:75" s="120" customFormat="1" ht="22.5">
      <c r="A32" s="129"/>
      <c r="B32" s="232">
        <f>报舱数据!J2</f>
        <v>0</v>
      </c>
      <c r="C32" s="232"/>
      <c r="D32" s="232"/>
      <c r="E32" s="232"/>
      <c r="F32" s="127"/>
      <c r="G32" s="127"/>
      <c r="H32" s="127"/>
      <c r="I32" s="127"/>
      <c r="J32" s="130"/>
      <c r="K32" s="125"/>
      <c r="L32" s="123"/>
      <c r="AG32" s="122"/>
      <c r="AH32" s="122"/>
      <c r="BT32" s="121"/>
      <c r="BU32" s="121"/>
      <c r="BV32" s="121"/>
      <c r="BW32" s="121"/>
    </row>
    <row r="33" spans="1:75" s="120" customFormat="1">
      <c r="A33" s="129"/>
      <c r="B33" s="127"/>
      <c r="C33" s="128"/>
      <c r="D33" s="127"/>
      <c r="E33" s="127"/>
      <c r="F33" s="127"/>
      <c r="G33" s="127"/>
      <c r="H33" s="127"/>
      <c r="I33" s="127"/>
      <c r="J33" s="130"/>
      <c r="K33" s="125"/>
      <c r="L33" s="123"/>
      <c r="AG33" s="122"/>
      <c r="AH33" s="122"/>
      <c r="BT33" s="121"/>
      <c r="BU33" s="121"/>
      <c r="BV33" s="121"/>
      <c r="BW33" s="121"/>
    </row>
    <row r="34" spans="1:75" s="120" customFormat="1">
      <c r="A34" s="129"/>
      <c r="B34" s="127"/>
      <c r="C34" s="128"/>
      <c r="D34" s="127"/>
      <c r="E34" s="127"/>
      <c r="F34" s="127"/>
      <c r="G34" s="127"/>
      <c r="H34" s="127"/>
      <c r="I34" s="127"/>
      <c r="J34" s="126" t="s">
        <v>3780</v>
      </c>
      <c r="K34" s="125"/>
      <c r="L34" s="123"/>
      <c r="AG34" s="122"/>
      <c r="AH34" s="122"/>
      <c r="BT34" s="121"/>
      <c r="BU34" s="121"/>
      <c r="BV34" s="121"/>
      <c r="BW34" s="121"/>
    </row>
    <row r="35" spans="1:75" s="120" customFormat="1">
      <c r="A35" s="233"/>
      <c r="B35" s="234"/>
      <c r="C35" s="234"/>
      <c r="D35" s="234"/>
      <c r="E35" s="234"/>
      <c r="F35" s="234"/>
      <c r="G35" s="234"/>
      <c r="H35" s="234"/>
      <c r="I35" s="234"/>
      <c r="J35" s="234"/>
      <c r="K35" s="235"/>
      <c r="L35" s="123"/>
      <c r="AG35" s="122"/>
      <c r="AH35" s="122"/>
      <c r="BT35" s="121"/>
      <c r="BU35" s="121"/>
      <c r="BV35" s="121"/>
      <c r="BW35" s="121"/>
    </row>
    <row r="36" spans="1:75" s="120" customFormat="1" ht="46.5" customHeight="1">
      <c r="A36" s="236"/>
      <c r="B36" s="237"/>
      <c r="C36" s="237"/>
      <c r="D36" s="237"/>
      <c r="E36" s="237"/>
      <c r="F36" s="237"/>
      <c r="G36" s="237"/>
      <c r="H36" s="237"/>
      <c r="I36" s="237"/>
      <c r="J36" s="237"/>
      <c r="K36" s="238"/>
      <c r="L36" s="123"/>
      <c r="AG36" s="122"/>
      <c r="AH36" s="122"/>
      <c r="BT36" s="121"/>
      <c r="BU36" s="121"/>
      <c r="BV36" s="121"/>
      <c r="BW36" s="121"/>
    </row>
    <row r="37" spans="1:75" s="120" customFormat="1" ht="118.5" customHeight="1">
      <c r="A37" s="223" t="s">
        <v>3778</v>
      </c>
      <c r="B37" s="224"/>
      <c r="C37" s="224"/>
      <c r="D37" s="224"/>
      <c r="E37" s="224"/>
      <c r="F37" s="224"/>
      <c r="G37" s="224"/>
      <c r="H37" s="224"/>
      <c r="I37" s="224"/>
      <c r="J37" s="224"/>
      <c r="K37" s="225"/>
      <c r="L37" s="123"/>
      <c r="AG37" s="122"/>
      <c r="AH37" s="122"/>
      <c r="BT37" s="121"/>
      <c r="BU37" s="121"/>
      <c r="BV37" s="121"/>
      <c r="BW37" s="121"/>
    </row>
    <row r="38" spans="1:75" s="120" customFormat="1">
      <c r="C38" s="124"/>
      <c r="L38" s="123"/>
      <c r="AG38" s="122"/>
      <c r="AH38" s="122"/>
      <c r="BT38" s="121"/>
      <c r="BU38" s="121"/>
      <c r="BV38" s="121"/>
      <c r="BW38" s="121"/>
    </row>
    <row r="39" spans="1:75" s="120" customFormat="1">
      <c r="C39" s="124"/>
      <c r="L39" s="123"/>
      <c r="AG39" s="122"/>
      <c r="AH39" s="122"/>
      <c r="BT39" s="121"/>
      <c r="BU39" s="121"/>
      <c r="BV39" s="121"/>
      <c r="BW39" s="121"/>
    </row>
    <row r="40" spans="1:75" s="120" customFormat="1">
      <c r="C40" s="124"/>
      <c r="L40" s="123"/>
      <c r="AG40" s="122"/>
      <c r="AH40" s="122"/>
      <c r="BT40" s="121"/>
      <c r="BU40" s="121"/>
      <c r="BV40" s="121"/>
      <c r="BW40" s="121"/>
    </row>
    <row r="41" spans="1:75" s="120" customFormat="1">
      <c r="C41" s="124"/>
      <c r="L41" s="123"/>
      <c r="AG41" s="122"/>
      <c r="AH41" s="122"/>
      <c r="BT41" s="121"/>
      <c r="BU41" s="121"/>
      <c r="BV41" s="121"/>
      <c r="BW41" s="121"/>
    </row>
    <row r="42" spans="1:75" s="120" customFormat="1">
      <c r="C42" s="124"/>
      <c r="L42" s="123"/>
      <c r="AG42" s="122"/>
      <c r="AH42" s="122"/>
      <c r="BT42" s="121"/>
      <c r="BU42" s="121"/>
      <c r="BV42" s="121"/>
      <c r="BW42" s="121"/>
    </row>
  </sheetData>
  <mergeCells count="59">
    <mergeCell ref="A37:K37"/>
    <mergeCell ref="A27:K28"/>
    <mergeCell ref="N27:P29"/>
    <mergeCell ref="B31:E31"/>
    <mergeCell ref="B32:E32"/>
    <mergeCell ref="A35:K35"/>
    <mergeCell ref="A36:K36"/>
    <mergeCell ref="AP27:AP28"/>
    <mergeCell ref="A24:B24"/>
    <mergeCell ref="D24:E24"/>
    <mergeCell ref="J24:K24"/>
    <mergeCell ref="A25:B25"/>
    <mergeCell ref="D25:E25"/>
    <mergeCell ref="J25:K25"/>
    <mergeCell ref="A26:B26"/>
    <mergeCell ref="D26:E26"/>
    <mergeCell ref="J26:K26"/>
    <mergeCell ref="A22:B22"/>
    <mergeCell ref="D22:E22"/>
    <mergeCell ref="J22:K22"/>
    <mergeCell ref="A23:B23"/>
    <mergeCell ref="D23:E23"/>
    <mergeCell ref="J23:K23"/>
    <mergeCell ref="A20:B20"/>
    <mergeCell ref="D20:E20"/>
    <mergeCell ref="J20:K20"/>
    <mergeCell ref="A21:B21"/>
    <mergeCell ref="D21:E21"/>
    <mergeCell ref="J21:K21"/>
    <mergeCell ref="A18:B18"/>
    <mergeCell ref="D18:E18"/>
    <mergeCell ref="J18:K18"/>
    <mergeCell ref="A19:B19"/>
    <mergeCell ref="D19:E19"/>
    <mergeCell ref="J19:K19"/>
    <mergeCell ref="A16:B16"/>
    <mergeCell ref="D16:E16"/>
    <mergeCell ref="J16:K16"/>
    <mergeCell ref="A17:B17"/>
    <mergeCell ref="D17:E17"/>
    <mergeCell ref="J17:K17"/>
    <mergeCell ref="A14:B14"/>
    <mergeCell ref="D14:E14"/>
    <mergeCell ref="J14:K14"/>
    <mergeCell ref="A15:B15"/>
    <mergeCell ref="D15:E15"/>
    <mergeCell ref="J15:K15"/>
    <mergeCell ref="A12:B12"/>
    <mergeCell ref="D12:E12"/>
    <mergeCell ref="J12:K12"/>
    <mergeCell ref="A13:B13"/>
    <mergeCell ref="D13:E13"/>
    <mergeCell ref="J13:K13"/>
    <mergeCell ref="B10:C10"/>
    <mergeCell ref="A1:K2"/>
    <mergeCell ref="M1:M2"/>
    <mergeCell ref="B3:I3"/>
    <mergeCell ref="A4:K4"/>
    <mergeCell ref="A9:K9"/>
  </mergeCells>
  <phoneticPr fontId="1" type="noConversion"/>
  <pageMargins left="0.23622047244094491" right="0.23622047244094491" top="0.74803149606299213" bottom="0.74803149606299213" header="0.31496062992125984" footer="0.31496062992125984"/>
  <pageSetup paperSize="9" scale="61" orientation="portrait" horizontalDpi="180" verticalDpi="180" r:id="rId1"/>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打印区域11" altText="另存为">
                <anchor moveWithCells="1">
                  <from>
                    <xdr:col>11</xdr:col>
                    <xdr:colOff>47625</xdr:colOff>
                    <xdr:row>0</xdr:row>
                    <xdr:rowOff>0</xdr:rowOff>
                  </from>
                  <to>
                    <xdr:col>11</xdr:col>
                    <xdr:colOff>1905000</xdr:colOff>
                    <xdr:row>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Q5"/>
  <sheetViews>
    <sheetView workbookViewId="0">
      <pane xSplit="2" ySplit="5" topLeftCell="C6" activePane="bottomRight" state="frozen"/>
      <selection activeCell="D20" sqref="D20"/>
      <selection pane="topRight" activeCell="D20" sqref="D20"/>
      <selection pane="bottomLeft" activeCell="D20" sqref="D20"/>
      <selection pane="bottomRight" activeCell="L24" sqref="L24"/>
    </sheetView>
  </sheetViews>
  <sheetFormatPr defaultRowHeight="13.5"/>
  <cols>
    <col min="1" max="1" width="17.375" style="177" customWidth="1"/>
    <col min="2" max="2" width="15" style="177" bestFit="1" customWidth="1"/>
    <col min="3" max="3" width="12.125" style="176" customWidth="1"/>
    <col min="4" max="4" width="17.5" style="176" customWidth="1"/>
    <col min="5" max="5" width="17.25" style="176" customWidth="1"/>
    <col min="6" max="6" width="23.75" style="176" customWidth="1"/>
    <col min="7" max="16384" width="9" style="176"/>
  </cols>
  <sheetData>
    <row r="1" spans="1:17" s="178" customFormat="1" ht="51.75" customHeight="1">
      <c r="A1" s="243" t="s">
        <v>4277</v>
      </c>
      <c r="B1" s="244"/>
      <c r="C1" s="244"/>
      <c r="D1" s="244"/>
      <c r="E1" s="244"/>
      <c r="F1" s="245"/>
      <c r="G1" s="246" t="s">
        <v>3793</v>
      </c>
      <c r="H1" s="247"/>
      <c r="I1" s="247"/>
      <c r="J1" s="247"/>
      <c r="K1" s="248"/>
      <c r="L1" s="253" t="s">
        <v>3792</v>
      </c>
      <c r="M1" s="254"/>
      <c r="N1" s="254"/>
      <c r="O1" s="254"/>
      <c r="P1" s="254"/>
      <c r="Q1" s="254"/>
    </row>
    <row r="2" spans="1:17" s="178" customFormat="1" ht="22.5" customHeight="1">
      <c r="A2" s="180" t="s">
        <v>3791</v>
      </c>
      <c r="B2" s="182"/>
      <c r="C2" s="180" t="s">
        <v>4276</v>
      </c>
      <c r="D2" s="181" t="s">
        <v>4275</v>
      </c>
      <c r="E2" s="257"/>
      <c r="F2" s="258"/>
      <c r="G2" s="249"/>
      <c r="H2" s="247"/>
      <c r="I2" s="247"/>
      <c r="J2" s="247"/>
      <c r="K2" s="248"/>
      <c r="L2" s="253"/>
      <c r="M2" s="254"/>
      <c r="N2" s="254"/>
      <c r="O2" s="254"/>
      <c r="P2" s="254"/>
      <c r="Q2" s="254"/>
    </row>
    <row r="3" spans="1:17" s="178" customFormat="1" ht="22.5" customHeight="1">
      <c r="A3" s="180" t="s">
        <v>4274</v>
      </c>
      <c r="B3" s="259"/>
      <c r="C3" s="260"/>
      <c r="D3" s="260"/>
      <c r="E3" s="260"/>
      <c r="F3" s="261"/>
      <c r="G3" s="249"/>
      <c r="H3" s="247"/>
      <c r="I3" s="247"/>
      <c r="J3" s="247"/>
      <c r="K3" s="248"/>
      <c r="L3" s="253"/>
      <c r="M3" s="254"/>
      <c r="N3" s="254"/>
      <c r="O3" s="254"/>
      <c r="P3" s="254"/>
      <c r="Q3" s="254"/>
    </row>
    <row r="4" spans="1:17" s="178" customFormat="1" ht="24" customHeight="1">
      <c r="A4" s="262" t="s">
        <v>4273</v>
      </c>
      <c r="B4" s="263"/>
      <c r="C4" s="263"/>
      <c r="D4" s="263"/>
      <c r="E4" s="263"/>
      <c r="F4" s="264"/>
      <c r="G4" s="249"/>
      <c r="H4" s="247"/>
      <c r="I4" s="247"/>
      <c r="J4" s="247"/>
      <c r="K4" s="248"/>
      <c r="L4" s="253"/>
      <c r="M4" s="254"/>
      <c r="N4" s="254"/>
      <c r="O4" s="254"/>
      <c r="P4" s="254"/>
      <c r="Q4" s="254"/>
    </row>
    <row r="5" spans="1:17" s="178" customFormat="1" ht="24.75" customHeight="1" thickBot="1">
      <c r="A5" s="179" t="s">
        <v>4272</v>
      </c>
      <c r="B5" s="179" t="s">
        <v>4271</v>
      </c>
      <c r="C5" s="265"/>
      <c r="D5" s="266"/>
      <c r="E5" s="266"/>
      <c r="F5" s="267"/>
      <c r="G5" s="250"/>
      <c r="H5" s="251"/>
      <c r="I5" s="251"/>
      <c r="J5" s="251"/>
      <c r="K5" s="252"/>
      <c r="L5" s="255"/>
      <c r="M5" s="256"/>
      <c r="N5" s="256"/>
      <c r="O5" s="256"/>
      <c r="P5" s="256"/>
      <c r="Q5" s="256"/>
    </row>
  </sheetData>
  <sheetProtection selectLockedCells="1"/>
  <mergeCells count="7">
    <mergeCell ref="A1:F1"/>
    <mergeCell ref="G1:K5"/>
    <mergeCell ref="L1:Q5"/>
    <mergeCell ref="E2:F2"/>
    <mergeCell ref="B3:F3"/>
    <mergeCell ref="A4:F4"/>
    <mergeCell ref="C5:F5"/>
  </mergeCells>
  <phoneticPr fontId="1" type="noConversion"/>
  <dataValidations count="4">
    <dataValidation type="textLength" operator="equal" allowBlank="1" showInputMessage="1" showErrorMessage="1" error="输入正确的原因代码" sqref="B1 B4:B1048576">
      <formula1>3</formula1>
    </dataValidation>
    <dataValidation type="textLength" operator="lessThanOrEqual" allowBlank="1" showInputMessage="1" showErrorMessage="1" error="提运单号长度不能超过35位" sqref="A1:A1048576">
      <formula1>35</formula1>
    </dataValidation>
    <dataValidation type="whole" allowBlank="1" showInputMessage="1" showErrorMessage="1" error="请输入连续13位纯数字，不允许有空格隔开，预配出口舱单是5字头。" sqref="B2">
      <formula1>1000000000000</formula1>
      <formula2>9999999999999</formula2>
    </dataValidation>
    <dataValidation operator="equal" allowBlank="1" showInputMessage="1" showErrorMessage="1" error="输入正确的原因代码" sqref="B3:F3"/>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CUST_ID!$A$1:$A$9</xm:f>
          </x14:formula1>
          <xm:sqref>D2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9"/>
  <sheetViews>
    <sheetView workbookViewId="0">
      <selection activeCell="H30" sqref="H30"/>
    </sheetView>
  </sheetViews>
  <sheetFormatPr defaultRowHeight="13.5"/>
  <cols>
    <col min="1" max="1" width="20.625" style="183" bestFit="1" customWidth="1"/>
    <col min="2" max="16384" width="9" style="183"/>
  </cols>
  <sheetData>
    <row r="1" spans="1:1">
      <c r="A1" s="183" t="s">
        <v>4286</v>
      </c>
    </row>
    <row r="2" spans="1:1">
      <c r="A2" s="183" t="s">
        <v>4285</v>
      </c>
    </row>
    <row r="3" spans="1:1">
      <c r="A3" s="183" t="s">
        <v>4284</v>
      </c>
    </row>
    <row r="4" spans="1:1">
      <c r="A4" s="183" t="s">
        <v>4283</v>
      </c>
    </row>
    <row r="5" spans="1:1">
      <c r="A5" s="183" t="s">
        <v>4282</v>
      </c>
    </row>
    <row r="6" spans="1:1">
      <c r="A6" s="183" t="s">
        <v>4281</v>
      </c>
    </row>
    <row r="7" spans="1:1">
      <c r="A7" s="183" t="s">
        <v>4280</v>
      </c>
    </row>
    <row r="8" spans="1:1">
      <c r="A8" s="183" t="s">
        <v>4279</v>
      </c>
    </row>
    <row r="9" spans="1:1">
      <c r="A9" s="184" t="s">
        <v>4278</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Q26"/>
  <sheetViews>
    <sheetView zoomScale="85" zoomScaleNormal="85" workbookViewId="0">
      <selection activeCell="F30" sqref="F30"/>
    </sheetView>
  </sheetViews>
  <sheetFormatPr defaultRowHeight="13.5"/>
  <cols>
    <col min="1" max="1" width="17.375" style="177" customWidth="1"/>
    <col min="2" max="2" width="15" style="177" bestFit="1" customWidth="1"/>
    <col min="3" max="3" width="12.125" style="176" customWidth="1"/>
    <col min="4" max="4" width="17.5" style="176" customWidth="1"/>
    <col min="5" max="5" width="17.25" style="176" customWidth="1"/>
    <col min="6" max="6" width="23.75" style="176" customWidth="1"/>
    <col min="7" max="16384" width="9" style="176"/>
  </cols>
  <sheetData>
    <row r="1" spans="1:17" s="178" customFormat="1" ht="51.75" customHeight="1">
      <c r="A1" s="243" t="s">
        <v>4287</v>
      </c>
      <c r="B1" s="244"/>
      <c r="C1" s="244"/>
      <c r="D1" s="244"/>
      <c r="E1" s="244"/>
      <c r="F1" s="245"/>
      <c r="G1" s="246" t="s">
        <v>4288</v>
      </c>
      <c r="H1" s="247"/>
      <c r="I1" s="247"/>
      <c r="J1" s="247"/>
      <c r="K1" s="248"/>
      <c r="L1" s="253" t="s">
        <v>4289</v>
      </c>
      <c r="M1" s="254"/>
      <c r="N1" s="254"/>
      <c r="O1" s="254"/>
      <c r="P1" s="254"/>
      <c r="Q1" s="254"/>
    </row>
    <row r="2" spans="1:17" s="178" customFormat="1" ht="22.5" customHeight="1">
      <c r="A2" s="180" t="s">
        <v>4290</v>
      </c>
      <c r="B2" s="182" t="str">
        <f>IF(AND((报舱数据!B2&lt;&gt;""),(LEN(报舱数据!J2)=13)),报舱数据!J2,"")</f>
        <v/>
      </c>
      <c r="C2" s="180" t="s">
        <v>4291</v>
      </c>
      <c r="D2" s="181" t="s">
        <v>107</v>
      </c>
      <c r="E2" s="257"/>
      <c r="F2" s="258"/>
      <c r="G2" s="249"/>
      <c r="H2" s="247"/>
      <c r="I2" s="247"/>
      <c r="J2" s="247"/>
      <c r="K2" s="248"/>
      <c r="L2" s="253"/>
      <c r="M2" s="254"/>
      <c r="N2" s="254"/>
      <c r="O2" s="254"/>
      <c r="P2" s="254"/>
      <c r="Q2" s="254"/>
    </row>
    <row r="3" spans="1:17" s="178" customFormat="1" ht="22.5" customHeight="1">
      <c r="A3" s="180" t="s">
        <v>4292</v>
      </c>
      <c r="B3" s="259"/>
      <c r="C3" s="260"/>
      <c r="D3" s="260"/>
      <c r="E3" s="260"/>
      <c r="F3" s="261"/>
      <c r="G3" s="249"/>
      <c r="H3" s="247"/>
      <c r="I3" s="247"/>
      <c r="J3" s="247"/>
      <c r="K3" s="248"/>
      <c r="L3" s="253"/>
      <c r="M3" s="254"/>
      <c r="N3" s="254"/>
      <c r="O3" s="254"/>
      <c r="P3" s="254"/>
      <c r="Q3" s="254"/>
    </row>
    <row r="4" spans="1:17" s="178" customFormat="1" ht="24" customHeight="1">
      <c r="A4" s="262" t="s">
        <v>4293</v>
      </c>
      <c r="B4" s="263"/>
      <c r="C4" s="263"/>
      <c r="D4" s="263"/>
      <c r="E4" s="263"/>
      <c r="F4" s="264"/>
      <c r="G4" s="249"/>
      <c r="H4" s="247"/>
      <c r="I4" s="247"/>
      <c r="J4" s="247"/>
      <c r="K4" s="248"/>
      <c r="L4" s="253"/>
      <c r="M4" s="254"/>
      <c r="N4" s="254"/>
      <c r="O4" s="254"/>
      <c r="P4" s="254"/>
      <c r="Q4" s="254"/>
    </row>
    <row r="5" spans="1:17" s="178" customFormat="1" ht="24.75" customHeight="1" thickBot="1">
      <c r="A5" s="179" t="s">
        <v>4294</v>
      </c>
      <c r="B5" s="179" t="s">
        <v>4295</v>
      </c>
      <c r="C5" s="265"/>
      <c r="D5" s="266"/>
      <c r="E5" s="266"/>
      <c r="F5" s="267"/>
      <c r="G5" s="250"/>
      <c r="H5" s="251"/>
      <c r="I5" s="251"/>
      <c r="J5" s="251"/>
      <c r="K5" s="252"/>
      <c r="L5" s="255"/>
      <c r="M5" s="256"/>
      <c r="N5" s="256"/>
      <c r="O5" s="256"/>
      <c r="P5" s="256"/>
      <c r="Q5" s="256"/>
    </row>
    <row r="6" spans="1:17">
      <c r="A6" s="177" t="str">
        <f>IF(AND((报舱数据!B2&lt;&gt;""),(LEN(报舱数据!J2)=13)),报舱数据!I2,"")</f>
        <v/>
      </c>
      <c r="B6" s="177" t="str">
        <f t="shared" ref="B6:B26" si="0">IF(A6&lt;&gt;"","999","")</f>
        <v/>
      </c>
    </row>
    <row r="7" spans="1:17">
      <c r="A7" s="177" t="str">
        <f>IF(AND((报舱数据!B3&lt;&gt;""),(LEN(报舱数据!J3)=13)),报舱数据!I3,"")</f>
        <v/>
      </c>
      <c r="B7" s="177" t="str">
        <f t="shared" si="0"/>
        <v/>
      </c>
    </row>
    <row r="8" spans="1:17">
      <c r="A8" s="177" t="str">
        <f>IF(AND((报舱数据!B4&lt;&gt;""),(LEN(报舱数据!J4)=13)),报舱数据!I4,"")</f>
        <v/>
      </c>
      <c r="B8" s="177" t="str">
        <f t="shared" si="0"/>
        <v/>
      </c>
    </row>
    <row r="9" spans="1:17">
      <c r="A9" s="177" t="str">
        <f>IF(AND((报舱数据!B5&lt;&gt;""),(LEN(报舱数据!J5)=13)),报舱数据!I5,"")</f>
        <v/>
      </c>
      <c r="B9" s="177" t="str">
        <f t="shared" si="0"/>
        <v/>
      </c>
    </row>
    <row r="10" spans="1:17">
      <c r="A10" s="177" t="str">
        <f>IF(AND((报舱数据!B6&lt;&gt;""),(LEN(报舱数据!J6)=13)),报舱数据!I6,"")</f>
        <v/>
      </c>
      <c r="B10" s="177" t="str">
        <f t="shared" si="0"/>
        <v/>
      </c>
    </row>
    <row r="11" spans="1:17">
      <c r="A11" s="177" t="str">
        <f>IF(AND((报舱数据!B7&lt;&gt;""),(LEN(报舱数据!J7)=13)),报舱数据!I7,"")</f>
        <v/>
      </c>
      <c r="B11" s="177" t="str">
        <f t="shared" si="0"/>
        <v/>
      </c>
    </row>
    <row r="12" spans="1:17">
      <c r="A12" s="177" t="str">
        <f>IF(AND((报舱数据!B8&lt;&gt;""),(LEN(报舱数据!J8)=13)),报舱数据!I8,"")</f>
        <v/>
      </c>
      <c r="B12" s="177" t="str">
        <f t="shared" si="0"/>
        <v/>
      </c>
    </row>
    <row r="13" spans="1:17">
      <c r="A13" s="177" t="str">
        <f>IF(AND((报舱数据!B9&lt;&gt;""),(LEN(报舱数据!J9)=13)),报舱数据!I9,"")</f>
        <v/>
      </c>
      <c r="B13" s="177" t="str">
        <f t="shared" si="0"/>
        <v/>
      </c>
    </row>
    <row r="14" spans="1:17">
      <c r="A14" s="177" t="str">
        <f>IF(AND((报舱数据!B10&lt;&gt;""),(LEN(报舱数据!J10)=13)),报舱数据!I10,"")</f>
        <v/>
      </c>
      <c r="B14" s="177" t="str">
        <f t="shared" si="0"/>
        <v/>
      </c>
    </row>
    <row r="15" spans="1:17">
      <c r="A15" s="177" t="str">
        <f>IF(AND((报舱数据!B11&lt;&gt;""),(LEN(报舱数据!J11)=13)),报舱数据!I11,"")</f>
        <v/>
      </c>
      <c r="B15" s="177" t="str">
        <f t="shared" si="0"/>
        <v/>
      </c>
    </row>
    <row r="16" spans="1:17">
      <c r="A16" s="177" t="str">
        <f>IF(AND((报舱数据!B12&lt;&gt;""),(LEN(报舱数据!J12)=13)),报舱数据!I12,"")</f>
        <v/>
      </c>
      <c r="B16" s="177" t="str">
        <f t="shared" si="0"/>
        <v/>
      </c>
    </row>
    <row r="17" spans="1:2">
      <c r="A17" s="177" t="str">
        <f>IF(AND((报舱数据!B13&lt;&gt;""),(LEN(报舱数据!J13)=13)),报舱数据!I13,"")</f>
        <v/>
      </c>
      <c r="B17" s="177" t="str">
        <f t="shared" si="0"/>
        <v/>
      </c>
    </row>
    <row r="18" spans="1:2">
      <c r="A18" s="177" t="str">
        <f>IF(AND((报舱数据!B14&lt;&gt;""),(LEN(报舱数据!J14)=13)),报舱数据!I14,"")</f>
        <v/>
      </c>
      <c r="B18" s="177" t="str">
        <f t="shared" si="0"/>
        <v/>
      </c>
    </row>
    <row r="19" spans="1:2">
      <c r="A19" s="177" t="str">
        <f>IF(AND((报舱数据!B15&lt;&gt;""),(LEN(报舱数据!J15)=13)),报舱数据!I15,"")</f>
        <v/>
      </c>
      <c r="B19" s="177" t="str">
        <f t="shared" si="0"/>
        <v/>
      </c>
    </row>
    <row r="20" spans="1:2">
      <c r="A20" s="177" t="str">
        <f>IF(AND((报舱数据!B16&lt;&gt;""),(LEN(报舱数据!J16)=13)),报舱数据!I16,"")</f>
        <v/>
      </c>
      <c r="B20" s="177" t="str">
        <f t="shared" si="0"/>
        <v/>
      </c>
    </row>
    <row r="21" spans="1:2">
      <c r="A21" s="177" t="str">
        <f>IF(AND((报舱数据!B17&lt;&gt;""),(LEN(报舱数据!J17)=13)),报舱数据!I17,"")</f>
        <v/>
      </c>
      <c r="B21" s="177" t="str">
        <f t="shared" si="0"/>
        <v/>
      </c>
    </row>
    <row r="22" spans="1:2">
      <c r="A22" s="177" t="str">
        <f>IF(AND((报舱数据!B18&lt;&gt;""),(LEN(报舱数据!J18)=13)),报舱数据!I18,"")</f>
        <v/>
      </c>
      <c r="B22" s="177" t="str">
        <f t="shared" si="0"/>
        <v/>
      </c>
    </row>
    <row r="23" spans="1:2">
      <c r="A23" s="177" t="str">
        <f>IF(AND((报舱数据!B19&lt;&gt;""),(LEN(报舱数据!J19)=13)),报舱数据!I19,"")</f>
        <v/>
      </c>
      <c r="B23" s="177" t="str">
        <f t="shared" si="0"/>
        <v/>
      </c>
    </row>
    <row r="24" spans="1:2">
      <c r="A24" s="177" t="str">
        <f>IF(AND((报舱数据!B20&lt;&gt;""),(LEN(报舱数据!J20)=13)),报舱数据!I20,"")</f>
        <v/>
      </c>
      <c r="B24" s="177" t="str">
        <f t="shared" si="0"/>
        <v/>
      </c>
    </row>
    <row r="25" spans="1:2">
      <c r="A25" s="177" t="str">
        <f>IF(AND((报舱数据!B21&lt;&gt;""),(LEN(报舱数据!J21)=13)),报舱数据!I21,"")</f>
        <v/>
      </c>
      <c r="B25" s="177" t="str">
        <f t="shared" si="0"/>
        <v/>
      </c>
    </row>
    <row r="26" spans="1:2">
      <c r="A26" s="177" t="str">
        <f>IF(AND((报舱数据!B22&lt;&gt;""),(LEN(报舱数据!J22)=13)),报舱数据!I22,"")</f>
        <v/>
      </c>
      <c r="B26" s="177" t="str">
        <f t="shared" si="0"/>
        <v/>
      </c>
    </row>
  </sheetData>
  <sheetProtection selectLockedCells="1"/>
  <mergeCells count="7">
    <mergeCell ref="A1:F1"/>
    <mergeCell ref="G1:K5"/>
    <mergeCell ref="L1:Q5"/>
    <mergeCell ref="E2:F2"/>
    <mergeCell ref="B3:F3"/>
    <mergeCell ref="A4:F4"/>
    <mergeCell ref="C5:F5"/>
  </mergeCells>
  <phoneticPr fontId="1" type="noConversion"/>
  <dataValidations count="5">
    <dataValidation operator="equal" allowBlank="1" showInputMessage="1" showErrorMessage="1" error="输入正确的原因代码" sqref="B3:F3"/>
    <dataValidation allowBlank="1" showInputMessage="1" showErrorMessage="1" error="请输入连续13位纯数字，不允许有空格隔开，预配出口舱单是5字头。" sqref="B2"/>
    <dataValidation type="textLength" operator="lessThanOrEqual" allowBlank="1" showInputMessage="1" showErrorMessage="1" error="提运单号长度不能超过35位" sqref="A1:A5 A27:A1048576">
      <formula1>35</formula1>
    </dataValidation>
    <dataValidation type="textLength" operator="equal" allowBlank="1" showInputMessage="1" showErrorMessage="1" error="输入正确的原因代码" sqref="B1 B4:B1048576">
      <formula1>3</formula1>
    </dataValidation>
    <dataValidation operator="lessThanOrEqual" allowBlank="1" showInputMessage="1" showErrorMessage="1" error="提运单号长度不能超过35位" sqref="A6:A26"/>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CUST_ID!$A$1:$A$9</xm:f>
          </x14:formula1>
          <xm:sqref>D2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T15"/>
  <sheetViews>
    <sheetView zoomScale="85" zoomScaleNormal="85" workbookViewId="0">
      <selection activeCell="G2" sqref="G2:G15"/>
    </sheetView>
  </sheetViews>
  <sheetFormatPr defaultColWidth="12.125" defaultRowHeight="25.5"/>
  <cols>
    <col min="1" max="1" width="21.5" style="12" customWidth="1"/>
    <col min="2" max="2" width="15.5" style="12" customWidth="1"/>
    <col min="3" max="3" width="17.75" style="12" customWidth="1"/>
    <col min="4" max="4" width="21.875" style="12" customWidth="1"/>
    <col min="5" max="5" width="12.25" style="12" customWidth="1"/>
    <col min="6" max="6" width="13.875" style="12" customWidth="1"/>
    <col min="7" max="7" width="9" style="12" customWidth="1"/>
    <col min="8" max="9" width="12.125" style="12" customWidth="1"/>
    <col min="10" max="10" width="24" style="12" customWidth="1"/>
    <col min="11" max="11" width="12.125" style="12" customWidth="1"/>
    <col min="12" max="16384" width="12.125" style="12"/>
  </cols>
  <sheetData>
    <row r="1" spans="1:20" ht="26.25">
      <c r="A1" s="8" t="s">
        <v>81</v>
      </c>
      <c r="B1" s="8" t="s">
        <v>82</v>
      </c>
      <c r="C1" s="8" t="s">
        <v>83</v>
      </c>
      <c r="D1" s="8" t="s">
        <v>84</v>
      </c>
      <c r="E1" s="8" t="s">
        <v>85</v>
      </c>
      <c r="F1" s="9" t="s">
        <v>86</v>
      </c>
      <c r="G1" s="9" t="s">
        <v>87</v>
      </c>
      <c r="H1" s="9"/>
      <c r="I1" s="9"/>
      <c r="J1" s="9" t="s">
        <v>88</v>
      </c>
      <c r="K1" s="10"/>
      <c r="L1" s="10"/>
      <c r="M1" s="10"/>
      <c r="N1" s="10"/>
      <c r="O1" s="10"/>
      <c r="P1" s="10"/>
      <c r="Q1" s="10"/>
      <c r="R1" s="10"/>
      <c r="S1" s="11"/>
      <c r="T1" s="11"/>
    </row>
    <row r="2" spans="1:20" ht="26.25">
      <c r="A2" s="10" t="s">
        <v>920</v>
      </c>
      <c r="B2" s="10" t="s">
        <v>945</v>
      </c>
      <c r="C2" s="10">
        <v>13800314</v>
      </c>
      <c r="D2" s="10">
        <v>5340004704</v>
      </c>
      <c r="E2" s="13" t="s">
        <v>921</v>
      </c>
      <c r="F2" s="10">
        <v>800465</v>
      </c>
      <c r="G2" s="10"/>
      <c r="H2" s="10"/>
      <c r="I2" s="10"/>
      <c r="J2" s="10">
        <v>13760382821</v>
      </c>
      <c r="K2" s="10"/>
      <c r="L2" s="10"/>
      <c r="M2" s="10"/>
      <c r="N2" s="10"/>
      <c r="O2" s="10"/>
      <c r="P2" s="10"/>
      <c r="Q2" s="10"/>
      <c r="R2" s="10"/>
      <c r="S2" s="11"/>
      <c r="T2" s="11"/>
    </row>
    <row r="3" spans="1:20" ht="26.25">
      <c r="A3" s="10" t="s">
        <v>922</v>
      </c>
      <c r="B3" s="10" t="s">
        <v>946</v>
      </c>
      <c r="C3" s="10">
        <v>12900522</v>
      </c>
      <c r="D3" s="10">
        <v>5300106299</v>
      </c>
      <c r="E3" s="13" t="s">
        <v>923</v>
      </c>
      <c r="F3" s="10">
        <v>123672</v>
      </c>
      <c r="G3" s="10"/>
      <c r="H3" s="10"/>
      <c r="I3" s="10"/>
      <c r="J3" s="10">
        <v>14715374290</v>
      </c>
      <c r="K3" s="10"/>
      <c r="L3" s="10"/>
      <c r="M3" s="10"/>
      <c r="N3" s="10"/>
      <c r="O3" s="10"/>
      <c r="P3" s="10"/>
      <c r="Q3" s="10"/>
      <c r="R3" s="10"/>
      <c r="S3" s="11"/>
      <c r="T3" s="11"/>
    </row>
    <row r="4" spans="1:20" ht="26.25">
      <c r="A4" s="10" t="s">
        <v>924</v>
      </c>
      <c r="B4" s="10" t="s">
        <v>947</v>
      </c>
      <c r="C4" s="10">
        <v>13800315</v>
      </c>
      <c r="D4" s="10">
        <v>5340011636</v>
      </c>
      <c r="E4" s="13" t="s">
        <v>925</v>
      </c>
      <c r="F4" s="10">
        <v>123422</v>
      </c>
      <c r="G4" s="10"/>
      <c r="H4" s="10"/>
      <c r="I4" s="10"/>
      <c r="J4" s="10">
        <v>15889696590</v>
      </c>
      <c r="K4" s="10"/>
      <c r="L4" s="10"/>
      <c r="M4" s="10"/>
      <c r="N4" s="10"/>
      <c r="O4" s="10"/>
      <c r="P4" s="10"/>
      <c r="Q4" s="10"/>
      <c r="R4" s="10"/>
      <c r="S4" s="11"/>
      <c r="T4" s="11"/>
    </row>
    <row r="5" spans="1:20" ht="26.25">
      <c r="A5" s="10" t="s">
        <v>926</v>
      </c>
      <c r="B5" s="10" t="s">
        <v>948</v>
      </c>
      <c r="C5" s="10">
        <v>13800313</v>
      </c>
      <c r="D5" s="10">
        <v>5300111078</v>
      </c>
      <c r="E5" s="13" t="s">
        <v>927</v>
      </c>
      <c r="F5" s="10">
        <v>444667</v>
      </c>
      <c r="G5" s="10">
        <v>996</v>
      </c>
      <c r="H5" s="10"/>
      <c r="I5" s="10"/>
      <c r="J5" s="10">
        <v>13823759818</v>
      </c>
      <c r="K5" s="10"/>
      <c r="L5" s="10"/>
      <c r="M5" s="10"/>
      <c r="N5" s="10"/>
      <c r="O5" s="10"/>
      <c r="P5" s="10"/>
      <c r="Q5" s="10"/>
      <c r="R5" s="10"/>
      <c r="S5" s="11"/>
      <c r="T5" s="11"/>
    </row>
    <row r="6" spans="1:20">
      <c r="A6" s="12" t="s">
        <v>164</v>
      </c>
      <c r="B6" s="12" t="s">
        <v>949</v>
      </c>
      <c r="C6" s="12">
        <v>13800213</v>
      </c>
      <c r="D6" s="12">
        <v>5300108003</v>
      </c>
      <c r="E6" s="12" t="s">
        <v>928</v>
      </c>
      <c r="F6" s="12">
        <v>442847</v>
      </c>
      <c r="G6" s="12">
        <v>427</v>
      </c>
    </row>
    <row r="7" spans="1:20">
      <c r="A7" s="12" t="s">
        <v>466</v>
      </c>
      <c r="B7" s="12" t="s">
        <v>950</v>
      </c>
      <c r="C7" s="12">
        <v>13800082</v>
      </c>
      <c r="D7" s="12">
        <v>5300112128</v>
      </c>
      <c r="E7" s="12" t="s">
        <v>929</v>
      </c>
      <c r="F7" s="12">
        <v>443004</v>
      </c>
      <c r="G7" s="12">
        <v>837</v>
      </c>
    </row>
    <row r="8" spans="1:20">
      <c r="A8" s="12" t="s">
        <v>930</v>
      </c>
      <c r="B8" s="12" t="s">
        <v>951</v>
      </c>
      <c r="C8" s="12">
        <v>13800231</v>
      </c>
      <c r="D8" s="12">
        <v>5300101997</v>
      </c>
      <c r="E8" s="12" t="s">
        <v>927</v>
      </c>
      <c r="F8" s="12">
        <v>444571</v>
      </c>
      <c r="G8" s="12">
        <v>690</v>
      </c>
    </row>
    <row r="9" spans="1:20">
      <c r="A9" s="12" t="s">
        <v>817</v>
      </c>
      <c r="B9" s="12" t="s">
        <v>952</v>
      </c>
      <c r="C9" s="12">
        <v>13800241</v>
      </c>
      <c r="D9" s="12">
        <v>5340000357</v>
      </c>
      <c r="E9" s="12" t="s">
        <v>931</v>
      </c>
      <c r="F9" s="12">
        <v>200074</v>
      </c>
      <c r="G9" s="12">
        <v>820</v>
      </c>
    </row>
    <row r="10" spans="1:20">
      <c r="A10" s="12" t="s">
        <v>932</v>
      </c>
      <c r="B10" s="12" t="s">
        <v>953</v>
      </c>
      <c r="C10" s="12">
        <v>13800316</v>
      </c>
      <c r="D10" s="12">
        <v>5340015122</v>
      </c>
      <c r="E10" s="12" t="s">
        <v>933</v>
      </c>
      <c r="F10" s="12">
        <v>123479</v>
      </c>
    </row>
    <row r="11" spans="1:20">
      <c r="A11" s="12" t="s">
        <v>934</v>
      </c>
      <c r="B11" s="12" t="s">
        <v>954</v>
      </c>
      <c r="C11" s="12">
        <v>12900521</v>
      </c>
      <c r="D11" s="12">
        <v>5300114389</v>
      </c>
      <c r="E11" s="12" t="s">
        <v>935</v>
      </c>
      <c r="F11" s="12">
        <v>123656</v>
      </c>
    </row>
    <row r="12" spans="1:20">
      <c r="A12" s="12" t="s">
        <v>936</v>
      </c>
      <c r="B12" s="12" t="s">
        <v>955</v>
      </c>
      <c r="C12" s="12">
        <v>13800311</v>
      </c>
      <c r="D12" s="12">
        <v>5300100911</v>
      </c>
      <c r="E12" s="12" t="s">
        <v>937</v>
      </c>
      <c r="F12" s="12">
        <v>443038</v>
      </c>
      <c r="G12" s="12">
        <v>762</v>
      </c>
    </row>
    <row r="13" spans="1:20">
      <c r="A13" s="12" t="s">
        <v>938</v>
      </c>
      <c r="B13" s="12" t="s">
        <v>956</v>
      </c>
      <c r="C13" s="12">
        <v>10909402</v>
      </c>
      <c r="D13" s="12">
        <v>5340010497</v>
      </c>
      <c r="E13" s="12" t="s">
        <v>939</v>
      </c>
      <c r="F13" s="12">
        <v>123633</v>
      </c>
    </row>
    <row r="14" spans="1:20">
      <c r="A14" s="12" t="s">
        <v>940</v>
      </c>
      <c r="B14" s="12" t="s">
        <v>957</v>
      </c>
      <c r="C14" s="12" t="s">
        <v>941</v>
      </c>
      <c r="D14" s="12">
        <v>5340025247</v>
      </c>
      <c r="E14" s="12" t="s">
        <v>942</v>
      </c>
    </row>
    <row r="15" spans="1:20">
      <c r="A15" s="12" t="s">
        <v>943</v>
      </c>
      <c r="B15" s="12" t="s">
        <v>958</v>
      </c>
      <c r="C15" s="12">
        <v>12900272</v>
      </c>
      <c r="D15" s="12">
        <v>5300105861</v>
      </c>
      <c r="E15" s="12" t="s">
        <v>944</v>
      </c>
    </row>
  </sheetData>
  <phoneticPr fontId="1" type="noConversion"/>
  <dataValidations count="1">
    <dataValidation allowBlank="1" showErrorMessage="1" promptTitle="严禁修改" prompt="严禁修改" sqref="A1:G5"/>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Q653"/>
  <sheetViews>
    <sheetView workbookViewId="0">
      <pane ySplit="1" topLeftCell="A647" activePane="bottomLeft" state="frozen"/>
      <selection pane="bottomLeft" activeCell="I649" sqref="I649"/>
    </sheetView>
  </sheetViews>
  <sheetFormatPr defaultRowHeight="13.5"/>
  <cols>
    <col min="1" max="1" width="20.5" bestFit="1" customWidth="1"/>
    <col min="3" max="3" width="9.625" bestFit="1" customWidth="1"/>
    <col min="4" max="4" width="11.875" bestFit="1" customWidth="1"/>
    <col min="5" max="5" width="7.75" bestFit="1" customWidth="1"/>
    <col min="6" max="6" width="8.5" bestFit="1" customWidth="1"/>
    <col min="7" max="7" width="18.25" bestFit="1" customWidth="1"/>
    <col min="8" max="8" width="44.5" bestFit="1" customWidth="1"/>
    <col min="9" max="9" width="11.5" bestFit="1" customWidth="1"/>
    <col min="10" max="10" width="7.375" bestFit="1" customWidth="1"/>
    <col min="11" max="11" width="18.25" bestFit="1" customWidth="1"/>
    <col min="12" max="12" width="19.5" bestFit="1" customWidth="1"/>
    <col min="13" max="13" width="12.75" bestFit="1" customWidth="1"/>
    <col min="14" max="14" width="13.25" bestFit="1" customWidth="1"/>
    <col min="15" max="15" width="16.375" bestFit="1" customWidth="1"/>
    <col min="16" max="16" width="9.75" bestFit="1" customWidth="1"/>
    <col min="17" max="17" width="5.75" bestFit="1" customWidth="1"/>
    <col min="18" max="18" width="8.5" bestFit="1" customWidth="1"/>
    <col min="19" max="19" width="40.375" bestFit="1" customWidth="1"/>
    <col min="20" max="20" width="10.5" bestFit="1" customWidth="1"/>
    <col min="21" max="21" width="23.875" bestFit="1" customWidth="1"/>
    <col min="22" max="22" width="17.25" bestFit="1" customWidth="1"/>
    <col min="23" max="23" width="23.875" bestFit="1" customWidth="1"/>
    <col min="24" max="24" width="13" bestFit="1" customWidth="1"/>
    <col min="25" max="25" width="17.25" bestFit="1" customWidth="1"/>
    <col min="26" max="26" width="13" bestFit="1" customWidth="1"/>
    <col min="27" max="27" width="17.25" bestFit="1" customWidth="1"/>
    <col min="28" max="28" width="13" bestFit="1" customWidth="1"/>
    <col min="29" max="30" width="7.125" bestFit="1" customWidth="1"/>
    <col min="31" max="31" width="9.5" bestFit="1" customWidth="1"/>
    <col min="32" max="33" width="11" bestFit="1" customWidth="1"/>
    <col min="34" max="35" width="56" bestFit="1" customWidth="1"/>
    <col min="36" max="36" width="33.875" bestFit="1" customWidth="1"/>
    <col min="37" max="37" width="17.25" bestFit="1" customWidth="1"/>
    <col min="38" max="40" width="33.875" bestFit="1" customWidth="1"/>
    <col min="41" max="41" width="27.25" bestFit="1" customWidth="1"/>
    <col min="42" max="42" width="21.625" bestFit="1" customWidth="1"/>
    <col min="43" max="43" width="27.25" bestFit="1" customWidth="1"/>
    <col min="44" max="44" width="21.625" bestFit="1" customWidth="1"/>
    <col min="45" max="45" width="19.375" bestFit="1" customWidth="1"/>
    <col min="46" max="46" width="25" bestFit="1" customWidth="1"/>
    <col min="47" max="47" width="18.375" bestFit="1" customWidth="1"/>
    <col min="48" max="48" width="56" bestFit="1" customWidth="1"/>
    <col min="49" max="49" width="68.25" bestFit="1" customWidth="1"/>
    <col min="50" max="50" width="42.75" bestFit="1" customWidth="1"/>
    <col min="51" max="52" width="33.875" bestFit="1" customWidth="1"/>
    <col min="53" max="53" width="29.375" bestFit="1" customWidth="1"/>
    <col min="54" max="54" width="18.375" bestFit="1" customWidth="1"/>
    <col min="55" max="55" width="19.375" bestFit="1" customWidth="1"/>
    <col min="56" max="56" width="11" bestFit="1" customWidth="1"/>
    <col min="57" max="57" width="20.5" bestFit="1" customWidth="1"/>
    <col min="58" max="58" width="28.25" bestFit="1" customWidth="1"/>
    <col min="59" max="59" width="17.25" bestFit="1" customWidth="1"/>
    <col min="60" max="60" width="63.75" bestFit="1" customWidth="1"/>
    <col min="61" max="61" width="155.125" bestFit="1" customWidth="1"/>
    <col min="62" max="62" width="122.125" bestFit="1" customWidth="1"/>
    <col min="63" max="65" width="25.5" bestFit="1" customWidth="1"/>
    <col min="66" max="66" width="23.5" bestFit="1" customWidth="1"/>
    <col min="68" max="69" width="11.625" bestFit="1" customWidth="1"/>
    <col min="71" max="71" width="21.375" bestFit="1" customWidth="1"/>
    <col min="72" max="72" width="23.5" bestFit="1" customWidth="1"/>
    <col min="73" max="75" width="7.5" bestFit="1" customWidth="1"/>
    <col min="76" max="76" width="21.375" bestFit="1" customWidth="1"/>
    <col min="77" max="77" width="15.125" bestFit="1" customWidth="1"/>
    <col min="78" max="78" width="13" bestFit="1" customWidth="1"/>
    <col min="79" max="79" width="8.5" bestFit="1" customWidth="1"/>
    <col min="80" max="80" width="13" bestFit="1" customWidth="1"/>
    <col min="81" max="81" width="7.125" bestFit="1" customWidth="1"/>
    <col min="83" max="83" width="5.25" bestFit="1" customWidth="1"/>
    <col min="84" max="86" width="16.25" bestFit="1" customWidth="1"/>
    <col min="87" max="87" width="9.5" bestFit="1" customWidth="1"/>
    <col min="88" max="88" width="18.375" bestFit="1" customWidth="1"/>
    <col min="89" max="89" width="8.5" bestFit="1" customWidth="1"/>
    <col min="90" max="90" width="12.75" bestFit="1" customWidth="1"/>
    <col min="91" max="91" width="11" bestFit="1" customWidth="1"/>
    <col min="92" max="92" width="13" bestFit="1" customWidth="1"/>
    <col min="94" max="94" width="11.625" bestFit="1" customWidth="1"/>
    <col min="96" max="96" width="11.625" bestFit="1" customWidth="1"/>
    <col min="97" max="97" width="21.375" bestFit="1" customWidth="1"/>
    <col min="98" max="98" width="17.25" bestFit="1" customWidth="1"/>
    <col min="100" max="100" width="13" bestFit="1" customWidth="1"/>
    <col min="101" max="101" width="8.25" bestFit="1" customWidth="1"/>
    <col min="102" max="102" width="17.25" bestFit="1" customWidth="1"/>
    <col min="103" max="104" width="11" bestFit="1" customWidth="1"/>
    <col min="106" max="106" width="13" bestFit="1" customWidth="1"/>
    <col min="109" max="109" width="11" bestFit="1" customWidth="1"/>
    <col min="110" max="110" width="15.125" bestFit="1" customWidth="1"/>
    <col min="111" max="111" width="11" bestFit="1" customWidth="1"/>
    <col min="112" max="113" width="15.125" bestFit="1" customWidth="1"/>
    <col min="114" max="114" width="13" bestFit="1" customWidth="1"/>
    <col min="115" max="116" width="11" bestFit="1" customWidth="1"/>
    <col min="117" max="118" width="15.125" bestFit="1" customWidth="1"/>
    <col min="119" max="119" width="13" bestFit="1" customWidth="1"/>
    <col min="120" max="120" width="7.125" bestFit="1" customWidth="1"/>
    <col min="122" max="122" width="17.25" bestFit="1" customWidth="1"/>
    <col min="126" max="126" width="11" bestFit="1" customWidth="1"/>
    <col min="127" max="129" width="13" bestFit="1" customWidth="1"/>
    <col min="130" max="131" width="7.125" bestFit="1" customWidth="1"/>
    <col min="132" max="132" width="11" bestFit="1" customWidth="1"/>
    <col min="133" max="134" width="7.25" bestFit="1" customWidth="1"/>
    <col min="135" max="135" width="15.125" bestFit="1" customWidth="1"/>
    <col min="136" max="136" width="13" bestFit="1" customWidth="1"/>
    <col min="137" max="137" width="13.375" bestFit="1" customWidth="1"/>
    <col min="138" max="138" width="5.25" bestFit="1" customWidth="1"/>
    <col min="140" max="140" width="13" bestFit="1" customWidth="1"/>
    <col min="141" max="141" width="15.125" bestFit="1" customWidth="1"/>
    <col min="142" max="142" width="13" bestFit="1" customWidth="1"/>
    <col min="143" max="143" width="15.125" bestFit="1" customWidth="1"/>
    <col min="144" max="144" width="7.125" bestFit="1" customWidth="1"/>
    <col min="145" max="145" width="137.125" bestFit="1" customWidth="1"/>
    <col min="146" max="146" width="16.125" bestFit="1" customWidth="1"/>
    <col min="147" max="147" width="5.5" bestFit="1" customWidth="1"/>
  </cols>
  <sheetData>
    <row r="1" spans="3:147">
      <c r="C1" s="4" t="s">
        <v>100</v>
      </c>
      <c r="D1" s="14" t="s">
        <v>95</v>
      </c>
      <c r="E1" s="3" t="s">
        <v>97</v>
      </c>
      <c r="F1" s="3" t="s">
        <v>96</v>
      </c>
      <c r="G1" s="3" t="s">
        <v>98</v>
      </c>
      <c r="H1" s="3" t="s">
        <v>99</v>
      </c>
      <c r="I1" s="3" t="s">
        <v>101</v>
      </c>
      <c r="J1" s="4" t="s">
        <v>160</v>
      </c>
      <c r="K1" s="17" t="s">
        <v>13</v>
      </c>
      <c r="L1" s="18" t="s">
        <v>106</v>
      </c>
      <c r="M1" s="19" t="s">
        <v>14</v>
      </c>
      <c r="N1" s="20" t="s">
        <v>15</v>
      </c>
      <c r="O1" s="20" t="s">
        <v>16</v>
      </c>
      <c r="P1" s="20" t="s">
        <v>17</v>
      </c>
      <c r="Q1" s="20" t="s">
        <v>1</v>
      </c>
      <c r="R1" s="20" t="s">
        <v>0</v>
      </c>
      <c r="S1" t="s">
        <v>18</v>
      </c>
      <c r="T1" t="s">
        <v>19</v>
      </c>
      <c r="U1" t="s">
        <v>90</v>
      </c>
      <c r="V1" t="s">
        <v>108</v>
      </c>
      <c r="W1" t="s">
        <v>91</v>
      </c>
      <c r="X1" t="s">
        <v>109</v>
      </c>
      <c r="Y1" t="s">
        <v>110</v>
      </c>
      <c r="Z1" t="s">
        <v>111</v>
      </c>
      <c r="AA1" t="s">
        <v>112</v>
      </c>
      <c r="AB1" t="s">
        <v>113</v>
      </c>
      <c r="AC1" t="s">
        <v>20</v>
      </c>
      <c r="AD1" t="s">
        <v>21</v>
      </c>
      <c r="AE1" t="s">
        <v>22</v>
      </c>
      <c r="AF1" t="s">
        <v>23</v>
      </c>
      <c r="AG1" t="s">
        <v>24</v>
      </c>
      <c r="AH1" t="s">
        <v>25</v>
      </c>
      <c r="AI1" t="s">
        <v>114</v>
      </c>
      <c r="AJ1" t="s">
        <v>26</v>
      </c>
      <c r="AK1" t="s">
        <v>27</v>
      </c>
      <c r="AL1" t="s">
        <v>28</v>
      </c>
      <c r="AM1" t="s">
        <v>29</v>
      </c>
      <c r="AN1" t="s">
        <v>30</v>
      </c>
      <c r="AO1" t="s">
        <v>31</v>
      </c>
      <c r="AP1" t="s">
        <v>32</v>
      </c>
      <c r="AQ1" t="s">
        <v>115</v>
      </c>
      <c r="AR1" t="s">
        <v>33</v>
      </c>
      <c r="AS1" t="s">
        <v>34</v>
      </c>
      <c r="AT1" t="s">
        <v>35</v>
      </c>
      <c r="AU1" t="s">
        <v>169</v>
      </c>
      <c r="AV1" t="s">
        <v>36</v>
      </c>
      <c r="AW1" t="s">
        <v>116</v>
      </c>
      <c r="AX1" t="s">
        <v>37</v>
      </c>
      <c r="AY1" t="s">
        <v>38</v>
      </c>
      <c r="AZ1" t="s">
        <v>39</v>
      </c>
      <c r="BA1" t="s">
        <v>40</v>
      </c>
      <c r="BB1" t="s">
        <v>41</v>
      </c>
      <c r="BC1" t="s">
        <v>117</v>
      </c>
      <c r="BD1" t="s">
        <v>42</v>
      </c>
      <c r="BE1" t="s">
        <v>43</v>
      </c>
      <c r="BF1" t="s">
        <v>44</v>
      </c>
      <c r="BG1" t="s">
        <v>45</v>
      </c>
      <c r="BH1" s="6" t="s">
        <v>118</v>
      </c>
      <c r="BI1" t="s">
        <v>46</v>
      </c>
      <c r="BJ1" t="s">
        <v>47</v>
      </c>
      <c r="BK1" t="s">
        <v>48</v>
      </c>
      <c r="BL1" t="s">
        <v>170</v>
      </c>
      <c r="BM1" t="s">
        <v>171</v>
      </c>
      <c r="BN1" t="s">
        <v>172</v>
      </c>
      <c r="BO1" t="s">
        <v>49</v>
      </c>
      <c r="BP1" t="s">
        <v>2</v>
      </c>
      <c r="BQ1" t="s">
        <v>173</v>
      </c>
      <c r="BR1" t="s">
        <v>174</v>
      </c>
      <c r="BS1" t="s">
        <v>50</v>
      </c>
      <c r="BT1" t="s">
        <v>51</v>
      </c>
      <c r="BU1" t="s">
        <v>52</v>
      </c>
      <c r="BV1" t="s">
        <v>53</v>
      </c>
      <c r="BW1" t="s">
        <v>54</v>
      </c>
      <c r="BX1" t="s">
        <v>92</v>
      </c>
      <c r="BY1" t="s">
        <v>55</v>
      </c>
      <c r="BZ1" t="s">
        <v>80</v>
      </c>
      <c r="CA1" t="s">
        <v>56</v>
      </c>
      <c r="CB1" t="s">
        <v>57</v>
      </c>
      <c r="CC1" t="s">
        <v>119</v>
      </c>
      <c r="CD1" t="s">
        <v>58</v>
      </c>
      <c r="CE1" t="s">
        <v>59</v>
      </c>
      <c r="CF1" t="s">
        <v>60</v>
      </c>
      <c r="CG1" t="s">
        <v>61</v>
      </c>
      <c r="CH1" t="s">
        <v>62</v>
      </c>
      <c r="CI1" t="s">
        <v>63</v>
      </c>
      <c r="CJ1" t="s">
        <v>64</v>
      </c>
      <c r="CK1" t="s">
        <v>65</v>
      </c>
      <c r="CL1" t="s">
        <v>66</v>
      </c>
      <c r="CM1" t="s">
        <v>120</v>
      </c>
      <c r="CN1" t="s">
        <v>67</v>
      </c>
      <c r="CO1" s="16" t="s">
        <v>68</v>
      </c>
      <c r="CP1" s="16" t="s">
        <v>69</v>
      </c>
      <c r="CQ1" t="s">
        <v>70</v>
      </c>
      <c r="CR1" t="s">
        <v>71</v>
      </c>
      <c r="CS1" t="s">
        <v>121</v>
      </c>
      <c r="CT1" t="s">
        <v>72</v>
      </c>
      <c r="CU1" t="s">
        <v>73</v>
      </c>
      <c r="CV1" t="s">
        <v>74</v>
      </c>
      <c r="CW1" t="s">
        <v>75</v>
      </c>
      <c r="CX1" t="s">
        <v>76</v>
      </c>
      <c r="CY1" t="s">
        <v>77</v>
      </c>
      <c r="CZ1" t="s">
        <v>78</v>
      </c>
      <c r="DA1" t="s">
        <v>79</v>
      </c>
      <c r="DB1" t="s">
        <v>122</v>
      </c>
      <c r="DC1" t="s">
        <v>123</v>
      </c>
      <c r="DD1" t="s">
        <v>124</v>
      </c>
      <c r="DE1" t="s">
        <v>125</v>
      </c>
      <c r="DF1" t="s">
        <v>126</v>
      </c>
      <c r="DG1" t="s">
        <v>127</v>
      </c>
      <c r="DH1" t="s">
        <v>128</v>
      </c>
      <c r="DI1" t="s">
        <v>129</v>
      </c>
      <c r="DJ1" t="s">
        <v>130</v>
      </c>
      <c r="DK1" t="s">
        <v>131</v>
      </c>
      <c r="DL1" t="s">
        <v>132</v>
      </c>
      <c r="DM1" t="s">
        <v>133</v>
      </c>
      <c r="DN1" t="s">
        <v>134</v>
      </c>
      <c r="DO1" t="s">
        <v>135</v>
      </c>
      <c r="DP1" t="s">
        <v>136</v>
      </c>
      <c r="DQ1" t="s">
        <v>137</v>
      </c>
      <c r="DR1" t="s">
        <v>138</v>
      </c>
      <c r="DS1" t="s">
        <v>139</v>
      </c>
      <c r="DT1" t="s">
        <v>140</v>
      </c>
      <c r="DU1" t="s">
        <v>141</v>
      </c>
      <c r="DV1" t="s">
        <v>142</v>
      </c>
      <c r="DW1" t="s">
        <v>143</v>
      </c>
      <c r="DX1" t="s">
        <v>144</v>
      </c>
      <c r="DY1" t="s">
        <v>145</v>
      </c>
      <c r="DZ1" t="s">
        <v>146</v>
      </c>
      <c r="EA1" t="s">
        <v>147</v>
      </c>
      <c r="EB1" t="s">
        <v>148</v>
      </c>
      <c r="EC1" t="s">
        <v>149</v>
      </c>
      <c r="ED1" t="s">
        <v>150</v>
      </c>
      <c r="EE1" t="s">
        <v>151</v>
      </c>
      <c r="EF1" t="s">
        <v>152</v>
      </c>
      <c r="EG1" t="s">
        <v>153</v>
      </c>
      <c r="EH1" t="s">
        <v>154</v>
      </c>
      <c r="EI1" t="s">
        <v>155</v>
      </c>
      <c r="EJ1" t="s">
        <v>156</v>
      </c>
      <c r="EK1" t="s">
        <v>157</v>
      </c>
      <c r="EL1" t="s">
        <v>158</v>
      </c>
      <c r="EM1" t="s">
        <v>159</v>
      </c>
      <c r="EN1" t="s">
        <v>175</v>
      </c>
      <c r="EO1" t="s">
        <v>167</v>
      </c>
      <c r="EP1" t="s">
        <v>168</v>
      </c>
      <c r="EQ1" t="s">
        <v>176</v>
      </c>
    </row>
    <row r="2" spans="3:147" ht="15">
      <c r="C2" s="82" t="s">
        <v>401</v>
      </c>
      <c r="D2" s="5"/>
      <c r="E2" s="4">
        <v>1</v>
      </c>
      <c r="F2" s="5">
        <v>0.5</v>
      </c>
      <c r="G2" s="5" t="s">
        <v>374</v>
      </c>
      <c r="H2" s="4" t="s">
        <v>203</v>
      </c>
      <c r="I2" s="81" t="s">
        <v>164</v>
      </c>
      <c r="J2" s="21"/>
      <c r="K2" s="22" t="s">
        <v>396</v>
      </c>
      <c r="L2" s="22">
        <v>1100271750292</v>
      </c>
      <c r="M2" s="23" t="s">
        <v>164</v>
      </c>
      <c r="N2" s="23">
        <v>43710</v>
      </c>
      <c r="O2" s="24" t="s">
        <v>102</v>
      </c>
      <c r="P2" s="24" t="s">
        <v>195</v>
      </c>
      <c r="Q2" s="24">
        <v>1</v>
      </c>
      <c r="R2" s="24">
        <v>0.5</v>
      </c>
      <c r="S2" t="s">
        <v>196</v>
      </c>
      <c r="T2" t="s">
        <v>376</v>
      </c>
      <c r="U2" s="2" t="s">
        <v>163</v>
      </c>
      <c r="V2">
        <v>43710.582673611112</v>
      </c>
      <c r="W2" s="2" t="s">
        <v>197</v>
      </c>
      <c r="X2">
        <v>43710.582812499997</v>
      </c>
      <c r="AB2" t="s">
        <v>9</v>
      </c>
      <c r="AC2" t="s">
        <v>302</v>
      </c>
      <c r="AD2" t="s">
        <v>249</v>
      </c>
      <c r="AE2">
        <v>3515</v>
      </c>
      <c r="AF2">
        <v>3515</v>
      </c>
      <c r="AG2" t="s">
        <v>183</v>
      </c>
      <c r="AH2" t="s">
        <v>303</v>
      </c>
      <c r="AI2" t="s">
        <v>303</v>
      </c>
      <c r="AJ2" t="s">
        <v>304</v>
      </c>
      <c r="AK2" t="s">
        <v>305</v>
      </c>
      <c r="AL2" t="s">
        <v>306</v>
      </c>
      <c r="AM2" t="s">
        <v>307</v>
      </c>
      <c r="AO2" t="s">
        <v>308</v>
      </c>
      <c r="AP2" t="s">
        <v>309</v>
      </c>
      <c r="AS2">
        <v>2302065460</v>
      </c>
      <c r="AT2" t="s">
        <v>310</v>
      </c>
      <c r="AU2" t="s">
        <v>10</v>
      </c>
      <c r="AV2" t="s">
        <v>311</v>
      </c>
      <c r="AW2" t="s">
        <v>311</v>
      </c>
      <c r="AX2" t="s">
        <v>312</v>
      </c>
      <c r="AY2" s="2" t="s">
        <v>313</v>
      </c>
      <c r="AZ2" t="s">
        <v>314</v>
      </c>
      <c r="BA2" t="s">
        <v>315</v>
      </c>
      <c r="BB2" t="s">
        <v>316</v>
      </c>
      <c r="BC2" t="s">
        <v>317</v>
      </c>
      <c r="BD2">
        <v>550700</v>
      </c>
      <c r="BE2" t="s">
        <v>397</v>
      </c>
      <c r="BF2" t="s">
        <v>318</v>
      </c>
      <c r="BG2" t="b">
        <v>0</v>
      </c>
      <c r="BH2" s="6" t="s">
        <v>225</v>
      </c>
      <c r="BI2" t="s">
        <v>198</v>
      </c>
      <c r="BJ2">
        <v>4453163191</v>
      </c>
      <c r="BK2" t="s">
        <v>162</v>
      </c>
      <c r="BL2" t="s">
        <v>161</v>
      </c>
      <c r="BM2" s="2"/>
      <c r="BR2" t="s">
        <v>199</v>
      </c>
      <c r="BS2" t="s">
        <v>103</v>
      </c>
      <c r="BU2">
        <v>0</v>
      </c>
      <c r="BV2">
        <v>0</v>
      </c>
      <c r="BW2">
        <v>0</v>
      </c>
      <c r="BX2">
        <v>0</v>
      </c>
      <c r="BY2">
        <v>0</v>
      </c>
      <c r="BZ2">
        <v>0</v>
      </c>
      <c r="CA2">
        <v>0</v>
      </c>
      <c r="CF2" s="2"/>
      <c r="CH2" s="2"/>
      <c r="CJ2" t="s">
        <v>378</v>
      </c>
      <c r="CK2" t="s">
        <v>165</v>
      </c>
      <c r="CL2">
        <v>43710.386203703703</v>
      </c>
      <c r="CO2" t="s">
        <v>11</v>
      </c>
      <c r="CP2">
        <v>0</v>
      </c>
      <c r="CQ2" t="s">
        <v>11</v>
      </c>
      <c r="CR2">
        <v>0</v>
      </c>
      <c r="CV2" t="s">
        <v>190</v>
      </c>
      <c r="CW2" t="s">
        <v>12</v>
      </c>
      <c r="CX2" t="s">
        <v>12</v>
      </c>
      <c r="CY2" t="s">
        <v>12</v>
      </c>
      <c r="DA2" t="s">
        <v>104</v>
      </c>
      <c r="DD2" t="s">
        <v>93</v>
      </c>
      <c r="DQ2" t="s">
        <v>94</v>
      </c>
      <c r="DR2" t="s">
        <v>94</v>
      </c>
      <c r="DS2" t="s">
        <v>94</v>
      </c>
      <c r="DT2" t="s">
        <v>94</v>
      </c>
      <c r="DU2" t="s">
        <v>94</v>
      </c>
      <c r="DV2" t="s">
        <v>94</v>
      </c>
      <c r="DW2" t="s">
        <v>94</v>
      </c>
      <c r="DX2" s="2" t="s">
        <v>94</v>
      </c>
      <c r="DY2" t="s">
        <v>94</v>
      </c>
      <c r="DZ2" t="s">
        <v>94</v>
      </c>
      <c r="EA2" t="s">
        <v>94</v>
      </c>
      <c r="EB2" t="s">
        <v>94</v>
      </c>
      <c r="EC2" t="s">
        <v>94</v>
      </c>
      <c r="ED2" t="s">
        <v>94</v>
      </c>
      <c r="EE2" t="s">
        <v>89</v>
      </c>
      <c r="EF2" t="s">
        <v>94</v>
      </c>
      <c r="EG2" t="s">
        <v>226</v>
      </c>
      <c r="EJ2" t="s">
        <v>166</v>
      </c>
      <c r="EK2" t="b">
        <v>0</v>
      </c>
      <c r="EL2" t="b">
        <v>0</v>
      </c>
      <c r="EM2" t="b">
        <v>0</v>
      </c>
      <c r="EO2" t="s">
        <v>177</v>
      </c>
      <c r="EP2" t="s">
        <v>402</v>
      </c>
    </row>
    <row r="3" spans="3:147">
      <c r="C3" s="4" t="s">
        <v>401</v>
      </c>
      <c r="D3" s="4"/>
      <c r="E3" s="4">
        <v>1</v>
      </c>
      <c r="F3" s="4">
        <v>0.1</v>
      </c>
      <c r="G3" s="5" t="s">
        <v>374</v>
      </c>
      <c r="H3" s="4" t="s">
        <v>203</v>
      </c>
      <c r="I3" s="4" t="s">
        <v>164</v>
      </c>
      <c r="J3" s="5"/>
      <c r="K3" s="22" t="s">
        <v>398</v>
      </c>
      <c r="L3" s="22">
        <v>1100271750292</v>
      </c>
      <c r="M3" s="23" t="s">
        <v>164</v>
      </c>
      <c r="N3" s="23">
        <v>43710</v>
      </c>
      <c r="O3" s="24" t="s">
        <v>102</v>
      </c>
      <c r="P3" s="24" t="s">
        <v>195</v>
      </c>
      <c r="Q3" s="24">
        <v>1</v>
      </c>
      <c r="R3" s="24">
        <v>0.1</v>
      </c>
      <c r="S3" t="s">
        <v>196</v>
      </c>
      <c r="T3" t="s">
        <v>376</v>
      </c>
      <c r="U3" s="2" t="s">
        <v>163</v>
      </c>
      <c r="V3">
        <v>43710.582650462966</v>
      </c>
      <c r="W3" s="2" t="s">
        <v>207</v>
      </c>
      <c r="X3">
        <v>43710.582858796297</v>
      </c>
      <c r="AB3" t="s">
        <v>9</v>
      </c>
      <c r="AC3" t="s">
        <v>288</v>
      </c>
      <c r="AD3" t="s">
        <v>209</v>
      </c>
      <c r="AE3">
        <v>3000945</v>
      </c>
      <c r="AF3">
        <v>3000945</v>
      </c>
      <c r="AG3" t="s">
        <v>183</v>
      </c>
      <c r="AH3" t="s">
        <v>289</v>
      </c>
      <c r="AI3" t="s">
        <v>289</v>
      </c>
      <c r="AJ3" t="s">
        <v>211</v>
      </c>
      <c r="AK3" t="s">
        <v>212</v>
      </c>
      <c r="AL3" t="s">
        <v>290</v>
      </c>
      <c r="AM3" t="s">
        <v>291</v>
      </c>
      <c r="AO3" t="s">
        <v>292</v>
      </c>
      <c r="AP3" t="s">
        <v>293</v>
      </c>
      <c r="AQ3" t="s">
        <v>294</v>
      </c>
      <c r="AR3">
        <v>244001</v>
      </c>
      <c r="AS3">
        <v>5916531457</v>
      </c>
      <c r="AT3" t="s">
        <v>205</v>
      </c>
      <c r="AU3" t="s">
        <v>10</v>
      </c>
      <c r="AV3" t="s">
        <v>295</v>
      </c>
      <c r="AW3" t="s">
        <v>295</v>
      </c>
      <c r="AX3" t="s">
        <v>296</v>
      </c>
      <c r="AY3" t="s">
        <v>297</v>
      </c>
      <c r="AZ3" t="s">
        <v>298</v>
      </c>
      <c r="BA3" t="s">
        <v>299</v>
      </c>
      <c r="BB3" t="s">
        <v>300</v>
      </c>
      <c r="BC3" t="s">
        <v>188</v>
      </c>
      <c r="BD3">
        <v>511430</v>
      </c>
      <c r="BE3" t="s">
        <v>399</v>
      </c>
      <c r="BF3" t="s">
        <v>301</v>
      </c>
      <c r="BG3" t="b">
        <v>0</v>
      </c>
      <c r="BH3" s="6" t="s">
        <v>204</v>
      </c>
      <c r="BI3" t="s">
        <v>198</v>
      </c>
      <c r="BJ3">
        <v>4453163191</v>
      </c>
      <c r="BK3" t="s">
        <v>162</v>
      </c>
      <c r="BL3" t="s">
        <v>161</v>
      </c>
      <c r="BM3" s="2"/>
      <c r="BR3" t="s">
        <v>199</v>
      </c>
      <c r="BS3" t="s">
        <v>103</v>
      </c>
      <c r="BU3">
        <v>0</v>
      </c>
      <c r="BV3">
        <v>0</v>
      </c>
      <c r="BW3">
        <v>0</v>
      </c>
      <c r="BX3">
        <v>0</v>
      </c>
      <c r="BY3">
        <v>0</v>
      </c>
      <c r="BZ3">
        <v>0</v>
      </c>
      <c r="CA3">
        <v>0</v>
      </c>
      <c r="CF3" s="2"/>
      <c r="CH3" s="2"/>
      <c r="CJ3" t="s">
        <v>378</v>
      </c>
      <c r="CK3" t="s">
        <v>165</v>
      </c>
      <c r="CL3">
        <v>43710.386157407411</v>
      </c>
      <c r="CO3" t="s">
        <v>11</v>
      </c>
      <c r="CP3">
        <v>0</v>
      </c>
      <c r="CQ3" t="s">
        <v>11</v>
      </c>
      <c r="CR3">
        <v>0</v>
      </c>
      <c r="CV3" t="s">
        <v>190</v>
      </c>
      <c r="CW3" t="s">
        <v>12</v>
      </c>
      <c r="CX3" t="s">
        <v>12</v>
      </c>
      <c r="CY3" t="s">
        <v>12</v>
      </c>
      <c r="DA3" t="s">
        <v>104</v>
      </c>
      <c r="DD3" t="s">
        <v>93</v>
      </c>
      <c r="DQ3" t="s">
        <v>94</v>
      </c>
      <c r="DR3" t="s">
        <v>94</v>
      </c>
      <c r="DS3" t="s">
        <v>94</v>
      </c>
      <c r="DT3" t="s">
        <v>94</v>
      </c>
      <c r="DU3" t="s">
        <v>94</v>
      </c>
      <c r="DV3" t="s">
        <v>94</v>
      </c>
      <c r="DW3" t="s">
        <v>94</v>
      </c>
      <c r="DX3" s="2" t="s">
        <v>94</v>
      </c>
      <c r="DY3" t="s">
        <v>94</v>
      </c>
      <c r="DZ3" t="s">
        <v>94</v>
      </c>
      <c r="EA3" t="s">
        <v>94</v>
      </c>
      <c r="EB3" t="s">
        <v>94</v>
      </c>
      <c r="EC3" t="s">
        <v>94</v>
      </c>
      <c r="ED3" t="s">
        <v>94</v>
      </c>
      <c r="EE3" t="s">
        <v>89</v>
      </c>
      <c r="EF3" t="s">
        <v>94</v>
      </c>
      <c r="EG3" t="s">
        <v>226</v>
      </c>
      <c r="EJ3" t="s">
        <v>166</v>
      </c>
      <c r="EK3" t="b">
        <v>0</v>
      </c>
      <c r="EL3" t="b">
        <v>0</v>
      </c>
      <c r="EM3" t="b">
        <v>0</v>
      </c>
      <c r="EO3" t="s">
        <v>177</v>
      </c>
      <c r="EP3" t="s">
        <v>402</v>
      </c>
    </row>
    <row r="4" spans="3:147">
      <c r="C4" s="4" t="s">
        <v>401</v>
      </c>
      <c r="D4" s="5"/>
      <c r="E4" s="5">
        <v>1</v>
      </c>
      <c r="F4" s="4">
        <v>1.18</v>
      </c>
      <c r="G4" s="5" t="s">
        <v>374</v>
      </c>
      <c r="H4" s="4" t="s">
        <v>403</v>
      </c>
      <c r="I4" s="4" t="s">
        <v>164</v>
      </c>
      <c r="J4" s="4"/>
      <c r="K4" s="22" t="s">
        <v>353</v>
      </c>
      <c r="L4" s="22">
        <v>1100271750292</v>
      </c>
      <c r="M4" s="23" t="s">
        <v>164</v>
      </c>
      <c r="N4" s="23">
        <v>43710</v>
      </c>
      <c r="O4" s="24" t="s">
        <v>102</v>
      </c>
      <c r="P4" s="24" t="s">
        <v>179</v>
      </c>
      <c r="Q4" s="24">
        <v>1</v>
      </c>
      <c r="R4" s="24">
        <v>1.18</v>
      </c>
      <c r="S4" t="s">
        <v>319</v>
      </c>
      <c r="T4" t="s">
        <v>393</v>
      </c>
      <c r="U4" s="2" t="s">
        <v>163</v>
      </c>
      <c r="V4">
        <v>43710.582650462966</v>
      </c>
      <c r="W4" s="2" t="s">
        <v>207</v>
      </c>
      <c r="X4">
        <v>43710.58284722222</v>
      </c>
      <c r="AB4" t="s">
        <v>9</v>
      </c>
      <c r="AC4" t="s">
        <v>354</v>
      </c>
      <c r="AD4" t="s">
        <v>182</v>
      </c>
      <c r="AE4">
        <v>38568</v>
      </c>
      <c r="AF4">
        <v>38568</v>
      </c>
      <c r="AG4" t="s">
        <v>183</v>
      </c>
      <c r="AH4" t="s">
        <v>355</v>
      </c>
      <c r="AI4" t="s">
        <v>355</v>
      </c>
      <c r="AJ4" t="s">
        <v>356</v>
      </c>
      <c r="AK4" t="s">
        <v>357</v>
      </c>
      <c r="AL4" t="s">
        <v>358</v>
      </c>
      <c r="AM4" t="s">
        <v>359</v>
      </c>
      <c r="AO4" t="s">
        <v>360</v>
      </c>
      <c r="AP4" t="s">
        <v>361</v>
      </c>
      <c r="AQ4" t="s">
        <v>362</v>
      </c>
      <c r="AR4">
        <v>7114001</v>
      </c>
      <c r="AS4">
        <v>508494928</v>
      </c>
      <c r="AT4" t="s">
        <v>363</v>
      </c>
      <c r="AU4" t="s">
        <v>10</v>
      </c>
      <c r="AV4" t="s">
        <v>364</v>
      </c>
      <c r="AW4" t="s">
        <v>364</v>
      </c>
      <c r="AX4" t="s">
        <v>365</v>
      </c>
      <c r="BA4" t="s">
        <v>194</v>
      </c>
      <c r="BB4" t="s">
        <v>187</v>
      </c>
      <c r="BC4" t="s">
        <v>188</v>
      </c>
      <c r="BD4">
        <v>518116</v>
      </c>
      <c r="BE4" t="s">
        <v>404</v>
      </c>
      <c r="BF4" t="s">
        <v>366</v>
      </c>
      <c r="BG4" t="b">
        <v>0</v>
      </c>
      <c r="BH4" s="6" t="s">
        <v>367</v>
      </c>
      <c r="BI4" t="s">
        <v>368</v>
      </c>
      <c r="BJ4">
        <v>4453163191</v>
      </c>
      <c r="BK4" t="s">
        <v>162</v>
      </c>
      <c r="BL4" t="s">
        <v>161</v>
      </c>
      <c r="BM4" s="2"/>
      <c r="BO4" t="s">
        <v>89</v>
      </c>
      <c r="BP4" t="s">
        <v>405</v>
      </c>
      <c r="BR4" t="s">
        <v>180</v>
      </c>
      <c r="BS4" t="s">
        <v>103</v>
      </c>
      <c r="BU4">
        <v>0</v>
      </c>
      <c r="BV4">
        <v>0</v>
      </c>
      <c r="BW4">
        <v>0</v>
      </c>
      <c r="BX4">
        <v>0</v>
      </c>
      <c r="BY4">
        <v>0</v>
      </c>
      <c r="BZ4">
        <v>0</v>
      </c>
      <c r="CA4">
        <v>0</v>
      </c>
      <c r="CF4" s="2"/>
      <c r="CH4" s="2"/>
      <c r="CJ4" t="s">
        <v>375</v>
      </c>
      <c r="CK4" t="s">
        <v>165</v>
      </c>
      <c r="CL4">
        <v>43710.386087962965</v>
      </c>
      <c r="CO4" t="s">
        <v>11</v>
      </c>
      <c r="CP4">
        <v>140.62</v>
      </c>
      <c r="CQ4" t="s">
        <v>11</v>
      </c>
      <c r="CR4">
        <v>140.62</v>
      </c>
      <c r="CV4" t="s">
        <v>190</v>
      </c>
      <c r="CW4" t="s">
        <v>12</v>
      </c>
      <c r="CX4" t="s">
        <v>12</v>
      </c>
      <c r="CY4" t="s">
        <v>12</v>
      </c>
      <c r="DA4" t="s">
        <v>104</v>
      </c>
      <c r="DD4" t="s">
        <v>93</v>
      </c>
      <c r="DQ4" t="s">
        <v>94</v>
      </c>
      <c r="DR4" t="s">
        <v>94</v>
      </c>
      <c r="DS4" t="s">
        <v>94</v>
      </c>
      <c r="DT4" t="s">
        <v>94</v>
      </c>
      <c r="DU4" t="s">
        <v>94</v>
      </c>
      <c r="DV4" t="s">
        <v>94</v>
      </c>
      <c r="DW4" t="s">
        <v>94</v>
      </c>
      <c r="DX4" s="2" t="s">
        <v>94</v>
      </c>
      <c r="DY4" t="s">
        <v>94</v>
      </c>
      <c r="DZ4" t="s">
        <v>94</v>
      </c>
      <c r="EA4" t="s">
        <v>94</v>
      </c>
      <c r="EB4" t="s">
        <v>94</v>
      </c>
      <c r="EC4" t="s">
        <v>94</v>
      </c>
      <c r="ED4" t="s">
        <v>94</v>
      </c>
      <c r="EE4" t="s">
        <v>89</v>
      </c>
      <c r="EF4" t="s">
        <v>94</v>
      </c>
      <c r="EG4" t="s">
        <v>105</v>
      </c>
      <c r="EJ4" t="s">
        <v>166</v>
      </c>
      <c r="EK4" t="b">
        <v>0</v>
      </c>
      <c r="EL4" t="b">
        <v>0</v>
      </c>
      <c r="EM4" t="b">
        <v>0</v>
      </c>
      <c r="EO4" t="s">
        <v>177</v>
      </c>
      <c r="EP4" t="s">
        <v>402</v>
      </c>
    </row>
    <row r="5" spans="3:147">
      <c r="C5" s="4" t="s">
        <v>401</v>
      </c>
      <c r="D5" s="5"/>
      <c r="E5" s="4">
        <v>1</v>
      </c>
      <c r="F5" s="4">
        <v>0.12</v>
      </c>
      <c r="G5" s="5" t="s">
        <v>374</v>
      </c>
      <c r="H5" s="4" t="s">
        <v>203</v>
      </c>
      <c r="I5" s="4" t="s">
        <v>164</v>
      </c>
      <c r="J5" s="4"/>
      <c r="K5" s="22" t="s">
        <v>274</v>
      </c>
      <c r="L5" s="22">
        <v>1100271750292</v>
      </c>
      <c r="M5" s="23" t="s">
        <v>164</v>
      </c>
      <c r="N5" s="23">
        <v>43710</v>
      </c>
      <c r="O5" s="24" t="s">
        <v>102</v>
      </c>
      <c r="P5" s="24" t="s">
        <v>195</v>
      </c>
      <c r="Q5" s="24">
        <v>1</v>
      </c>
      <c r="R5" s="24">
        <v>0.12</v>
      </c>
      <c r="S5" t="s">
        <v>196</v>
      </c>
      <c r="T5" t="s">
        <v>376</v>
      </c>
      <c r="U5" s="2" t="s">
        <v>163</v>
      </c>
      <c r="V5">
        <v>43710.582662037035</v>
      </c>
      <c r="W5" s="2" t="s">
        <v>207</v>
      </c>
      <c r="X5">
        <v>43710.582870370374</v>
      </c>
      <c r="AB5" t="s">
        <v>9</v>
      </c>
      <c r="AC5" t="s">
        <v>257</v>
      </c>
      <c r="AD5" t="s">
        <v>275</v>
      </c>
      <c r="AE5">
        <v>23794</v>
      </c>
      <c r="AF5">
        <v>23794</v>
      </c>
      <c r="AG5" t="s">
        <v>183</v>
      </c>
      <c r="AH5" t="s">
        <v>276</v>
      </c>
      <c r="AI5" t="s">
        <v>276</v>
      </c>
      <c r="AJ5" t="s">
        <v>259</v>
      </c>
      <c r="AK5" t="s">
        <v>260</v>
      </c>
      <c r="AL5" t="s">
        <v>277</v>
      </c>
      <c r="AM5" t="s">
        <v>278</v>
      </c>
      <c r="AO5" t="s">
        <v>279</v>
      </c>
      <c r="AP5" t="s">
        <v>265</v>
      </c>
      <c r="AQ5" t="s">
        <v>280</v>
      </c>
      <c r="AR5">
        <v>10650</v>
      </c>
      <c r="AS5">
        <v>902258128</v>
      </c>
      <c r="AT5" t="s">
        <v>281</v>
      </c>
      <c r="AU5" t="s">
        <v>10</v>
      </c>
      <c r="AV5" t="s">
        <v>282</v>
      </c>
      <c r="AW5" t="s">
        <v>282</v>
      </c>
      <c r="AX5" t="s">
        <v>283</v>
      </c>
      <c r="AY5" t="s">
        <v>284</v>
      </c>
      <c r="BA5" t="s">
        <v>285</v>
      </c>
      <c r="BB5" t="s">
        <v>286</v>
      </c>
      <c r="BC5" t="s">
        <v>287</v>
      </c>
      <c r="BD5">
        <v>610041</v>
      </c>
      <c r="BE5" t="s">
        <v>400</v>
      </c>
      <c r="BF5" t="s">
        <v>282</v>
      </c>
      <c r="BG5" t="b">
        <v>0</v>
      </c>
      <c r="BH5" s="6" t="s">
        <v>204</v>
      </c>
      <c r="BI5" t="s">
        <v>198</v>
      </c>
      <c r="BJ5">
        <v>4453163191</v>
      </c>
      <c r="BK5" t="s">
        <v>162</v>
      </c>
      <c r="BL5" t="s">
        <v>161</v>
      </c>
      <c r="BM5" s="2"/>
      <c r="BR5" t="s">
        <v>199</v>
      </c>
      <c r="BS5" t="s">
        <v>103</v>
      </c>
      <c r="BU5">
        <v>0</v>
      </c>
      <c r="BV5">
        <v>0</v>
      </c>
      <c r="BW5">
        <v>0</v>
      </c>
      <c r="BX5">
        <v>0</v>
      </c>
      <c r="BY5">
        <v>0</v>
      </c>
      <c r="BZ5">
        <v>0</v>
      </c>
      <c r="CA5">
        <v>0</v>
      </c>
      <c r="CF5" s="2"/>
      <c r="CH5" s="2"/>
      <c r="CJ5" t="s">
        <v>378</v>
      </c>
      <c r="CK5" t="s">
        <v>165</v>
      </c>
      <c r="CL5">
        <v>43710.386076388888</v>
      </c>
      <c r="CO5" t="s">
        <v>11</v>
      </c>
      <c r="CP5">
        <v>0</v>
      </c>
      <c r="CQ5" t="s">
        <v>11</v>
      </c>
      <c r="CR5">
        <v>0</v>
      </c>
      <c r="CV5" t="s">
        <v>190</v>
      </c>
      <c r="CW5" t="s">
        <v>12</v>
      </c>
      <c r="CX5" t="s">
        <v>12</v>
      </c>
      <c r="CY5" t="s">
        <v>12</v>
      </c>
      <c r="DA5" t="s">
        <v>104</v>
      </c>
      <c r="DD5" t="s">
        <v>93</v>
      </c>
      <c r="DQ5" t="s">
        <v>94</v>
      </c>
      <c r="DR5" t="s">
        <v>94</v>
      </c>
      <c r="DS5" t="s">
        <v>94</v>
      </c>
      <c r="DT5" t="s">
        <v>94</v>
      </c>
      <c r="DU5" t="s">
        <v>94</v>
      </c>
      <c r="DV5" t="s">
        <v>94</v>
      </c>
      <c r="DW5" t="s">
        <v>94</v>
      </c>
      <c r="DX5" s="2" t="s">
        <v>94</v>
      </c>
      <c r="DY5" t="s">
        <v>94</v>
      </c>
      <c r="DZ5" t="s">
        <v>94</v>
      </c>
      <c r="EA5" t="s">
        <v>94</v>
      </c>
      <c r="EB5" t="s">
        <v>94</v>
      </c>
      <c r="EC5" t="s">
        <v>94</v>
      </c>
      <c r="ED5" t="s">
        <v>94</v>
      </c>
      <c r="EE5" t="s">
        <v>89</v>
      </c>
      <c r="EF5" t="s">
        <v>94</v>
      </c>
      <c r="EG5" t="s">
        <v>226</v>
      </c>
      <c r="EJ5" t="s">
        <v>166</v>
      </c>
      <c r="EK5" t="b">
        <v>0</v>
      </c>
      <c r="EL5" t="b">
        <v>0</v>
      </c>
      <c r="EM5" t="b">
        <v>0</v>
      </c>
      <c r="EO5" t="s">
        <v>177</v>
      </c>
      <c r="EP5" t="s">
        <v>402</v>
      </c>
    </row>
    <row r="6" spans="3:147">
      <c r="C6" s="4" t="s">
        <v>401</v>
      </c>
      <c r="D6" s="5"/>
      <c r="E6" s="4">
        <v>1</v>
      </c>
      <c r="F6" s="4">
        <v>0.12</v>
      </c>
      <c r="G6" s="5" t="s">
        <v>374</v>
      </c>
      <c r="H6" s="5" t="s">
        <v>387</v>
      </c>
      <c r="I6" s="4" t="s">
        <v>164</v>
      </c>
      <c r="J6" s="4"/>
      <c r="K6" s="22" t="s">
        <v>388</v>
      </c>
      <c r="L6" s="22">
        <v>1100271750292</v>
      </c>
      <c r="M6" s="23" t="s">
        <v>164</v>
      </c>
      <c r="N6" s="23">
        <v>43710</v>
      </c>
      <c r="O6" s="24" t="s">
        <v>102</v>
      </c>
      <c r="P6" s="24" t="s">
        <v>179</v>
      </c>
      <c r="Q6" s="24">
        <v>1</v>
      </c>
      <c r="R6" s="24">
        <v>0.12</v>
      </c>
      <c r="S6" t="s">
        <v>319</v>
      </c>
      <c r="T6" t="s">
        <v>389</v>
      </c>
      <c r="U6" t="s">
        <v>163</v>
      </c>
      <c r="V6">
        <v>43710.582650462966</v>
      </c>
      <c r="W6" t="s">
        <v>207</v>
      </c>
      <c r="X6">
        <v>43710.58284722222</v>
      </c>
      <c r="AB6" t="s">
        <v>9</v>
      </c>
      <c r="AC6" t="s">
        <v>336</v>
      </c>
      <c r="AD6" t="s">
        <v>182</v>
      </c>
      <c r="AE6">
        <v>129559</v>
      </c>
      <c r="AF6">
        <v>129559</v>
      </c>
      <c r="AG6" t="s">
        <v>183</v>
      </c>
      <c r="AH6" t="s">
        <v>337</v>
      </c>
      <c r="AI6" t="s">
        <v>337</v>
      </c>
      <c r="AJ6" t="s">
        <v>338</v>
      </c>
      <c r="AK6" t="s">
        <v>339</v>
      </c>
      <c r="AL6" t="s">
        <v>340</v>
      </c>
      <c r="AM6" t="s">
        <v>341</v>
      </c>
      <c r="AO6" t="s">
        <v>342</v>
      </c>
      <c r="AP6" t="s">
        <v>343</v>
      </c>
      <c r="AR6">
        <v>60188</v>
      </c>
      <c r="AS6">
        <v>317499500</v>
      </c>
      <c r="AT6" t="s">
        <v>344</v>
      </c>
      <c r="AU6" t="s">
        <v>10</v>
      </c>
      <c r="AV6" t="s">
        <v>345</v>
      </c>
      <c r="AW6" t="s">
        <v>345</v>
      </c>
      <c r="AX6" t="s">
        <v>346</v>
      </c>
      <c r="AY6" t="s">
        <v>347</v>
      </c>
      <c r="AZ6" t="s">
        <v>348</v>
      </c>
      <c r="BA6" t="s">
        <v>186</v>
      </c>
      <c r="BB6" t="s">
        <v>187</v>
      </c>
      <c r="BC6" t="s">
        <v>188</v>
      </c>
      <c r="BD6">
        <v>518125</v>
      </c>
      <c r="BE6" t="s">
        <v>349</v>
      </c>
      <c r="BF6" t="s">
        <v>350</v>
      </c>
      <c r="BG6" t="b">
        <v>0</v>
      </c>
      <c r="BH6" s="6" t="s">
        <v>351</v>
      </c>
      <c r="BI6" t="s">
        <v>352</v>
      </c>
      <c r="BJ6">
        <v>4453163191</v>
      </c>
      <c r="BK6" t="s">
        <v>162</v>
      </c>
      <c r="BL6" t="s">
        <v>161</v>
      </c>
      <c r="BM6" s="2"/>
      <c r="BO6" t="s">
        <v>89</v>
      </c>
      <c r="BP6" t="s">
        <v>390</v>
      </c>
      <c r="BR6" t="s">
        <v>180</v>
      </c>
      <c r="BS6" t="s">
        <v>103</v>
      </c>
      <c r="BU6">
        <v>0</v>
      </c>
      <c r="BV6">
        <v>0</v>
      </c>
      <c r="BW6">
        <v>0</v>
      </c>
      <c r="BX6">
        <v>0</v>
      </c>
      <c r="BY6">
        <v>0</v>
      </c>
      <c r="BZ6">
        <v>0</v>
      </c>
      <c r="CA6">
        <v>0</v>
      </c>
      <c r="CJ6" t="s">
        <v>375</v>
      </c>
      <c r="CK6" t="s">
        <v>165</v>
      </c>
      <c r="CL6">
        <v>43710.386064814818</v>
      </c>
      <c r="CO6" t="s">
        <v>11</v>
      </c>
      <c r="CP6">
        <v>168.75</v>
      </c>
      <c r="CQ6" t="s">
        <v>11</v>
      </c>
      <c r="CR6">
        <v>168.75</v>
      </c>
      <c r="CV6" t="s">
        <v>190</v>
      </c>
      <c r="CW6" t="s">
        <v>12</v>
      </c>
      <c r="CX6" t="s">
        <v>12</v>
      </c>
      <c r="CY6" t="s">
        <v>12</v>
      </c>
      <c r="DA6" t="s">
        <v>104</v>
      </c>
      <c r="DD6" t="s">
        <v>93</v>
      </c>
      <c r="DQ6" t="s">
        <v>94</v>
      </c>
      <c r="DR6" t="s">
        <v>94</v>
      </c>
      <c r="DS6" t="s">
        <v>94</v>
      </c>
      <c r="DT6" t="s">
        <v>94</v>
      </c>
      <c r="DU6" t="s">
        <v>94</v>
      </c>
      <c r="DV6" t="s">
        <v>94</v>
      </c>
      <c r="DW6" t="s">
        <v>94</v>
      </c>
      <c r="DX6" s="2" t="s">
        <v>94</v>
      </c>
      <c r="DY6" t="s">
        <v>94</v>
      </c>
      <c r="DZ6" t="s">
        <v>94</v>
      </c>
      <c r="EA6" t="s">
        <v>94</v>
      </c>
      <c r="EB6" t="s">
        <v>94</v>
      </c>
      <c r="EC6" t="s">
        <v>94</v>
      </c>
      <c r="ED6" t="s">
        <v>94</v>
      </c>
      <c r="EE6" t="s">
        <v>89</v>
      </c>
      <c r="EF6" t="s">
        <v>94</v>
      </c>
      <c r="EG6" t="s">
        <v>105</v>
      </c>
      <c r="EJ6" t="s">
        <v>166</v>
      </c>
      <c r="EK6" t="b">
        <v>0</v>
      </c>
      <c r="EL6" t="b">
        <v>0</v>
      </c>
      <c r="EM6" t="b">
        <v>0</v>
      </c>
      <c r="EO6" t="s">
        <v>177</v>
      </c>
      <c r="EP6" t="s">
        <v>402</v>
      </c>
    </row>
    <row r="7" spans="3:147">
      <c r="C7" s="4" t="s">
        <v>401</v>
      </c>
      <c r="D7" s="5"/>
      <c r="E7" s="4">
        <v>1</v>
      </c>
      <c r="F7" s="4">
        <v>0.04</v>
      </c>
      <c r="G7" s="5" t="s">
        <v>374</v>
      </c>
      <c r="H7" s="4" t="s">
        <v>203</v>
      </c>
      <c r="I7" s="4" t="s">
        <v>164</v>
      </c>
      <c r="J7" s="4"/>
      <c r="K7" s="22" t="s">
        <v>384</v>
      </c>
      <c r="L7" s="22">
        <v>1100271750292</v>
      </c>
      <c r="M7" s="23" t="s">
        <v>164</v>
      </c>
      <c r="N7" s="23">
        <v>43710</v>
      </c>
      <c r="O7" s="24" t="s">
        <v>102</v>
      </c>
      <c r="P7" s="24" t="s">
        <v>195</v>
      </c>
      <c r="Q7" s="24">
        <v>1</v>
      </c>
      <c r="R7" s="24">
        <v>0.04</v>
      </c>
      <c r="S7" t="s">
        <v>196</v>
      </c>
      <c r="T7" t="s">
        <v>376</v>
      </c>
      <c r="U7" t="s">
        <v>163</v>
      </c>
      <c r="V7">
        <v>43710.582662037035</v>
      </c>
      <c r="W7" t="s">
        <v>197</v>
      </c>
      <c r="X7">
        <v>43710.582835648151</v>
      </c>
      <c r="AB7" t="s">
        <v>9</v>
      </c>
      <c r="AC7" t="s">
        <v>257</v>
      </c>
      <c r="AD7" t="s">
        <v>182</v>
      </c>
      <c r="AE7">
        <v>25431</v>
      </c>
      <c r="AF7">
        <v>25431</v>
      </c>
      <c r="AG7" t="s">
        <v>183</v>
      </c>
      <c r="AH7" t="s">
        <v>258</v>
      </c>
      <c r="AI7" t="s">
        <v>258</v>
      </c>
      <c r="AJ7" t="s">
        <v>259</v>
      </c>
      <c r="AK7" t="s">
        <v>260</v>
      </c>
      <c r="AL7" t="s">
        <v>261</v>
      </c>
      <c r="AM7" t="s">
        <v>262</v>
      </c>
      <c r="AN7" t="s">
        <v>263</v>
      </c>
      <c r="AO7" t="s">
        <v>264</v>
      </c>
      <c r="AP7" t="s">
        <v>265</v>
      </c>
      <c r="AQ7" t="s">
        <v>266</v>
      </c>
      <c r="AR7">
        <v>18300</v>
      </c>
      <c r="AS7">
        <v>8497463566</v>
      </c>
      <c r="AT7" t="s">
        <v>267</v>
      </c>
      <c r="AU7" t="s">
        <v>10</v>
      </c>
      <c r="AV7" t="s">
        <v>268</v>
      </c>
      <c r="AW7" t="s">
        <v>268</v>
      </c>
      <c r="AX7" t="s">
        <v>269</v>
      </c>
      <c r="AY7" t="s">
        <v>270</v>
      </c>
      <c r="AZ7" t="s">
        <v>193</v>
      </c>
      <c r="BA7" t="s">
        <v>271</v>
      </c>
      <c r="BB7" t="s">
        <v>272</v>
      </c>
      <c r="BC7" t="s">
        <v>188</v>
      </c>
      <c r="BD7">
        <v>518050</v>
      </c>
      <c r="BE7" t="s">
        <v>385</v>
      </c>
      <c r="BF7" t="s">
        <v>273</v>
      </c>
      <c r="BG7" t="b">
        <v>0</v>
      </c>
      <c r="BH7" s="6" t="s">
        <v>225</v>
      </c>
      <c r="BI7" t="s">
        <v>198</v>
      </c>
      <c r="BJ7">
        <v>4453163191</v>
      </c>
      <c r="BK7" t="s">
        <v>162</v>
      </c>
      <c r="BL7" t="s">
        <v>161</v>
      </c>
      <c r="BM7" s="2"/>
      <c r="BR7" t="s">
        <v>199</v>
      </c>
      <c r="BS7" t="s">
        <v>103</v>
      </c>
      <c r="BU7">
        <v>0</v>
      </c>
      <c r="BV7">
        <v>0</v>
      </c>
      <c r="BW7">
        <v>0</v>
      </c>
      <c r="BX7">
        <v>0</v>
      </c>
      <c r="BY7">
        <v>0</v>
      </c>
      <c r="BZ7">
        <v>0</v>
      </c>
      <c r="CA7">
        <v>0</v>
      </c>
      <c r="CJ7" t="s">
        <v>378</v>
      </c>
      <c r="CK7" t="s">
        <v>165</v>
      </c>
      <c r="CL7">
        <v>43710.386064814818</v>
      </c>
      <c r="CO7" t="s">
        <v>11</v>
      </c>
      <c r="CP7">
        <v>0</v>
      </c>
      <c r="CQ7" t="s">
        <v>11</v>
      </c>
      <c r="CR7">
        <v>0</v>
      </c>
      <c r="CV7" t="s">
        <v>190</v>
      </c>
      <c r="CW7" t="s">
        <v>12</v>
      </c>
      <c r="CX7" t="s">
        <v>12</v>
      </c>
      <c r="CY7" t="s">
        <v>12</v>
      </c>
      <c r="DA7" t="s">
        <v>104</v>
      </c>
      <c r="DD7" t="s">
        <v>93</v>
      </c>
      <c r="DQ7" t="s">
        <v>94</v>
      </c>
      <c r="DR7" t="s">
        <v>94</v>
      </c>
      <c r="DS7" t="s">
        <v>94</v>
      </c>
      <c r="DT7" t="s">
        <v>94</v>
      </c>
      <c r="DU7" t="s">
        <v>94</v>
      </c>
      <c r="DV7" t="s">
        <v>94</v>
      </c>
      <c r="DW7" t="s">
        <v>94</v>
      </c>
      <c r="DX7" s="2" t="s">
        <v>94</v>
      </c>
      <c r="DY7" t="s">
        <v>94</v>
      </c>
      <c r="DZ7" t="s">
        <v>94</v>
      </c>
      <c r="EA7" t="s">
        <v>94</v>
      </c>
      <c r="EB7" t="s">
        <v>94</v>
      </c>
      <c r="EC7" t="s">
        <v>94</v>
      </c>
      <c r="ED7" t="s">
        <v>94</v>
      </c>
      <c r="EE7" t="s">
        <v>89</v>
      </c>
      <c r="EF7" t="s">
        <v>94</v>
      </c>
      <c r="EG7" t="s">
        <v>226</v>
      </c>
      <c r="EJ7" t="s">
        <v>166</v>
      </c>
      <c r="EK7" t="b">
        <v>0</v>
      </c>
      <c r="EL7" t="b">
        <v>0</v>
      </c>
      <c r="EM7" t="b">
        <v>0</v>
      </c>
      <c r="EO7" t="s">
        <v>177</v>
      </c>
      <c r="EP7" t="s">
        <v>402</v>
      </c>
    </row>
    <row r="8" spans="3:147">
      <c r="C8" s="4" t="s">
        <v>401</v>
      </c>
      <c r="D8" s="5"/>
      <c r="E8" s="4">
        <v>1</v>
      </c>
      <c r="F8" s="4">
        <v>0.04</v>
      </c>
      <c r="G8" s="5" t="s">
        <v>374</v>
      </c>
      <c r="H8" s="4" t="s">
        <v>203</v>
      </c>
      <c r="I8" s="4" t="s">
        <v>164</v>
      </c>
      <c r="J8" s="4"/>
      <c r="K8" s="1" t="s">
        <v>386</v>
      </c>
      <c r="L8" s="1">
        <v>1100271750292</v>
      </c>
      <c r="M8" s="2" t="s">
        <v>164</v>
      </c>
      <c r="N8" s="2">
        <v>43710</v>
      </c>
      <c r="O8" t="s">
        <v>102</v>
      </c>
      <c r="P8" t="s">
        <v>195</v>
      </c>
      <c r="Q8">
        <v>1</v>
      </c>
      <c r="R8">
        <v>0.04</v>
      </c>
      <c r="S8" t="s">
        <v>196</v>
      </c>
      <c r="T8" t="s">
        <v>376</v>
      </c>
      <c r="U8" t="s">
        <v>163</v>
      </c>
      <c r="V8">
        <v>43710.582662037035</v>
      </c>
      <c r="W8" t="s">
        <v>197</v>
      </c>
      <c r="X8">
        <v>43710.582835648151</v>
      </c>
      <c r="AB8" t="s">
        <v>9</v>
      </c>
      <c r="AC8" t="s">
        <v>257</v>
      </c>
      <c r="AD8" t="s">
        <v>182</v>
      </c>
      <c r="AE8">
        <v>25431</v>
      </c>
      <c r="AF8">
        <v>25431</v>
      </c>
      <c r="AG8" t="s">
        <v>183</v>
      </c>
      <c r="AH8" t="s">
        <v>258</v>
      </c>
      <c r="AI8" t="s">
        <v>258</v>
      </c>
      <c r="AJ8" t="s">
        <v>259</v>
      </c>
      <c r="AK8" t="s">
        <v>260</v>
      </c>
      <c r="AL8" t="s">
        <v>261</v>
      </c>
      <c r="AM8" t="s">
        <v>262</v>
      </c>
      <c r="AN8" t="s">
        <v>263</v>
      </c>
      <c r="AO8" t="s">
        <v>264</v>
      </c>
      <c r="AP8" t="s">
        <v>265</v>
      </c>
      <c r="AQ8" t="s">
        <v>266</v>
      </c>
      <c r="AR8">
        <v>18300</v>
      </c>
      <c r="AS8">
        <v>8497463566</v>
      </c>
      <c r="AT8" t="s">
        <v>267</v>
      </c>
      <c r="AU8" t="s">
        <v>10</v>
      </c>
      <c r="AV8" t="s">
        <v>268</v>
      </c>
      <c r="AW8" t="s">
        <v>268</v>
      </c>
      <c r="AX8" t="s">
        <v>269</v>
      </c>
      <c r="AY8" t="s">
        <v>270</v>
      </c>
      <c r="AZ8" t="s">
        <v>193</v>
      </c>
      <c r="BA8" t="s">
        <v>271</v>
      </c>
      <c r="BB8" t="s">
        <v>272</v>
      </c>
      <c r="BC8" t="s">
        <v>188</v>
      </c>
      <c r="BD8">
        <v>518050</v>
      </c>
      <c r="BE8" t="s">
        <v>385</v>
      </c>
      <c r="BF8" t="s">
        <v>273</v>
      </c>
      <c r="BG8" t="b">
        <v>0</v>
      </c>
      <c r="BH8" s="6" t="s">
        <v>204</v>
      </c>
      <c r="BI8" t="s">
        <v>198</v>
      </c>
      <c r="BJ8">
        <v>4453163191</v>
      </c>
      <c r="BK8" t="s">
        <v>162</v>
      </c>
      <c r="BL8" t="s">
        <v>161</v>
      </c>
      <c r="BM8" s="2"/>
      <c r="BR8" t="s">
        <v>199</v>
      </c>
      <c r="BS8" t="s">
        <v>103</v>
      </c>
      <c r="BU8">
        <v>0</v>
      </c>
      <c r="BV8">
        <v>0</v>
      </c>
      <c r="BW8">
        <v>0</v>
      </c>
      <c r="BX8">
        <v>0</v>
      </c>
      <c r="BY8">
        <v>0</v>
      </c>
      <c r="BZ8">
        <v>0</v>
      </c>
      <c r="CA8">
        <v>0</v>
      </c>
      <c r="CJ8" t="s">
        <v>378</v>
      </c>
      <c r="CK8" t="s">
        <v>165</v>
      </c>
      <c r="CL8">
        <v>43710.386053240742</v>
      </c>
      <c r="CO8" t="s">
        <v>11</v>
      </c>
      <c r="CP8">
        <v>0</v>
      </c>
      <c r="CQ8" t="s">
        <v>11</v>
      </c>
      <c r="CR8">
        <v>0</v>
      </c>
      <c r="CV8" t="s">
        <v>190</v>
      </c>
      <c r="CW8" t="s">
        <v>12</v>
      </c>
      <c r="CX8" t="s">
        <v>12</v>
      </c>
      <c r="CY8" t="s">
        <v>12</v>
      </c>
      <c r="DA8" t="s">
        <v>104</v>
      </c>
      <c r="DD8" t="s">
        <v>93</v>
      </c>
      <c r="DQ8" t="s">
        <v>94</v>
      </c>
      <c r="DR8" t="s">
        <v>94</v>
      </c>
      <c r="DS8" t="s">
        <v>94</v>
      </c>
      <c r="DT8" t="s">
        <v>94</v>
      </c>
      <c r="DU8" t="s">
        <v>94</v>
      </c>
      <c r="DV8" t="s">
        <v>94</v>
      </c>
      <c r="DW8" t="s">
        <v>94</v>
      </c>
      <c r="DX8" s="2" t="s">
        <v>94</v>
      </c>
      <c r="DY8" t="s">
        <v>94</v>
      </c>
      <c r="DZ8" t="s">
        <v>94</v>
      </c>
      <c r="EA8" t="s">
        <v>94</v>
      </c>
      <c r="EB8" t="s">
        <v>94</v>
      </c>
      <c r="EC8" t="s">
        <v>94</v>
      </c>
      <c r="ED8" t="s">
        <v>94</v>
      </c>
      <c r="EE8" t="s">
        <v>89</v>
      </c>
      <c r="EF8" t="s">
        <v>94</v>
      </c>
      <c r="EG8" t="s">
        <v>226</v>
      </c>
      <c r="EJ8" t="s">
        <v>166</v>
      </c>
      <c r="EK8" t="b">
        <v>0</v>
      </c>
      <c r="EL8" t="b">
        <v>0</v>
      </c>
      <c r="EM8" t="b">
        <v>0</v>
      </c>
      <c r="EO8" t="s">
        <v>177</v>
      </c>
      <c r="EP8" t="s">
        <v>402</v>
      </c>
    </row>
    <row r="9" spans="3:147">
      <c r="C9" s="4" t="s">
        <v>401</v>
      </c>
      <c r="D9" s="5"/>
      <c r="E9" s="4">
        <v>1</v>
      </c>
      <c r="F9" s="4">
        <v>0.15</v>
      </c>
      <c r="G9" s="5" t="s">
        <v>374</v>
      </c>
      <c r="H9" s="4" t="s">
        <v>391</v>
      </c>
      <c r="I9" s="4" t="s">
        <v>164</v>
      </c>
      <c r="J9" s="4"/>
      <c r="K9" s="1" t="s">
        <v>392</v>
      </c>
      <c r="L9" s="1">
        <v>1100271750292</v>
      </c>
      <c r="M9" s="2" t="s">
        <v>164</v>
      </c>
      <c r="N9" s="2">
        <v>43710</v>
      </c>
      <c r="O9" t="s">
        <v>102</v>
      </c>
      <c r="P9" t="s">
        <v>179</v>
      </c>
      <c r="Q9">
        <v>1</v>
      </c>
      <c r="R9">
        <v>0.15</v>
      </c>
      <c r="S9" t="s">
        <v>319</v>
      </c>
      <c r="T9" t="s">
        <v>393</v>
      </c>
      <c r="U9" t="s">
        <v>163</v>
      </c>
      <c r="V9">
        <v>43710.582638888889</v>
      </c>
      <c r="W9" t="s">
        <v>207</v>
      </c>
      <c r="X9">
        <v>43710.58284722222</v>
      </c>
      <c r="AB9" t="s">
        <v>9</v>
      </c>
      <c r="AC9" t="s">
        <v>320</v>
      </c>
      <c r="AD9" t="s">
        <v>200</v>
      </c>
      <c r="AE9">
        <v>100740</v>
      </c>
      <c r="AF9">
        <v>100740</v>
      </c>
      <c r="AG9" t="s">
        <v>183</v>
      </c>
      <c r="AH9" t="s">
        <v>321</v>
      </c>
      <c r="AI9" t="s">
        <v>321</v>
      </c>
      <c r="AJ9" t="s">
        <v>322</v>
      </c>
      <c r="AK9" t="s">
        <v>323</v>
      </c>
      <c r="AL9" t="s">
        <v>324</v>
      </c>
      <c r="AM9" t="s">
        <v>325</v>
      </c>
      <c r="AO9" t="s">
        <v>326</v>
      </c>
      <c r="AP9" t="s">
        <v>323</v>
      </c>
      <c r="AR9">
        <v>9999</v>
      </c>
      <c r="AS9">
        <v>-97317225751</v>
      </c>
      <c r="AT9" t="s">
        <v>327</v>
      </c>
      <c r="AU9" t="s">
        <v>10</v>
      </c>
      <c r="AV9" t="s">
        <v>328</v>
      </c>
      <c r="AW9" t="s">
        <v>328</v>
      </c>
      <c r="AX9" t="s">
        <v>329</v>
      </c>
      <c r="AY9" t="s">
        <v>330</v>
      </c>
      <c r="AZ9" t="s">
        <v>331</v>
      </c>
      <c r="BA9" t="s">
        <v>332</v>
      </c>
      <c r="BB9" t="s">
        <v>201</v>
      </c>
      <c r="BC9" t="s">
        <v>188</v>
      </c>
      <c r="BD9">
        <v>528527</v>
      </c>
      <c r="BE9" t="s">
        <v>394</v>
      </c>
      <c r="BF9" t="s">
        <v>333</v>
      </c>
      <c r="BG9" t="b">
        <v>0</v>
      </c>
      <c r="BH9" s="6" t="s">
        <v>334</v>
      </c>
      <c r="BI9" t="s">
        <v>335</v>
      </c>
      <c r="BJ9">
        <v>4453163191</v>
      </c>
      <c r="BK9" t="s">
        <v>162</v>
      </c>
      <c r="BL9" t="s">
        <v>161</v>
      </c>
      <c r="BM9" s="2"/>
      <c r="BO9" t="s">
        <v>89</v>
      </c>
      <c r="BP9" t="s">
        <v>395</v>
      </c>
      <c r="BR9" t="s">
        <v>180</v>
      </c>
      <c r="BS9" t="s">
        <v>103</v>
      </c>
      <c r="BU9">
        <v>0</v>
      </c>
      <c r="BV9">
        <v>0</v>
      </c>
      <c r="BW9">
        <v>0</v>
      </c>
      <c r="BX9">
        <v>0</v>
      </c>
      <c r="BY9">
        <v>0</v>
      </c>
      <c r="BZ9">
        <v>0</v>
      </c>
      <c r="CA9">
        <v>0</v>
      </c>
      <c r="CJ9" t="s">
        <v>375</v>
      </c>
      <c r="CK9" t="s">
        <v>165</v>
      </c>
      <c r="CL9">
        <v>43710.386041666665</v>
      </c>
      <c r="CO9" t="s">
        <v>11</v>
      </c>
      <c r="CP9">
        <v>140.62</v>
      </c>
      <c r="CQ9" t="s">
        <v>11</v>
      </c>
      <c r="CR9">
        <v>140.62</v>
      </c>
      <c r="CV9" t="s">
        <v>190</v>
      </c>
      <c r="CW9" t="s">
        <v>12</v>
      </c>
      <c r="CX9" t="s">
        <v>12</v>
      </c>
      <c r="CY9" t="s">
        <v>12</v>
      </c>
      <c r="DA9" t="s">
        <v>104</v>
      </c>
      <c r="DD9" t="s">
        <v>93</v>
      </c>
      <c r="DQ9" t="s">
        <v>94</v>
      </c>
      <c r="DR9" t="s">
        <v>94</v>
      </c>
      <c r="DS9" t="s">
        <v>94</v>
      </c>
      <c r="DT9" t="s">
        <v>94</v>
      </c>
      <c r="DU9" t="s">
        <v>94</v>
      </c>
      <c r="DV9" t="s">
        <v>94</v>
      </c>
      <c r="DW9" t="s">
        <v>94</v>
      </c>
      <c r="DX9" s="2" t="s">
        <v>94</v>
      </c>
      <c r="DY9" t="s">
        <v>94</v>
      </c>
      <c r="DZ9" t="s">
        <v>94</v>
      </c>
      <c r="EA9" t="s">
        <v>94</v>
      </c>
      <c r="EB9" t="s">
        <v>94</v>
      </c>
      <c r="EC9" t="s">
        <v>94</v>
      </c>
      <c r="ED9" t="s">
        <v>94</v>
      </c>
      <c r="EE9" t="s">
        <v>89</v>
      </c>
      <c r="EF9" t="s">
        <v>94</v>
      </c>
      <c r="EG9" t="s">
        <v>105</v>
      </c>
      <c r="EJ9" t="s">
        <v>166</v>
      </c>
      <c r="EK9" t="b">
        <v>0</v>
      </c>
      <c r="EL9" t="b">
        <v>0</v>
      </c>
      <c r="EM9" t="b">
        <v>0</v>
      </c>
      <c r="EO9" t="s">
        <v>177</v>
      </c>
      <c r="EP9" t="s">
        <v>402</v>
      </c>
    </row>
    <row r="10" spans="3:147">
      <c r="C10" s="4" t="s">
        <v>401</v>
      </c>
      <c r="D10" s="5"/>
      <c r="E10" s="4">
        <v>1</v>
      </c>
      <c r="F10" s="4">
        <v>0.4</v>
      </c>
      <c r="G10" s="5" t="s">
        <v>374</v>
      </c>
      <c r="H10" s="5" t="s">
        <v>203</v>
      </c>
      <c r="I10" s="5" t="s">
        <v>164</v>
      </c>
      <c r="J10" s="4"/>
      <c r="K10" s="1" t="s">
        <v>248</v>
      </c>
      <c r="L10" s="1">
        <v>1100271750292</v>
      </c>
      <c r="M10" s="2" t="s">
        <v>164</v>
      </c>
      <c r="N10" s="2">
        <v>43710</v>
      </c>
      <c r="O10" t="s">
        <v>102</v>
      </c>
      <c r="P10" t="s">
        <v>195</v>
      </c>
      <c r="Q10">
        <v>1</v>
      </c>
      <c r="R10">
        <v>0.4</v>
      </c>
      <c r="S10" t="s">
        <v>196</v>
      </c>
      <c r="T10" t="s">
        <v>376</v>
      </c>
      <c r="U10" t="s">
        <v>163</v>
      </c>
      <c r="V10">
        <v>43710.582650462966</v>
      </c>
      <c r="W10" t="s">
        <v>207</v>
      </c>
      <c r="X10">
        <v>43710.582870370374</v>
      </c>
      <c r="AB10" t="s">
        <v>9</v>
      </c>
      <c r="AC10" t="s">
        <v>208</v>
      </c>
      <c r="AD10" t="s">
        <v>249</v>
      </c>
      <c r="AE10">
        <v>3003278</v>
      </c>
      <c r="AF10">
        <v>3003278</v>
      </c>
      <c r="AG10" t="s">
        <v>183</v>
      </c>
      <c r="AH10" t="s">
        <v>210</v>
      </c>
      <c r="AI10" t="s">
        <v>210</v>
      </c>
      <c r="AJ10" t="s">
        <v>211</v>
      </c>
      <c r="AK10" t="s">
        <v>212</v>
      </c>
      <c r="AL10" t="s">
        <v>213</v>
      </c>
      <c r="AM10" t="s">
        <v>214</v>
      </c>
      <c r="AO10" t="s">
        <v>215</v>
      </c>
      <c r="AP10" t="s">
        <v>216</v>
      </c>
      <c r="AQ10" t="s">
        <v>217</v>
      </c>
      <c r="AR10">
        <v>700064</v>
      </c>
      <c r="AS10">
        <v>919073572119</v>
      </c>
      <c r="AT10" t="s">
        <v>218</v>
      </c>
      <c r="AU10" t="s">
        <v>10</v>
      </c>
      <c r="AV10" t="s">
        <v>250</v>
      </c>
      <c r="AW10" t="s">
        <v>250</v>
      </c>
      <c r="AX10" t="s">
        <v>251</v>
      </c>
      <c r="AY10" t="s">
        <v>252</v>
      </c>
      <c r="AZ10" t="s">
        <v>253</v>
      </c>
      <c r="BA10" t="s">
        <v>254</v>
      </c>
      <c r="BB10" t="s">
        <v>255</v>
      </c>
      <c r="BC10" t="s">
        <v>253</v>
      </c>
      <c r="BD10">
        <v>530226</v>
      </c>
      <c r="BE10" t="s">
        <v>377</v>
      </c>
      <c r="BF10" t="s">
        <v>256</v>
      </c>
      <c r="BG10" t="b">
        <v>0</v>
      </c>
      <c r="BH10" s="6" t="s">
        <v>225</v>
      </c>
      <c r="BI10" t="s">
        <v>198</v>
      </c>
      <c r="BJ10">
        <v>4453163191</v>
      </c>
      <c r="BK10" t="s">
        <v>162</v>
      </c>
      <c r="BL10" t="s">
        <v>161</v>
      </c>
      <c r="BM10" s="2"/>
      <c r="BR10" t="s">
        <v>199</v>
      </c>
      <c r="BS10" t="s">
        <v>103</v>
      </c>
      <c r="BU10">
        <v>0</v>
      </c>
      <c r="BV10">
        <v>0</v>
      </c>
      <c r="BW10">
        <v>0</v>
      </c>
      <c r="BX10">
        <v>0</v>
      </c>
      <c r="BY10">
        <v>0</v>
      </c>
      <c r="BZ10">
        <v>0</v>
      </c>
      <c r="CA10">
        <v>0</v>
      </c>
      <c r="CJ10" t="s">
        <v>378</v>
      </c>
      <c r="CK10" t="s">
        <v>165</v>
      </c>
      <c r="CL10">
        <v>43710.386041666665</v>
      </c>
      <c r="CO10" t="s">
        <v>11</v>
      </c>
      <c r="CP10">
        <v>0</v>
      </c>
      <c r="CQ10" t="s">
        <v>11</v>
      </c>
      <c r="CR10">
        <v>0</v>
      </c>
      <c r="CV10" t="s">
        <v>190</v>
      </c>
      <c r="CW10" t="s">
        <v>12</v>
      </c>
      <c r="CX10" t="s">
        <v>12</v>
      </c>
      <c r="CY10" t="s">
        <v>12</v>
      </c>
      <c r="DA10" t="s">
        <v>104</v>
      </c>
      <c r="DD10" t="s">
        <v>93</v>
      </c>
      <c r="DQ10" t="s">
        <v>94</v>
      </c>
      <c r="DR10" t="s">
        <v>94</v>
      </c>
      <c r="DS10" t="s">
        <v>94</v>
      </c>
      <c r="DT10" t="s">
        <v>94</v>
      </c>
      <c r="DU10" t="s">
        <v>94</v>
      </c>
      <c r="DV10" t="s">
        <v>94</v>
      </c>
      <c r="DW10" t="s">
        <v>94</v>
      </c>
      <c r="DX10" s="2" t="s">
        <v>94</v>
      </c>
      <c r="DY10" t="s">
        <v>94</v>
      </c>
      <c r="DZ10" t="s">
        <v>94</v>
      </c>
      <c r="EA10" t="s">
        <v>94</v>
      </c>
      <c r="EB10" t="s">
        <v>94</v>
      </c>
      <c r="EC10" t="s">
        <v>94</v>
      </c>
      <c r="ED10" t="s">
        <v>94</v>
      </c>
      <c r="EE10" t="s">
        <v>89</v>
      </c>
      <c r="EF10" t="s">
        <v>94</v>
      </c>
      <c r="EG10" t="s">
        <v>226</v>
      </c>
      <c r="EJ10" t="s">
        <v>166</v>
      </c>
      <c r="EK10" t="b">
        <v>0</v>
      </c>
      <c r="EL10" t="b">
        <v>0</v>
      </c>
      <c r="EM10" t="b">
        <v>0</v>
      </c>
      <c r="EO10" t="s">
        <v>177</v>
      </c>
      <c r="EP10" t="s">
        <v>402</v>
      </c>
    </row>
    <row r="11" spans="3:147">
      <c r="C11" s="4" t="s">
        <v>401</v>
      </c>
      <c r="D11" s="4"/>
      <c r="E11" s="4">
        <v>1</v>
      </c>
      <c r="F11" s="4">
        <v>0.4</v>
      </c>
      <c r="G11" s="5" t="s">
        <v>374</v>
      </c>
      <c r="H11" s="4" t="s">
        <v>203</v>
      </c>
      <c r="I11" s="4" t="s">
        <v>164</v>
      </c>
      <c r="J11" s="5"/>
      <c r="K11" s="1" t="s">
        <v>379</v>
      </c>
      <c r="L11" s="1">
        <v>1100271750292</v>
      </c>
      <c r="M11" s="2" t="s">
        <v>164</v>
      </c>
      <c r="N11" s="2">
        <v>43710</v>
      </c>
      <c r="O11" t="s">
        <v>102</v>
      </c>
      <c r="P11" t="s">
        <v>195</v>
      </c>
      <c r="Q11">
        <v>1</v>
      </c>
      <c r="R11">
        <v>0.4</v>
      </c>
      <c r="S11" t="s">
        <v>196</v>
      </c>
      <c r="T11" t="s">
        <v>376</v>
      </c>
      <c r="U11" t="s">
        <v>163</v>
      </c>
      <c r="V11">
        <v>43710.582650462966</v>
      </c>
      <c r="W11" t="s">
        <v>207</v>
      </c>
      <c r="X11">
        <v>43710.582835648151</v>
      </c>
      <c r="AB11" t="s">
        <v>9</v>
      </c>
      <c r="AC11" t="s">
        <v>208</v>
      </c>
      <c r="AD11" t="s">
        <v>241</v>
      </c>
      <c r="AE11">
        <v>3003278</v>
      </c>
      <c r="AF11">
        <v>3003278</v>
      </c>
      <c r="AG11" t="s">
        <v>183</v>
      </c>
      <c r="AH11" t="s">
        <v>210</v>
      </c>
      <c r="AI11" t="s">
        <v>210</v>
      </c>
      <c r="AJ11" t="s">
        <v>211</v>
      </c>
      <c r="AK11" t="s">
        <v>212</v>
      </c>
      <c r="AL11" t="s">
        <v>213</v>
      </c>
      <c r="AM11" t="s">
        <v>214</v>
      </c>
      <c r="AO11" t="s">
        <v>215</v>
      </c>
      <c r="AP11" t="s">
        <v>216</v>
      </c>
      <c r="AQ11" t="s">
        <v>217</v>
      </c>
      <c r="AR11">
        <v>700064</v>
      </c>
      <c r="AS11">
        <v>919073572119</v>
      </c>
      <c r="AT11" t="s">
        <v>218</v>
      </c>
      <c r="AU11" t="s">
        <v>10</v>
      </c>
      <c r="AV11" t="s">
        <v>242</v>
      </c>
      <c r="AW11" t="s">
        <v>242</v>
      </c>
      <c r="AX11" t="s">
        <v>243</v>
      </c>
      <c r="AY11" t="s">
        <v>244</v>
      </c>
      <c r="BA11" t="s">
        <v>245</v>
      </c>
      <c r="BB11" t="s">
        <v>246</v>
      </c>
      <c r="BC11" t="s">
        <v>188</v>
      </c>
      <c r="BD11">
        <v>516007</v>
      </c>
      <c r="BE11" t="s">
        <v>380</v>
      </c>
      <c r="BF11" t="s">
        <v>247</v>
      </c>
      <c r="BG11" t="b">
        <v>0</v>
      </c>
      <c r="BH11" s="6" t="s">
        <v>225</v>
      </c>
      <c r="BI11" t="s">
        <v>198</v>
      </c>
      <c r="BJ11">
        <v>4453163191</v>
      </c>
      <c r="BK11" t="s">
        <v>162</v>
      </c>
      <c r="BL11" t="s">
        <v>161</v>
      </c>
      <c r="BM11" s="2"/>
      <c r="BR11" t="s">
        <v>199</v>
      </c>
      <c r="BS11" t="s">
        <v>103</v>
      </c>
      <c r="BU11">
        <v>0</v>
      </c>
      <c r="BV11">
        <v>0</v>
      </c>
      <c r="BW11">
        <v>0</v>
      </c>
      <c r="BX11">
        <v>0</v>
      </c>
      <c r="BY11">
        <v>0</v>
      </c>
      <c r="BZ11">
        <v>0</v>
      </c>
      <c r="CA11">
        <v>0</v>
      </c>
      <c r="CJ11" t="s">
        <v>378</v>
      </c>
      <c r="CK11" t="s">
        <v>165</v>
      </c>
      <c r="CL11">
        <v>43710.386041666665</v>
      </c>
      <c r="CO11" t="s">
        <v>11</v>
      </c>
      <c r="CP11">
        <v>0</v>
      </c>
      <c r="CQ11" t="s">
        <v>11</v>
      </c>
      <c r="CR11">
        <v>0</v>
      </c>
      <c r="CV11" t="s">
        <v>190</v>
      </c>
      <c r="CW11" t="s">
        <v>12</v>
      </c>
      <c r="CX11" t="s">
        <v>12</v>
      </c>
      <c r="CY11" t="s">
        <v>12</v>
      </c>
      <c r="DA11" t="s">
        <v>104</v>
      </c>
      <c r="DD11" t="s">
        <v>93</v>
      </c>
      <c r="DQ11" t="s">
        <v>94</v>
      </c>
      <c r="DR11" t="s">
        <v>94</v>
      </c>
      <c r="DS11" t="s">
        <v>94</v>
      </c>
      <c r="DT11" t="s">
        <v>94</v>
      </c>
      <c r="DU11" t="s">
        <v>94</v>
      </c>
      <c r="DV11" t="s">
        <v>94</v>
      </c>
      <c r="DW11" t="s">
        <v>94</v>
      </c>
      <c r="DX11" s="2" t="s">
        <v>94</v>
      </c>
      <c r="DY11" t="s">
        <v>94</v>
      </c>
      <c r="DZ11" t="s">
        <v>94</v>
      </c>
      <c r="EA11" t="s">
        <v>94</v>
      </c>
      <c r="EB11" t="s">
        <v>94</v>
      </c>
      <c r="EC11" t="s">
        <v>94</v>
      </c>
      <c r="ED11" t="s">
        <v>94</v>
      </c>
      <c r="EE11" t="s">
        <v>89</v>
      </c>
      <c r="EF11" t="s">
        <v>94</v>
      </c>
      <c r="EG11" t="s">
        <v>226</v>
      </c>
      <c r="EJ11" t="s">
        <v>166</v>
      </c>
      <c r="EK11" t="b">
        <v>0</v>
      </c>
      <c r="EL11" t="b">
        <v>0</v>
      </c>
      <c r="EM11" t="b">
        <v>0</v>
      </c>
      <c r="EO11" t="s">
        <v>177</v>
      </c>
      <c r="EP11" t="s">
        <v>402</v>
      </c>
    </row>
    <row r="12" spans="3:147">
      <c r="C12" s="4" t="s">
        <v>401</v>
      </c>
      <c r="D12" s="4"/>
      <c r="E12" s="4">
        <v>1</v>
      </c>
      <c r="F12" s="4">
        <v>0.4</v>
      </c>
      <c r="G12" s="4" t="s">
        <v>374</v>
      </c>
      <c r="H12" s="4" t="s">
        <v>203</v>
      </c>
      <c r="I12" s="4" t="s">
        <v>164</v>
      </c>
      <c r="J12" s="4"/>
      <c r="K12" s="1" t="s">
        <v>232</v>
      </c>
      <c r="L12" s="1">
        <v>1100271750292</v>
      </c>
      <c r="M12" s="6" t="s">
        <v>164</v>
      </c>
      <c r="N12" s="2">
        <v>43710</v>
      </c>
      <c r="O12" t="s">
        <v>102</v>
      </c>
      <c r="P12" t="s">
        <v>195</v>
      </c>
      <c r="Q12">
        <v>1</v>
      </c>
      <c r="R12">
        <v>0.4</v>
      </c>
      <c r="S12" t="s">
        <v>196</v>
      </c>
      <c r="T12" t="s">
        <v>376</v>
      </c>
      <c r="U12" t="s">
        <v>163</v>
      </c>
      <c r="V12">
        <v>43710.582627314812</v>
      </c>
      <c r="W12" t="s">
        <v>197</v>
      </c>
      <c r="X12">
        <v>43710.582789351851</v>
      </c>
      <c r="AB12" t="s">
        <v>9</v>
      </c>
      <c r="AC12" t="s">
        <v>208</v>
      </c>
      <c r="AD12" t="s">
        <v>209</v>
      </c>
      <c r="AE12">
        <v>3003278</v>
      </c>
      <c r="AF12">
        <v>3003278</v>
      </c>
      <c r="AG12" t="s">
        <v>183</v>
      </c>
      <c r="AH12" t="s">
        <v>210</v>
      </c>
      <c r="AI12" t="s">
        <v>210</v>
      </c>
      <c r="AJ12" t="s">
        <v>211</v>
      </c>
      <c r="AK12" t="s">
        <v>212</v>
      </c>
      <c r="AL12" t="s">
        <v>213</v>
      </c>
      <c r="AM12" t="s">
        <v>214</v>
      </c>
      <c r="AO12" t="s">
        <v>215</v>
      </c>
      <c r="AP12" t="s">
        <v>216</v>
      </c>
      <c r="AQ12" t="s">
        <v>217</v>
      </c>
      <c r="AR12">
        <v>700064</v>
      </c>
      <c r="AS12">
        <v>919073572119</v>
      </c>
      <c r="AT12" t="s">
        <v>218</v>
      </c>
      <c r="AU12" t="s">
        <v>10</v>
      </c>
      <c r="AV12" t="s">
        <v>233</v>
      </c>
      <c r="AW12" t="s">
        <v>233</v>
      </c>
      <c r="AX12" t="s">
        <v>234</v>
      </c>
      <c r="AY12" t="s">
        <v>235</v>
      </c>
      <c r="AZ12" t="s">
        <v>236</v>
      </c>
      <c r="BA12" t="s">
        <v>237</v>
      </c>
      <c r="BB12" t="s">
        <v>223</v>
      </c>
      <c r="BC12" t="s">
        <v>238</v>
      </c>
      <c r="BD12">
        <v>570314</v>
      </c>
      <c r="BE12" t="s">
        <v>381</v>
      </c>
      <c r="BF12" t="s">
        <v>239</v>
      </c>
      <c r="BG12" t="b">
        <v>0</v>
      </c>
      <c r="BH12" s="6" t="s">
        <v>240</v>
      </c>
      <c r="BI12" t="s">
        <v>198</v>
      </c>
      <c r="BJ12">
        <v>4453163191</v>
      </c>
      <c r="BK12" t="s">
        <v>162</v>
      </c>
      <c r="BL12" t="s">
        <v>161</v>
      </c>
      <c r="BM12" s="2"/>
      <c r="BR12" t="s">
        <v>199</v>
      </c>
      <c r="BS12" t="s">
        <v>103</v>
      </c>
      <c r="BU12">
        <v>0</v>
      </c>
      <c r="BV12">
        <v>0</v>
      </c>
      <c r="BW12">
        <v>0</v>
      </c>
      <c r="BX12">
        <v>0</v>
      </c>
      <c r="BY12">
        <v>0</v>
      </c>
      <c r="BZ12">
        <v>0</v>
      </c>
      <c r="CA12">
        <v>0</v>
      </c>
      <c r="CJ12" t="s">
        <v>378</v>
      </c>
      <c r="CK12" t="s">
        <v>165</v>
      </c>
      <c r="CL12">
        <v>43710.386030092595</v>
      </c>
      <c r="CO12" t="s">
        <v>11</v>
      </c>
      <c r="CP12">
        <v>0</v>
      </c>
      <c r="CQ12" t="s">
        <v>11</v>
      </c>
      <c r="CR12">
        <v>0</v>
      </c>
      <c r="CV12" t="s">
        <v>190</v>
      </c>
      <c r="CW12" t="s">
        <v>12</v>
      </c>
      <c r="CX12" t="s">
        <v>12</v>
      </c>
      <c r="CY12" t="s">
        <v>12</v>
      </c>
      <c r="DA12" t="s">
        <v>104</v>
      </c>
      <c r="DD12" t="s">
        <v>93</v>
      </c>
      <c r="DQ12" t="s">
        <v>94</v>
      </c>
      <c r="DR12" t="s">
        <v>94</v>
      </c>
      <c r="DS12" t="s">
        <v>94</v>
      </c>
      <c r="DT12" t="s">
        <v>94</v>
      </c>
      <c r="DU12" t="s">
        <v>94</v>
      </c>
      <c r="DV12" t="s">
        <v>94</v>
      </c>
      <c r="DW12" t="s">
        <v>94</v>
      </c>
      <c r="DX12" s="2" t="s">
        <v>94</v>
      </c>
      <c r="DY12" t="s">
        <v>94</v>
      </c>
      <c r="DZ12" t="s">
        <v>94</v>
      </c>
      <c r="EA12" t="s">
        <v>94</v>
      </c>
      <c r="EB12" t="s">
        <v>94</v>
      </c>
      <c r="EC12" t="s">
        <v>94</v>
      </c>
      <c r="ED12" t="s">
        <v>94</v>
      </c>
      <c r="EE12" t="s">
        <v>89</v>
      </c>
      <c r="EF12" t="s">
        <v>94</v>
      </c>
      <c r="EG12" t="s">
        <v>226</v>
      </c>
      <c r="EJ12" t="s">
        <v>166</v>
      </c>
      <c r="EK12" t="b">
        <v>0</v>
      </c>
      <c r="EL12" t="b">
        <v>0</v>
      </c>
      <c r="EM12" t="b">
        <v>0</v>
      </c>
      <c r="EO12" t="s">
        <v>177</v>
      </c>
      <c r="EP12" t="s">
        <v>402</v>
      </c>
    </row>
    <row r="13" spans="3:147">
      <c r="C13" s="4" t="s">
        <v>401</v>
      </c>
      <c r="D13" s="4"/>
      <c r="E13" s="4">
        <v>1</v>
      </c>
      <c r="F13" s="4">
        <v>0.4</v>
      </c>
      <c r="G13" s="4" t="s">
        <v>374</v>
      </c>
      <c r="H13" s="4" t="s">
        <v>203</v>
      </c>
      <c r="I13" s="4" t="s">
        <v>164</v>
      </c>
      <c r="J13" s="4"/>
      <c r="K13" s="1" t="s">
        <v>227</v>
      </c>
      <c r="L13" s="1">
        <v>1100271750292</v>
      </c>
      <c r="M13" s="2" t="s">
        <v>164</v>
      </c>
      <c r="N13" s="2">
        <v>43710</v>
      </c>
      <c r="O13" t="s">
        <v>102</v>
      </c>
      <c r="P13" t="s">
        <v>195</v>
      </c>
      <c r="Q13">
        <v>1</v>
      </c>
      <c r="R13">
        <v>0.4</v>
      </c>
      <c r="S13" t="s">
        <v>196</v>
      </c>
      <c r="T13" t="s">
        <v>376</v>
      </c>
      <c r="U13" t="s">
        <v>163</v>
      </c>
      <c r="V13">
        <v>43710.582638888889</v>
      </c>
      <c r="W13" t="s">
        <v>197</v>
      </c>
      <c r="X13">
        <v>43710.582835648151</v>
      </c>
      <c r="AB13" t="s">
        <v>9</v>
      </c>
      <c r="AC13" t="s">
        <v>208</v>
      </c>
      <c r="AD13" t="s">
        <v>209</v>
      </c>
      <c r="AE13">
        <v>3003278</v>
      </c>
      <c r="AF13">
        <v>3003278</v>
      </c>
      <c r="AG13" t="s">
        <v>183</v>
      </c>
      <c r="AH13" t="s">
        <v>210</v>
      </c>
      <c r="AI13" t="s">
        <v>210</v>
      </c>
      <c r="AJ13" t="s">
        <v>211</v>
      </c>
      <c r="AK13" t="s">
        <v>212</v>
      </c>
      <c r="AL13" t="s">
        <v>213</v>
      </c>
      <c r="AM13" t="s">
        <v>214</v>
      </c>
      <c r="AO13" t="s">
        <v>215</v>
      </c>
      <c r="AP13" t="s">
        <v>216</v>
      </c>
      <c r="AQ13" t="s">
        <v>217</v>
      </c>
      <c r="AR13">
        <v>700064</v>
      </c>
      <c r="AS13">
        <v>919073572119</v>
      </c>
      <c r="AT13" t="s">
        <v>218</v>
      </c>
      <c r="AU13" t="s">
        <v>10</v>
      </c>
      <c r="AV13" t="s">
        <v>228</v>
      </c>
      <c r="AW13" t="s">
        <v>228</v>
      </c>
      <c r="AX13" t="s">
        <v>229</v>
      </c>
      <c r="AY13" t="s">
        <v>221</v>
      </c>
      <c r="BA13" t="s">
        <v>230</v>
      </c>
      <c r="BB13" t="s">
        <v>223</v>
      </c>
      <c r="BC13" t="s">
        <v>188</v>
      </c>
      <c r="BD13">
        <v>510630</v>
      </c>
      <c r="BE13" t="s">
        <v>382</v>
      </c>
      <c r="BF13" t="s">
        <v>231</v>
      </c>
      <c r="BG13" t="b">
        <v>0</v>
      </c>
      <c r="BH13" s="6" t="s">
        <v>225</v>
      </c>
      <c r="BI13" t="s">
        <v>198</v>
      </c>
      <c r="BJ13">
        <v>4453163191</v>
      </c>
      <c r="BK13" t="s">
        <v>162</v>
      </c>
      <c r="BL13" t="s">
        <v>161</v>
      </c>
      <c r="BM13" s="2"/>
      <c r="BR13" t="s">
        <v>199</v>
      </c>
      <c r="BS13" t="s">
        <v>103</v>
      </c>
      <c r="BU13">
        <v>0</v>
      </c>
      <c r="BV13">
        <v>0</v>
      </c>
      <c r="BW13">
        <v>0</v>
      </c>
      <c r="BX13">
        <v>0</v>
      </c>
      <c r="BY13">
        <v>0</v>
      </c>
      <c r="BZ13">
        <v>0</v>
      </c>
      <c r="CA13">
        <v>0</v>
      </c>
      <c r="CJ13" t="s">
        <v>378</v>
      </c>
      <c r="CK13" t="s">
        <v>165</v>
      </c>
      <c r="CL13">
        <v>43710.386030092595</v>
      </c>
      <c r="CO13" t="s">
        <v>11</v>
      </c>
      <c r="CP13">
        <v>0</v>
      </c>
      <c r="CQ13" t="s">
        <v>11</v>
      </c>
      <c r="CR13">
        <v>0</v>
      </c>
      <c r="CV13" t="s">
        <v>190</v>
      </c>
      <c r="CW13" t="s">
        <v>12</v>
      </c>
      <c r="CX13" t="s">
        <v>12</v>
      </c>
      <c r="CY13" t="s">
        <v>12</v>
      </c>
      <c r="DA13" t="s">
        <v>104</v>
      </c>
      <c r="DD13" t="s">
        <v>93</v>
      </c>
      <c r="DQ13" t="s">
        <v>94</v>
      </c>
      <c r="DR13" t="s">
        <v>94</v>
      </c>
      <c r="DS13" t="s">
        <v>94</v>
      </c>
      <c r="DT13" t="s">
        <v>94</v>
      </c>
      <c r="DU13" t="s">
        <v>94</v>
      </c>
      <c r="DV13" t="s">
        <v>94</v>
      </c>
      <c r="DW13" t="s">
        <v>94</v>
      </c>
      <c r="DX13" s="2" t="s">
        <v>94</v>
      </c>
      <c r="DY13" t="s">
        <v>94</v>
      </c>
      <c r="DZ13" t="s">
        <v>94</v>
      </c>
      <c r="EA13" t="s">
        <v>94</v>
      </c>
      <c r="EB13" t="s">
        <v>94</v>
      </c>
      <c r="EC13" t="s">
        <v>94</v>
      </c>
      <c r="ED13" t="s">
        <v>94</v>
      </c>
      <c r="EE13" t="s">
        <v>89</v>
      </c>
      <c r="EF13" t="s">
        <v>94</v>
      </c>
      <c r="EG13" t="s">
        <v>226</v>
      </c>
      <c r="EJ13" t="s">
        <v>166</v>
      </c>
      <c r="EK13" t="b">
        <v>0</v>
      </c>
      <c r="EL13" t="b">
        <v>0</v>
      </c>
      <c r="EM13" t="b">
        <v>0</v>
      </c>
      <c r="EO13" t="s">
        <v>177</v>
      </c>
      <c r="EP13" t="s">
        <v>402</v>
      </c>
    </row>
    <row r="14" spans="3:147">
      <c r="C14" s="4" t="s">
        <v>401</v>
      </c>
      <c r="D14" s="4"/>
      <c r="E14" s="4">
        <v>1</v>
      </c>
      <c r="F14" s="4">
        <v>0.4</v>
      </c>
      <c r="G14" s="4" t="s">
        <v>374</v>
      </c>
      <c r="H14" s="5" t="s">
        <v>203</v>
      </c>
      <c r="I14" s="5" t="s">
        <v>164</v>
      </c>
      <c r="J14" s="4"/>
      <c r="K14" s="1" t="s">
        <v>206</v>
      </c>
      <c r="L14" s="1">
        <v>1100271750292</v>
      </c>
      <c r="M14" s="2" t="s">
        <v>164</v>
      </c>
      <c r="N14" s="2">
        <v>43710</v>
      </c>
      <c r="O14" t="s">
        <v>102</v>
      </c>
      <c r="P14" t="s">
        <v>195</v>
      </c>
      <c r="Q14">
        <v>1</v>
      </c>
      <c r="R14">
        <v>0.4</v>
      </c>
      <c r="S14" t="s">
        <v>196</v>
      </c>
      <c r="T14" t="s">
        <v>376</v>
      </c>
      <c r="U14" t="s">
        <v>163</v>
      </c>
      <c r="V14">
        <v>43710.582638888889</v>
      </c>
      <c r="W14" t="s">
        <v>207</v>
      </c>
      <c r="X14">
        <v>43710.582881944443</v>
      </c>
      <c r="AB14" t="s">
        <v>9</v>
      </c>
      <c r="AC14" t="s">
        <v>208</v>
      </c>
      <c r="AD14" t="s">
        <v>209</v>
      </c>
      <c r="AE14">
        <v>3003278</v>
      </c>
      <c r="AF14">
        <v>3003278</v>
      </c>
      <c r="AG14" t="s">
        <v>183</v>
      </c>
      <c r="AH14" t="s">
        <v>210</v>
      </c>
      <c r="AI14" t="s">
        <v>210</v>
      </c>
      <c r="AJ14" t="s">
        <v>211</v>
      </c>
      <c r="AK14" t="s">
        <v>212</v>
      </c>
      <c r="AL14" t="s">
        <v>213</v>
      </c>
      <c r="AM14" t="s">
        <v>214</v>
      </c>
      <c r="AO14" t="s">
        <v>215</v>
      </c>
      <c r="AP14" t="s">
        <v>216</v>
      </c>
      <c r="AQ14" t="s">
        <v>217</v>
      </c>
      <c r="AR14">
        <v>700064</v>
      </c>
      <c r="AS14">
        <v>919073572119</v>
      </c>
      <c r="AT14" t="s">
        <v>218</v>
      </c>
      <c r="AU14" t="s">
        <v>10</v>
      </c>
      <c r="AV14" t="s">
        <v>219</v>
      </c>
      <c r="AW14" t="s">
        <v>219</v>
      </c>
      <c r="AX14" t="s">
        <v>220</v>
      </c>
      <c r="AY14" t="s">
        <v>221</v>
      </c>
      <c r="BA14" t="s">
        <v>222</v>
      </c>
      <c r="BB14" t="s">
        <v>223</v>
      </c>
      <c r="BC14" t="s">
        <v>188</v>
      </c>
      <c r="BD14">
        <v>510613</v>
      </c>
      <c r="BE14" t="s">
        <v>383</v>
      </c>
      <c r="BF14" t="s">
        <v>224</v>
      </c>
      <c r="BG14" t="b">
        <v>0</v>
      </c>
      <c r="BH14" s="6" t="s">
        <v>225</v>
      </c>
      <c r="BI14" t="s">
        <v>198</v>
      </c>
      <c r="BJ14">
        <v>4453163191</v>
      </c>
      <c r="BK14" t="s">
        <v>162</v>
      </c>
      <c r="BL14" t="s">
        <v>161</v>
      </c>
      <c r="BR14" t="s">
        <v>199</v>
      </c>
      <c r="BS14" t="s">
        <v>103</v>
      </c>
      <c r="BU14">
        <v>0</v>
      </c>
      <c r="BV14">
        <v>0</v>
      </c>
      <c r="BW14">
        <v>0</v>
      </c>
      <c r="BX14">
        <v>0</v>
      </c>
      <c r="BY14">
        <v>0</v>
      </c>
      <c r="BZ14">
        <v>0</v>
      </c>
      <c r="CA14">
        <v>0</v>
      </c>
      <c r="CJ14" t="s">
        <v>378</v>
      </c>
      <c r="CK14" t="s">
        <v>165</v>
      </c>
      <c r="CL14">
        <v>43710.386018518519</v>
      </c>
      <c r="CO14" t="s">
        <v>11</v>
      </c>
      <c r="CP14">
        <v>0</v>
      </c>
      <c r="CQ14" t="s">
        <v>11</v>
      </c>
      <c r="CR14">
        <v>0</v>
      </c>
      <c r="CV14" t="s">
        <v>190</v>
      </c>
      <c r="CW14" t="s">
        <v>12</v>
      </c>
      <c r="CX14" t="s">
        <v>12</v>
      </c>
      <c r="CY14" t="s">
        <v>12</v>
      </c>
      <c r="DA14" t="s">
        <v>104</v>
      </c>
      <c r="DD14" t="s">
        <v>93</v>
      </c>
      <c r="DQ14" t="s">
        <v>94</v>
      </c>
      <c r="DR14" t="s">
        <v>94</v>
      </c>
      <c r="DS14" t="s">
        <v>94</v>
      </c>
      <c r="DT14" t="s">
        <v>94</v>
      </c>
      <c r="DU14" t="s">
        <v>94</v>
      </c>
      <c r="DV14" t="s">
        <v>94</v>
      </c>
      <c r="DW14" t="s">
        <v>94</v>
      </c>
      <c r="DX14" s="2" t="s">
        <v>94</v>
      </c>
      <c r="DY14" t="s">
        <v>94</v>
      </c>
      <c r="DZ14" t="s">
        <v>94</v>
      </c>
      <c r="EA14" t="s">
        <v>94</v>
      </c>
      <c r="EB14" t="s">
        <v>94</v>
      </c>
      <c r="EC14" t="s">
        <v>94</v>
      </c>
      <c r="ED14" t="s">
        <v>94</v>
      </c>
      <c r="EE14" t="s">
        <v>89</v>
      </c>
      <c r="EF14" t="s">
        <v>94</v>
      </c>
      <c r="EG14" t="s">
        <v>226</v>
      </c>
      <c r="EJ14" t="s">
        <v>166</v>
      </c>
      <c r="EK14" t="b">
        <v>0</v>
      </c>
      <c r="EL14" t="b">
        <v>0</v>
      </c>
      <c r="EM14" t="b">
        <v>0</v>
      </c>
      <c r="EO14" t="s">
        <v>177</v>
      </c>
      <c r="EP14" t="s">
        <v>402</v>
      </c>
    </row>
    <row r="15" spans="3:147" ht="15">
      <c r="C15" s="82" t="s">
        <v>401</v>
      </c>
      <c r="D15" s="5"/>
      <c r="E15" s="4">
        <v>1</v>
      </c>
      <c r="F15" s="5">
        <v>0.4</v>
      </c>
      <c r="G15" s="5" t="s">
        <v>374</v>
      </c>
      <c r="H15" s="4" t="s">
        <v>203</v>
      </c>
      <c r="I15" s="81" t="s">
        <v>164</v>
      </c>
      <c r="J15" s="21"/>
      <c r="K15" s="22" t="s">
        <v>206</v>
      </c>
      <c r="L15" s="22">
        <v>1100271750292</v>
      </c>
      <c r="M15" s="23" t="s">
        <v>164</v>
      </c>
      <c r="N15" s="23">
        <v>43710</v>
      </c>
      <c r="O15" s="24" t="s">
        <v>102</v>
      </c>
      <c r="P15" s="24" t="s">
        <v>195</v>
      </c>
      <c r="Q15" s="24">
        <v>1</v>
      </c>
      <c r="R15" s="24">
        <v>0.4</v>
      </c>
      <c r="S15" t="s">
        <v>196</v>
      </c>
      <c r="T15" t="s">
        <v>376</v>
      </c>
      <c r="U15" s="2" t="s">
        <v>163</v>
      </c>
      <c r="V15">
        <v>43710.582638888889</v>
      </c>
      <c r="W15" s="2" t="s">
        <v>207</v>
      </c>
      <c r="X15">
        <v>43710.582881944443</v>
      </c>
      <c r="AB15" t="s">
        <v>9</v>
      </c>
      <c r="AC15" t="s">
        <v>208</v>
      </c>
      <c r="AD15" t="s">
        <v>209</v>
      </c>
      <c r="AE15">
        <v>3003278</v>
      </c>
      <c r="AF15">
        <v>3003278</v>
      </c>
      <c r="AG15" t="s">
        <v>183</v>
      </c>
      <c r="AH15" t="s">
        <v>210</v>
      </c>
      <c r="AI15" t="s">
        <v>210</v>
      </c>
      <c r="AJ15" t="s">
        <v>211</v>
      </c>
      <c r="AK15" t="s">
        <v>212</v>
      </c>
      <c r="AL15" t="s">
        <v>213</v>
      </c>
      <c r="AM15" t="s">
        <v>214</v>
      </c>
      <c r="AO15" t="s">
        <v>215</v>
      </c>
      <c r="AP15" t="s">
        <v>216</v>
      </c>
      <c r="AQ15" t="s">
        <v>217</v>
      </c>
      <c r="AR15">
        <v>700064</v>
      </c>
      <c r="AS15">
        <v>919073572119</v>
      </c>
      <c r="AT15" t="s">
        <v>218</v>
      </c>
      <c r="AU15" t="s">
        <v>10</v>
      </c>
      <c r="AV15" t="s">
        <v>219</v>
      </c>
      <c r="AW15" t="s">
        <v>219</v>
      </c>
      <c r="AX15" t="s">
        <v>220</v>
      </c>
      <c r="AY15" s="2" t="s">
        <v>221</v>
      </c>
      <c r="BA15" t="s">
        <v>222</v>
      </c>
      <c r="BB15" t="s">
        <v>223</v>
      </c>
      <c r="BC15" t="s">
        <v>188</v>
      </c>
      <c r="BD15">
        <v>510613</v>
      </c>
      <c r="BE15" t="s">
        <v>383</v>
      </c>
      <c r="BF15" t="s">
        <v>224</v>
      </c>
      <c r="BG15" t="b">
        <v>0</v>
      </c>
      <c r="BH15" s="6" t="s">
        <v>225</v>
      </c>
      <c r="BI15" t="s">
        <v>198</v>
      </c>
      <c r="BJ15">
        <v>4453163191</v>
      </c>
      <c r="BK15" t="s">
        <v>162</v>
      </c>
      <c r="BL15" t="s">
        <v>161</v>
      </c>
      <c r="BM15" s="2"/>
      <c r="BR15" t="s">
        <v>199</v>
      </c>
      <c r="BS15" t="s">
        <v>103</v>
      </c>
      <c r="BU15">
        <v>0</v>
      </c>
      <c r="BV15">
        <v>0</v>
      </c>
      <c r="BW15">
        <v>0</v>
      </c>
      <c r="BX15">
        <v>0</v>
      </c>
      <c r="BY15">
        <v>0</v>
      </c>
      <c r="BZ15">
        <v>0</v>
      </c>
      <c r="CA15">
        <v>0</v>
      </c>
      <c r="CF15" s="2"/>
      <c r="CH15" s="2"/>
      <c r="CJ15" t="s">
        <v>378</v>
      </c>
      <c r="CK15" t="s">
        <v>165</v>
      </c>
      <c r="CL15">
        <v>43710.386018518519</v>
      </c>
      <c r="CO15" t="s">
        <v>11</v>
      </c>
      <c r="CP15">
        <v>0</v>
      </c>
      <c r="CQ15" t="s">
        <v>11</v>
      </c>
      <c r="CR15">
        <v>0</v>
      </c>
      <c r="CV15" t="s">
        <v>190</v>
      </c>
      <c r="CW15" t="s">
        <v>12</v>
      </c>
      <c r="CX15" t="s">
        <v>12</v>
      </c>
      <c r="CY15" t="s">
        <v>12</v>
      </c>
      <c r="DA15" t="s">
        <v>104</v>
      </c>
      <c r="DD15" t="s">
        <v>93</v>
      </c>
      <c r="DQ15" t="s">
        <v>94</v>
      </c>
      <c r="DR15" t="s">
        <v>94</v>
      </c>
      <c r="DS15" t="s">
        <v>94</v>
      </c>
      <c r="DT15" t="s">
        <v>94</v>
      </c>
      <c r="DU15" t="s">
        <v>94</v>
      </c>
      <c r="DV15" t="s">
        <v>94</v>
      </c>
      <c r="DW15" t="s">
        <v>94</v>
      </c>
      <c r="DX15" s="2" t="s">
        <v>94</v>
      </c>
      <c r="DY15" t="s">
        <v>94</v>
      </c>
      <c r="DZ15" t="s">
        <v>94</v>
      </c>
      <c r="EA15" t="s">
        <v>94</v>
      </c>
      <c r="EB15" t="s">
        <v>94</v>
      </c>
      <c r="EC15" t="s">
        <v>94</v>
      </c>
      <c r="ED15" t="s">
        <v>94</v>
      </c>
      <c r="EE15" t="s">
        <v>89</v>
      </c>
      <c r="EF15" t="s">
        <v>94</v>
      </c>
      <c r="EG15" t="s">
        <v>226</v>
      </c>
      <c r="EJ15" t="s">
        <v>166</v>
      </c>
      <c r="EK15" t="b">
        <v>0</v>
      </c>
      <c r="EL15" t="b">
        <v>0</v>
      </c>
      <c r="EM15" t="b">
        <v>0</v>
      </c>
      <c r="EO15" t="s">
        <v>177</v>
      </c>
      <c r="EP15" t="s">
        <v>406</v>
      </c>
    </row>
    <row r="16" spans="3:147">
      <c r="C16" s="4" t="s">
        <v>401</v>
      </c>
      <c r="D16" s="4"/>
      <c r="E16" s="4">
        <v>1</v>
      </c>
      <c r="F16" s="4">
        <v>0.4</v>
      </c>
      <c r="G16" s="5" t="s">
        <v>374</v>
      </c>
      <c r="H16" s="4" t="s">
        <v>203</v>
      </c>
      <c r="I16" s="4" t="s">
        <v>164</v>
      </c>
      <c r="J16" s="5"/>
      <c r="K16" s="22" t="s">
        <v>227</v>
      </c>
      <c r="L16" s="22">
        <v>1100271750292</v>
      </c>
      <c r="M16" s="23" t="s">
        <v>164</v>
      </c>
      <c r="N16" s="23">
        <v>43710</v>
      </c>
      <c r="O16" s="24" t="s">
        <v>102</v>
      </c>
      <c r="P16" s="24" t="s">
        <v>195</v>
      </c>
      <c r="Q16" s="24">
        <v>1</v>
      </c>
      <c r="R16" s="24">
        <v>0.4</v>
      </c>
      <c r="S16" t="s">
        <v>196</v>
      </c>
      <c r="T16" t="s">
        <v>376</v>
      </c>
      <c r="U16" s="2" t="s">
        <v>163</v>
      </c>
      <c r="V16">
        <v>43710.582638888889</v>
      </c>
      <c r="W16" s="2" t="s">
        <v>197</v>
      </c>
      <c r="X16">
        <v>43710.582835648151</v>
      </c>
      <c r="AB16" t="s">
        <v>9</v>
      </c>
      <c r="AC16" t="s">
        <v>208</v>
      </c>
      <c r="AD16" t="s">
        <v>209</v>
      </c>
      <c r="AE16">
        <v>3003278</v>
      </c>
      <c r="AF16">
        <v>3003278</v>
      </c>
      <c r="AG16" t="s">
        <v>183</v>
      </c>
      <c r="AH16" t="s">
        <v>210</v>
      </c>
      <c r="AI16" t="s">
        <v>210</v>
      </c>
      <c r="AJ16" t="s">
        <v>211</v>
      </c>
      <c r="AK16" t="s">
        <v>212</v>
      </c>
      <c r="AL16" t="s">
        <v>213</v>
      </c>
      <c r="AM16" t="s">
        <v>214</v>
      </c>
      <c r="AO16" t="s">
        <v>215</v>
      </c>
      <c r="AP16" t="s">
        <v>216</v>
      </c>
      <c r="AQ16" t="s">
        <v>217</v>
      </c>
      <c r="AR16">
        <v>700064</v>
      </c>
      <c r="AS16">
        <v>919073572119</v>
      </c>
      <c r="AT16" t="s">
        <v>218</v>
      </c>
      <c r="AU16" t="s">
        <v>10</v>
      </c>
      <c r="AV16" t="s">
        <v>228</v>
      </c>
      <c r="AW16" t="s">
        <v>228</v>
      </c>
      <c r="AX16" t="s">
        <v>229</v>
      </c>
      <c r="AY16" t="s">
        <v>221</v>
      </c>
      <c r="BA16" t="s">
        <v>230</v>
      </c>
      <c r="BB16" t="s">
        <v>223</v>
      </c>
      <c r="BC16" t="s">
        <v>188</v>
      </c>
      <c r="BD16">
        <v>510630</v>
      </c>
      <c r="BE16" t="s">
        <v>382</v>
      </c>
      <c r="BF16" t="s">
        <v>231</v>
      </c>
      <c r="BG16" t="b">
        <v>0</v>
      </c>
      <c r="BH16" s="6" t="s">
        <v>225</v>
      </c>
      <c r="BI16" t="s">
        <v>198</v>
      </c>
      <c r="BJ16">
        <v>4453163191</v>
      </c>
      <c r="BK16" t="s">
        <v>162</v>
      </c>
      <c r="BL16" t="s">
        <v>161</v>
      </c>
      <c r="BM16" s="2"/>
      <c r="BR16" t="s">
        <v>199</v>
      </c>
      <c r="BS16" t="s">
        <v>103</v>
      </c>
      <c r="BU16">
        <v>0</v>
      </c>
      <c r="BV16">
        <v>0</v>
      </c>
      <c r="BW16">
        <v>0</v>
      </c>
      <c r="BX16">
        <v>0</v>
      </c>
      <c r="BY16">
        <v>0</v>
      </c>
      <c r="BZ16">
        <v>0</v>
      </c>
      <c r="CA16">
        <v>0</v>
      </c>
      <c r="CF16" s="2"/>
      <c r="CH16" s="2"/>
      <c r="CJ16" t="s">
        <v>378</v>
      </c>
      <c r="CK16" t="s">
        <v>165</v>
      </c>
      <c r="CL16">
        <v>43710.386030092595</v>
      </c>
      <c r="CO16" t="s">
        <v>11</v>
      </c>
      <c r="CP16">
        <v>0</v>
      </c>
      <c r="CQ16" t="s">
        <v>11</v>
      </c>
      <c r="CR16">
        <v>0</v>
      </c>
      <c r="CV16" t="s">
        <v>190</v>
      </c>
      <c r="CW16" t="s">
        <v>12</v>
      </c>
      <c r="CX16" t="s">
        <v>12</v>
      </c>
      <c r="CY16" t="s">
        <v>12</v>
      </c>
      <c r="DA16" t="s">
        <v>104</v>
      </c>
      <c r="DD16" t="s">
        <v>93</v>
      </c>
      <c r="DQ16" t="s">
        <v>94</v>
      </c>
      <c r="DR16" t="s">
        <v>94</v>
      </c>
      <c r="DS16" t="s">
        <v>94</v>
      </c>
      <c r="DT16" t="s">
        <v>94</v>
      </c>
      <c r="DU16" t="s">
        <v>94</v>
      </c>
      <c r="DV16" t="s">
        <v>94</v>
      </c>
      <c r="DW16" t="s">
        <v>94</v>
      </c>
      <c r="DX16" s="2" t="s">
        <v>94</v>
      </c>
      <c r="DY16" t="s">
        <v>94</v>
      </c>
      <c r="DZ16" t="s">
        <v>94</v>
      </c>
      <c r="EA16" t="s">
        <v>94</v>
      </c>
      <c r="EB16" t="s">
        <v>94</v>
      </c>
      <c r="EC16" t="s">
        <v>94</v>
      </c>
      <c r="ED16" t="s">
        <v>94</v>
      </c>
      <c r="EE16" t="s">
        <v>89</v>
      </c>
      <c r="EF16" t="s">
        <v>94</v>
      </c>
      <c r="EG16" t="s">
        <v>226</v>
      </c>
      <c r="EJ16" t="s">
        <v>166</v>
      </c>
      <c r="EK16" t="b">
        <v>0</v>
      </c>
      <c r="EL16" t="b">
        <v>0</v>
      </c>
      <c r="EM16" t="b">
        <v>0</v>
      </c>
      <c r="EO16" t="s">
        <v>177</v>
      </c>
      <c r="EP16" t="s">
        <v>406</v>
      </c>
    </row>
    <row r="17" spans="3:146">
      <c r="C17" s="4" t="s">
        <v>401</v>
      </c>
      <c r="D17" s="5"/>
      <c r="E17" s="5">
        <v>1</v>
      </c>
      <c r="F17" s="4">
        <v>0.4</v>
      </c>
      <c r="G17" s="5" t="s">
        <v>374</v>
      </c>
      <c r="H17" s="4" t="s">
        <v>203</v>
      </c>
      <c r="I17" s="4" t="s">
        <v>164</v>
      </c>
      <c r="J17" s="4"/>
      <c r="K17" s="22" t="s">
        <v>232</v>
      </c>
      <c r="L17" s="22">
        <v>1100271750292</v>
      </c>
      <c r="M17" s="23" t="s">
        <v>164</v>
      </c>
      <c r="N17" s="23">
        <v>43710</v>
      </c>
      <c r="O17" s="24" t="s">
        <v>102</v>
      </c>
      <c r="P17" s="24" t="s">
        <v>195</v>
      </c>
      <c r="Q17" s="24">
        <v>1</v>
      </c>
      <c r="R17" s="24">
        <v>0.4</v>
      </c>
      <c r="S17" t="s">
        <v>196</v>
      </c>
      <c r="T17" t="s">
        <v>376</v>
      </c>
      <c r="U17" s="2" t="s">
        <v>163</v>
      </c>
      <c r="V17">
        <v>43710.582627314812</v>
      </c>
      <c r="W17" s="2" t="s">
        <v>197</v>
      </c>
      <c r="X17">
        <v>43710.582789351851</v>
      </c>
      <c r="AB17" t="s">
        <v>9</v>
      </c>
      <c r="AC17" t="s">
        <v>208</v>
      </c>
      <c r="AD17" t="s">
        <v>209</v>
      </c>
      <c r="AE17">
        <v>3003278</v>
      </c>
      <c r="AF17">
        <v>3003278</v>
      </c>
      <c r="AG17" t="s">
        <v>183</v>
      </c>
      <c r="AH17" t="s">
        <v>210</v>
      </c>
      <c r="AI17" t="s">
        <v>210</v>
      </c>
      <c r="AJ17" t="s">
        <v>211</v>
      </c>
      <c r="AK17" t="s">
        <v>212</v>
      </c>
      <c r="AL17" t="s">
        <v>213</v>
      </c>
      <c r="AM17" t="s">
        <v>214</v>
      </c>
      <c r="AO17" t="s">
        <v>215</v>
      </c>
      <c r="AP17" t="s">
        <v>216</v>
      </c>
      <c r="AQ17" t="s">
        <v>217</v>
      </c>
      <c r="AR17">
        <v>700064</v>
      </c>
      <c r="AS17">
        <v>919073572119</v>
      </c>
      <c r="AT17" t="s">
        <v>218</v>
      </c>
      <c r="AU17" t="s">
        <v>10</v>
      </c>
      <c r="AV17" t="s">
        <v>233</v>
      </c>
      <c r="AW17" t="s">
        <v>233</v>
      </c>
      <c r="AX17" t="s">
        <v>234</v>
      </c>
      <c r="AY17" t="s">
        <v>235</v>
      </c>
      <c r="AZ17" t="s">
        <v>236</v>
      </c>
      <c r="BA17" t="s">
        <v>237</v>
      </c>
      <c r="BB17" t="s">
        <v>223</v>
      </c>
      <c r="BC17" t="s">
        <v>238</v>
      </c>
      <c r="BD17">
        <v>570314</v>
      </c>
      <c r="BE17" t="s">
        <v>381</v>
      </c>
      <c r="BF17" t="s">
        <v>239</v>
      </c>
      <c r="BG17" t="b">
        <v>0</v>
      </c>
      <c r="BH17" s="6" t="s">
        <v>240</v>
      </c>
      <c r="BI17" t="s">
        <v>198</v>
      </c>
      <c r="BJ17">
        <v>4453163191</v>
      </c>
      <c r="BK17" t="s">
        <v>162</v>
      </c>
      <c r="BL17" t="s">
        <v>161</v>
      </c>
      <c r="BM17" s="2"/>
      <c r="BR17" t="s">
        <v>199</v>
      </c>
      <c r="BS17" t="s">
        <v>103</v>
      </c>
      <c r="BU17">
        <v>0</v>
      </c>
      <c r="BV17">
        <v>0</v>
      </c>
      <c r="BW17">
        <v>0</v>
      </c>
      <c r="BX17">
        <v>0</v>
      </c>
      <c r="BY17">
        <v>0</v>
      </c>
      <c r="BZ17">
        <v>0</v>
      </c>
      <c r="CA17">
        <v>0</v>
      </c>
      <c r="CF17" s="2"/>
      <c r="CH17" s="2"/>
      <c r="CJ17" t="s">
        <v>378</v>
      </c>
      <c r="CK17" t="s">
        <v>165</v>
      </c>
      <c r="CL17">
        <v>43710.386030092595</v>
      </c>
      <c r="CO17" t="s">
        <v>11</v>
      </c>
      <c r="CP17">
        <v>0</v>
      </c>
      <c r="CQ17" t="s">
        <v>11</v>
      </c>
      <c r="CR17">
        <v>0</v>
      </c>
      <c r="CV17" t="s">
        <v>190</v>
      </c>
      <c r="CW17" t="s">
        <v>12</v>
      </c>
      <c r="CX17" t="s">
        <v>12</v>
      </c>
      <c r="CY17" t="s">
        <v>12</v>
      </c>
      <c r="DA17" t="s">
        <v>104</v>
      </c>
      <c r="DD17" t="s">
        <v>93</v>
      </c>
      <c r="DQ17" t="s">
        <v>94</v>
      </c>
      <c r="DR17" t="s">
        <v>94</v>
      </c>
      <c r="DS17" t="s">
        <v>94</v>
      </c>
      <c r="DT17" t="s">
        <v>94</v>
      </c>
      <c r="DU17" t="s">
        <v>94</v>
      </c>
      <c r="DV17" t="s">
        <v>94</v>
      </c>
      <c r="DW17" t="s">
        <v>94</v>
      </c>
      <c r="DX17" s="2" t="s">
        <v>94</v>
      </c>
      <c r="DY17" t="s">
        <v>94</v>
      </c>
      <c r="DZ17" t="s">
        <v>94</v>
      </c>
      <c r="EA17" t="s">
        <v>94</v>
      </c>
      <c r="EB17" t="s">
        <v>94</v>
      </c>
      <c r="EC17" t="s">
        <v>94</v>
      </c>
      <c r="ED17" t="s">
        <v>94</v>
      </c>
      <c r="EE17" t="s">
        <v>89</v>
      </c>
      <c r="EF17" t="s">
        <v>94</v>
      </c>
      <c r="EG17" t="s">
        <v>226</v>
      </c>
      <c r="EJ17" t="s">
        <v>166</v>
      </c>
      <c r="EK17" t="b">
        <v>0</v>
      </c>
      <c r="EL17" t="b">
        <v>0</v>
      </c>
      <c r="EM17" t="b">
        <v>0</v>
      </c>
      <c r="EO17" t="s">
        <v>177</v>
      </c>
      <c r="EP17" t="s">
        <v>406</v>
      </c>
    </row>
    <row r="18" spans="3:146">
      <c r="C18" s="4" t="s">
        <v>401</v>
      </c>
      <c r="D18" s="5"/>
      <c r="E18" s="4">
        <v>1</v>
      </c>
      <c r="F18" s="4">
        <v>0.4</v>
      </c>
      <c r="G18" s="5" t="s">
        <v>374</v>
      </c>
      <c r="H18" s="4" t="s">
        <v>203</v>
      </c>
      <c r="I18" s="4" t="s">
        <v>164</v>
      </c>
      <c r="J18" s="4"/>
      <c r="K18" s="22" t="s">
        <v>379</v>
      </c>
      <c r="L18" s="22">
        <v>1100271750292</v>
      </c>
      <c r="M18" s="23" t="s">
        <v>164</v>
      </c>
      <c r="N18" s="23">
        <v>43710</v>
      </c>
      <c r="O18" s="24" t="s">
        <v>102</v>
      </c>
      <c r="P18" s="24" t="s">
        <v>195</v>
      </c>
      <c r="Q18" s="24">
        <v>1</v>
      </c>
      <c r="R18" s="24">
        <v>0.4</v>
      </c>
      <c r="S18" t="s">
        <v>196</v>
      </c>
      <c r="T18" t="s">
        <v>376</v>
      </c>
      <c r="U18" s="2" t="s">
        <v>163</v>
      </c>
      <c r="V18">
        <v>43710.582650462966</v>
      </c>
      <c r="W18" s="2" t="s">
        <v>207</v>
      </c>
      <c r="X18">
        <v>43710.582835648151</v>
      </c>
      <c r="AB18" t="s">
        <v>9</v>
      </c>
      <c r="AC18" t="s">
        <v>208</v>
      </c>
      <c r="AD18" t="s">
        <v>241</v>
      </c>
      <c r="AE18">
        <v>3003278</v>
      </c>
      <c r="AF18">
        <v>3003278</v>
      </c>
      <c r="AG18" t="s">
        <v>183</v>
      </c>
      <c r="AH18" t="s">
        <v>210</v>
      </c>
      <c r="AI18" t="s">
        <v>210</v>
      </c>
      <c r="AJ18" t="s">
        <v>211</v>
      </c>
      <c r="AK18" t="s">
        <v>212</v>
      </c>
      <c r="AL18" t="s">
        <v>213</v>
      </c>
      <c r="AM18" t="s">
        <v>214</v>
      </c>
      <c r="AO18" t="s">
        <v>215</v>
      </c>
      <c r="AP18" t="s">
        <v>216</v>
      </c>
      <c r="AQ18" t="s">
        <v>217</v>
      </c>
      <c r="AR18">
        <v>700064</v>
      </c>
      <c r="AS18">
        <v>919073572119</v>
      </c>
      <c r="AT18" t="s">
        <v>218</v>
      </c>
      <c r="AU18" t="s">
        <v>10</v>
      </c>
      <c r="AV18" t="s">
        <v>242</v>
      </c>
      <c r="AW18" t="s">
        <v>242</v>
      </c>
      <c r="AX18" t="s">
        <v>243</v>
      </c>
      <c r="AY18" t="s">
        <v>244</v>
      </c>
      <c r="BA18" t="s">
        <v>245</v>
      </c>
      <c r="BB18" t="s">
        <v>246</v>
      </c>
      <c r="BC18" t="s">
        <v>188</v>
      </c>
      <c r="BD18">
        <v>516007</v>
      </c>
      <c r="BE18" t="s">
        <v>380</v>
      </c>
      <c r="BF18" t="s">
        <v>247</v>
      </c>
      <c r="BG18" t="b">
        <v>0</v>
      </c>
      <c r="BH18" s="6" t="s">
        <v>225</v>
      </c>
      <c r="BI18" t="s">
        <v>198</v>
      </c>
      <c r="BJ18">
        <v>4453163191</v>
      </c>
      <c r="BK18" t="s">
        <v>162</v>
      </c>
      <c r="BL18" t="s">
        <v>161</v>
      </c>
      <c r="BM18" s="2"/>
      <c r="BR18" t="s">
        <v>199</v>
      </c>
      <c r="BS18" t="s">
        <v>103</v>
      </c>
      <c r="BU18">
        <v>0</v>
      </c>
      <c r="BV18">
        <v>0</v>
      </c>
      <c r="BW18">
        <v>0</v>
      </c>
      <c r="BX18">
        <v>0</v>
      </c>
      <c r="BY18">
        <v>0</v>
      </c>
      <c r="BZ18">
        <v>0</v>
      </c>
      <c r="CA18">
        <v>0</v>
      </c>
      <c r="CF18" s="2"/>
      <c r="CH18" s="2"/>
      <c r="CJ18" t="s">
        <v>378</v>
      </c>
      <c r="CK18" t="s">
        <v>165</v>
      </c>
      <c r="CL18">
        <v>43710.386041666665</v>
      </c>
      <c r="CO18" t="s">
        <v>11</v>
      </c>
      <c r="CP18">
        <v>0</v>
      </c>
      <c r="CQ18" t="s">
        <v>11</v>
      </c>
      <c r="CR18">
        <v>0</v>
      </c>
      <c r="CV18" t="s">
        <v>190</v>
      </c>
      <c r="CW18" t="s">
        <v>12</v>
      </c>
      <c r="CX18" t="s">
        <v>12</v>
      </c>
      <c r="CY18" t="s">
        <v>12</v>
      </c>
      <c r="DA18" t="s">
        <v>104</v>
      </c>
      <c r="DD18" t="s">
        <v>93</v>
      </c>
      <c r="DQ18" t="s">
        <v>94</v>
      </c>
      <c r="DR18" t="s">
        <v>94</v>
      </c>
      <c r="DS18" t="s">
        <v>94</v>
      </c>
      <c r="DT18" t="s">
        <v>94</v>
      </c>
      <c r="DU18" t="s">
        <v>94</v>
      </c>
      <c r="DV18" t="s">
        <v>94</v>
      </c>
      <c r="DW18" t="s">
        <v>94</v>
      </c>
      <c r="DX18" s="2" t="s">
        <v>94</v>
      </c>
      <c r="DY18" t="s">
        <v>94</v>
      </c>
      <c r="DZ18" t="s">
        <v>94</v>
      </c>
      <c r="EA18" t="s">
        <v>94</v>
      </c>
      <c r="EB18" t="s">
        <v>94</v>
      </c>
      <c r="EC18" t="s">
        <v>94</v>
      </c>
      <c r="ED18" t="s">
        <v>94</v>
      </c>
      <c r="EE18" t="s">
        <v>89</v>
      </c>
      <c r="EF18" t="s">
        <v>94</v>
      </c>
      <c r="EG18" t="s">
        <v>226</v>
      </c>
      <c r="EJ18" t="s">
        <v>166</v>
      </c>
      <c r="EK18" t="b">
        <v>0</v>
      </c>
      <c r="EL18" t="b">
        <v>0</v>
      </c>
      <c r="EM18" t="b">
        <v>0</v>
      </c>
      <c r="EO18" t="s">
        <v>177</v>
      </c>
      <c r="EP18" t="s">
        <v>406</v>
      </c>
    </row>
    <row r="19" spans="3:146">
      <c r="C19" s="4" t="s">
        <v>401</v>
      </c>
      <c r="D19" s="5"/>
      <c r="E19" s="4">
        <v>1</v>
      </c>
      <c r="F19" s="4">
        <v>0.4</v>
      </c>
      <c r="G19" s="5" t="s">
        <v>374</v>
      </c>
      <c r="H19" s="5" t="s">
        <v>203</v>
      </c>
      <c r="I19" s="4" t="s">
        <v>164</v>
      </c>
      <c r="J19" s="4"/>
      <c r="K19" s="22" t="s">
        <v>248</v>
      </c>
      <c r="L19" s="22">
        <v>1100271750292</v>
      </c>
      <c r="M19" s="23" t="s">
        <v>164</v>
      </c>
      <c r="N19" s="23">
        <v>43710</v>
      </c>
      <c r="O19" s="24" t="s">
        <v>102</v>
      </c>
      <c r="P19" s="24" t="s">
        <v>195</v>
      </c>
      <c r="Q19" s="24">
        <v>1</v>
      </c>
      <c r="R19" s="24">
        <v>0.4</v>
      </c>
      <c r="S19" t="s">
        <v>196</v>
      </c>
      <c r="T19" t="s">
        <v>376</v>
      </c>
      <c r="U19" t="s">
        <v>163</v>
      </c>
      <c r="V19">
        <v>43710.582650462966</v>
      </c>
      <c r="W19" t="s">
        <v>207</v>
      </c>
      <c r="X19">
        <v>43710.582870370374</v>
      </c>
      <c r="AB19" t="s">
        <v>9</v>
      </c>
      <c r="AC19" t="s">
        <v>208</v>
      </c>
      <c r="AD19" t="s">
        <v>249</v>
      </c>
      <c r="AE19">
        <v>3003278</v>
      </c>
      <c r="AF19">
        <v>3003278</v>
      </c>
      <c r="AG19" t="s">
        <v>183</v>
      </c>
      <c r="AH19" t="s">
        <v>210</v>
      </c>
      <c r="AI19" t="s">
        <v>210</v>
      </c>
      <c r="AJ19" t="s">
        <v>211</v>
      </c>
      <c r="AK19" t="s">
        <v>212</v>
      </c>
      <c r="AL19" t="s">
        <v>213</v>
      </c>
      <c r="AM19" t="s">
        <v>214</v>
      </c>
      <c r="AO19" t="s">
        <v>215</v>
      </c>
      <c r="AP19" t="s">
        <v>216</v>
      </c>
      <c r="AQ19" t="s">
        <v>217</v>
      </c>
      <c r="AR19">
        <v>700064</v>
      </c>
      <c r="AS19">
        <v>919073572119</v>
      </c>
      <c r="AT19" t="s">
        <v>218</v>
      </c>
      <c r="AU19" t="s">
        <v>10</v>
      </c>
      <c r="AV19" t="s">
        <v>250</v>
      </c>
      <c r="AW19" t="s">
        <v>250</v>
      </c>
      <c r="AX19" t="s">
        <v>251</v>
      </c>
      <c r="AY19" t="s">
        <v>252</v>
      </c>
      <c r="AZ19" t="s">
        <v>253</v>
      </c>
      <c r="BA19" t="s">
        <v>254</v>
      </c>
      <c r="BB19" t="s">
        <v>255</v>
      </c>
      <c r="BC19" t="s">
        <v>253</v>
      </c>
      <c r="BD19">
        <v>530226</v>
      </c>
      <c r="BE19" t="s">
        <v>377</v>
      </c>
      <c r="BF19" t="s">
        <v>256</v>
      </c>
      <c r="BG19" t="b">
        <v>0</v>
      </c>
      <c r="BH19" s="6" t="s">
        <v>225</v>
      </c>
      <c r="BI19" t="s">
        <v>198</v>
      </c>
      <c r="BJ19">
        <v>4453163191</v>
      </c>
      <c r="BK19" t="s">
        <v>162</v>
      </c>
      <c r="BL19" t="s">
        <v>161</v>
      </c>
      <c r="BM19" s="2"/>
      <c r="BR19" t="s">
        <v>199</v>
      </c>
      <c r="BS19" t="s">
        <v>103</v>
      </c>
      <c r="BU19">
        <v>0</v>
      </c>
      <c r="BV19">
        <v>0</v>
      </c>
      <c r="BW19">
        <v>0</v>
      </c>
      <c r="BX19">
        <v>0</v>
      </c>
      <c r="BY19">
        <v>0</v>
      </c>
      <c r="BZ19">
        <v>0</v>
      </c>
      <c r="CA19">
        <v>0</v>
      </c>
      <c r="CJ19" t="s">
        <v>378</v>
      </c>
      <c r="CK19" t="s">
        <v>165</v>
      </c>
      <c r="CL19">
        <v>43710.386041666665</v>
      </c>
      <c r="CO19" t="s">
        <v>11</v>
      </c>
      <c r="CP19">
        <v>0</v>
      </c>
      <c r="CQ19" t="s">
        <v>11</v>
      </c>
      <c r="CR19">
        <v>0</v>
      </c>
      <c r="CV19" t="s">
        <v>190</v>
      </c>
      <c r="CW19" t="s">
        <v>12</v>
      </c>
      <c r="CX19" t="s">
        <v>12</v>
      </c>
      <c r="CY19" t="s">
        <v>12</v>
      </c>
      <c r="DA19" t="s">
        <v>104</v>
      </c>
      <c r="DD19" t="s">
        <v>93</v>
      </c>
      <c r="DQ19" t="s">
        <v>94</v>
      </c>
      <c r="DR19" t="s">
        <v>94</v>
      </c>
      <c r="DS19" t="s">
        <v>94</v>
      </c>
      <c r="DT19" t="s">
        <v>94</v>
      </c>
      <c r="DU19" t="s">
        <v>94</v>
      </c>
      <c r="DV19" t="s">
        <v>94</v>
      </c>
      <c r="DW19" t="s">
        <v>94</v>
      </c>
      <c r="DX19" s="2" t="s">
        <v>94</v>
      </c>
      <c r="DY19" t="s">
        <v>94</v>
      </c>
      <c r="DZ19" t="s">
        <v>94</v>
      </c>
      <c r="EA19" t="s">
        <v>94</v>
      </c>
      <c r="EB19" t="s">
        <v>94</v>
      </c>
      <c r="EC19" t="s">
        <v>94</v>
      </c>
      <c r="ED19" t="s">
        <v>94</v>
      </c>
      <c r="EE19" t="s">
        <v>89</v>
      </c>
      <c r="EF19" t="s">
        <v>94</v>
      </c>
      <c r="EG19" t="s">
        <v>226</v>
      </c>
      <c r="EJ19" t="s">
        <v>166</v>
      </c>
      <c r="EK19" t="b">
        <v>0</v>
      </c>
      <c r="EL19" t="b">
        <v>0</v>
      </c>
      <c r="EM19" t="b">
        <v>0</v>
      </c>
      <c r="EO19" t="s">
        <v>177</v>
      </c>
      <c r="EP19" t="s">
        <v>406</v>
      </c>
    </row>
    <row r="20" spans="3:146">
      <c r="C20" s="4" t="s">
        <v>401</v>
      </c>
      <c r="D20" s="5"/>
      <c r="E20" s="4">
        <v>1</v>
      </c>
      <c r="F20" s="4">
        <v>0.15</v>
      </c>
      <c r="G20" s="5" t="s">
        <v>374</v>
      </c>
      <c r="H20" s="4" t="s">
        <v>391</v>
      </c>
      <c r="I20" s="4" t="s">
        <v>164</v>
      </c>
      <c r="J20" s="4"/>
      <c r="K20" s="22" t="s">
        <v>392</v>
      </c>
      <c r="L20" s="22">
        <v>1100271750292</v>
      </c>
      <c r="M20" s="23" t="s">
        <v>164</v>
      </c>
      <c r="N20" s="23">
        <v>43710</v>
      </c>
      <c r="O20" s="24" t="s">
        <v>102</v>
      </c>
      <c r="P20" s="24" t="s">
        <v>179</v>
      </c>
      <c r="Q20" s="24">
        <v>1</v>
      </c>
      <c r="R20" s="24">
        <v>0.15</v>
      </c>
      <c r="S20" t="s">
        <v>319</v>
      </c>
      <c r="T20" t="s">
        <v>393</v>
      </c>
      <c r="U20" t="s">
        <v>163</v>
      </c>
      <c r="V20">
        <v>43710.582638888889</v>
      </c>
      <c r="W20" t="s">
        <v>207</v>
      </c>
      <c r="X20">
        <v>43710.58284722222</v>
      </c>
      <c r="AB20" t="s">
        <v>9</v>
      </c>
      <c r="AC20" t="s">
        <v>320</v>
      </c>
      <c r="AD20" t="s">
        <v>200</v>
      </c>
      <c r="AE20">
        <v>100740</v>
      </c>
      <c r="AF20">
        <v>100740</v>
      </c>
      <c r="AG20" t="s">
        <v>183</v>
      </c>
      <c r="AH20" t="s">
        <v>321</v>
      </c>
      <c r="AI20" t="s">
        <v>321</v>
      </c>
      <c r="AJ20" t="s">
        <v>322</v>
      </c>
      <c r="AK20" t="s">
        <v>323</v>
      </c>
      <c r="AL20" t="s">
        <v>324</v>
      </c>
      <c r="AM20" t="s">
        <v>325</v>
      </c>
      <c r="AO20" t="s">
        <v>326</v>
      </c>
      <c r="AP20" t="s">
        <v>323</v>
      </c>
      <c r="AR20">
        <v>9999</v>
      </c>
      <c r="AS20">
        <v>-97317225751</v>
      </c>
      <c r="AT20" t="s">
        <v>327</v>
      </c>
      <c r="AU20" t="s">
        <v>10</v>
      </c>
      <c r="AV20" t="s">
        <v>328</v>
      </c>
      <c r="AW20" t="s">
        <v>328</v>
      </c>
      <c r="AX20" t="s">
        <v>329</v>
      </c>
      <c r="AY20" t="s">
        <v>330</v>
      </c>
      <c r="AZ20" t="s">
        <v>331</v>
      </c>
      <c r="BA20" t="s">
        <v>332</v>
      </c>
      <c r="BB20" t="s">
        <v>201</v>
      </c>
      <c r="BC20" t="s">
        <v>188</v>
      </c>
      <c r="BD20">
        <v>528527</v>
      </c>
      <c r="BE20" t="s">
        <v>394</v>
      </c>
      <c r="BF20" t="s">
        <v>333</v>
      </c>
      <c r="BG20" t="b">
        <v>0</v>
      </c>
      <c r="BH20" s="6" t="s">
        <v>334</v>
      </c>
      <c r="BI20" t="s">
        <v>335</v>
      </c>
      <c r="BJ20">
        <v>4453163191</v>
      </c>
      <c r="BK20" t="s">
        <v>162</v>
      </c>
      <c r="BL20" t="s">
        <v>161</v>
      </c>
      <c r="BM20" s="2"/>
      <c r="BO20" t="s">
        <v>89</v>
      </c>
      <c r="BP20" t="s">
        <v>395</v>
      </c>
      <c r="BR20" t="s">
        <v>180</v>
      </c>
      <c r="BS20" t="s">
        <v>103</v>
      </c>
      <c r="BU20">
        <v>0</v>
      </c>
      <c r="BV20">
        <v>0</v>
      </c>
      <c r="BW20">
        <v>0</v>
      </c>
      <c r="BX20">
        <v>0</v>
      </c>
      <c r="BY20">
        <v>0</v>
      </c>
      <c r="BZ20">
        <v>0</v>
      </c>
      <c r="CA20">
        <v>0</v>
      </c>
      <c r="CJ20" t="s">
        <v>375</v>
      </c>
      <c r="CK20" t="s">
        <v>165</v>
      </c>
      <c r="CL20">
        <v>43710.386041666665</v>
      </c>
      <c r="CO20" t="s">
        <v>11</v>
      </c>
      <c r="CP20">
        <v>140.62</v>
      </c>
      <c r="CQ20" t="s">
        <v>11</v>
      </c>
      <c r="CR20">
        <v>140.62</v>
      </c>
      <c r="CV20" t="s">
        <v>190</v>
      </c>
      <c r="CW20" t="s">
        <v>12</v>
      </c>
      <c r="CX20" t="s">
        <v>12</v>
      </c>
      <c r="CY20" t="s">
        <v>12</v>
      </c>
      <c r="DA20" t="s">
        <v>104</v>
      </c>
      <c r="DD20" t="s">
        <v>93</v>
      </c>
      <c r="DQ20" t="s">
        <v>94</v>
      </c>
      <c r="DR20" t="s">
        <v>94</v>
      </c>
      <c r="DS20" t="s">
        <v>94</v>
      </c>
      <c r="DT20" t="s">
        <v>94</v>
      </c>
      <c r="DU20" t="s">
        <v>94</v>
      </c>
      <c r="DV20" t="s">
        <v>94</v>
      </c>
      <c r="DW20" t="s">
        <v>94</v>
      </c>
      <c r="DX20" s="2" t="s">
        <v>94</v>
      </c>
      <c r="DY20" t="s">
        <v>94</v>
      </c>
      <c r="DZ20" t="s">
        <v>94</v>
      </c>
      <c r="EA20" t="s">
        <v>94</v>
      </c>
      <c r="EB20" t="s">
        <v>94</v>
      </c>
      <c r="EC20" t="s">
        <v>94</v>
      </c>
      <c r="ED20" t="s">
        <v>94</v>
      </c>
      <c r="EE20" t="s">
        <v>89</v>
      </c>
      <c r="EF20" t="s">
        <v>94</v>
      </c>
      <c r="EG20" t="s">
        <v>105</v>
      </c>
      <c r="EJ20" t="s">
        <v>166</v>
      </c>
      <c r="EK20" t="b">
        <v>0</v>
      </c>
      <c r="EL20" t="b">
        <v>0</v>
      </c>
      <c r="EM20" t="b">
        <v>0</v>
      </c>
      <c r="EO20" t="s">
        <v>177</v>
      </c>
      <c r="EP20" t="s">
        <v>406</v>
      </c>
    </row>
    <row r="21" spans="3:146">
      <c r="C21" s="4" t="s">
        <v>401</v>
      </c>
      <c r="D21" s="5"/>
      <c r="E21" s="4">
        <v>1</v>
      </c>
      <c r="F21" s="4">
        <v>0.04</v>
      </c>
      <c r="G21" s="5" t="s">
        <v>374</v>
      </c>
      <c r="H21" s="4" t="s">
        <v>203</v>
      </c>
      <c r="I21" s="4" t="s">
        <v>164</v>
      </c>
      <c r="J21" s="4"/>
      <c r="K21" s="1" t="s">
        <v>386</v>
      </c>
      <c r="L21" s="1">
        <v>1100271750292</v>
      </c>
      <c r="M21" s="2" t="s">
        <v>164</v>
      </c>
      <c r="N21" s="2">
        <v>43710</v>
      </c>
      <c r="O21" t="s">
        <v>102</v>
      </c>
      <c r="P21" t="s">
        <v>195</v>
      </c>
      <c r="Q21">
        <v>1</v>
      </c>
      <c r="R21">
        <v>0.04</v>
      </c>
      <c r="S21" t="s">
        <v>196</v>
      </c>
      <c r="T21" t="s">
        <v>376</v>
      </c>
      <c r="U21" t="s">
        <v>163</v>
      </c>
      <c r="V21">
        <v>43710.582662037035</v>
      </c>
      <c r="W21" t="s">
        <v>197</v>
      </c>
      <c r="X21">
        <v>43710.582835648151</v>
      </c>
      <c r="AB21" t="s">
        <v>9</v>
      </c>
      <c r="AC21" t="s">
        <v>257</v>
      </c>
      <c r="AD21" t="s">
        <v>182</v>
      </c>
      <c r="AE21">
        <v>25431</v>
      </c>
      <c r="AF21">
        <v>25431</v>
      </c>
      <c r="AG21" t="s">
        <v>183</v>
      </c>
      <c r="AH21" t="s">
        <v>258</v>
      </c>
      <c r="AI21" t="s">
        <v>258</v>
      </c>
      <c r="AJ21" t="s">
        <v>259</v>
      </c>
      <c r="AK21" t="s">
        <v>260</v>
      </c>
      <c r="AL21" t="s">
        <v>261</v>
      </c>
      <c r="AM21" t="s">
        <v>262</v>
      </c>
      <c r="AN21" t="s">
        <v>263</v>
      </c>
      <c r="AO21" t="s">
        <v>264</v>
      </c>
      <c r="AP21" t="s">
        <v>265</v>
      </c>
      <c r="AQ21" t="s">
        <v>266</v>
      </c>
      <c r="AR21">
        <v>18300</v>
      </c>
      <c r="AS21">
        <v>8497463566</v>
      </c>
      <c r="AT21" t="s">
        <v>267</v>
      </c>
      <c r="AU21" t="s">
        <v>10</v>
      </c>
      <c r="AV21" t="s">
        <v>268</v>
      </c>
      <c r="AW21" t="s">
        <v>268</v>
      </c>
      <c r="AX21" t="s">
        <v>269</v>
      </c>
      <c r="AY21" t="s">
        <v>270</v>
      </c>
      <c r="AZ21" t="s">
        <v>193</v>
      </c>
      <c r="BA21" t="s">
        <v>271</v>
      </c>
      <c r="BB21" t="s">
        <v>272</v>
      </c>
      <c r="BC21" t="s">
        <v>188</v>
      </c>
      <c r="BD21">
        <v>518050</v>
      </c>
      <c r="BE21" t="s">
        <v>385</v>
      </c>
      <c r="BF21" t="s">
        <v>273</v>
      </c>
      <c r="BG21" t="b">
        <v>0</v>
      </c>
      <c r="BH21" s="6" t="s">
        <v>204</v>
      </c>
      <c r="BI21" t="s">
        <v>198</v>
      </c>
      <c r="BJ21">
        <v>4453163191</v>
      </c>
      <c r="BK21" t="s">
        <v>162</v>
      </c>
      <c r="BL21" t="s">
        <v>161</v>
      </c>
      <c r="BM21" s="2"/>
      <c r="BR21" t="s">
        <v>199</v>
      </c>
      <c r="BS21" t="s">
        <v>103</v>
      </c>
      <c r="BU21">
        <v>0</v>
      </c>
      <c r="BV21">
        <v>0</v>
      </c>
      <c r="BW21">
        <v>0</v>
      </c>
      <c r="BX21">
        <v>0</v>
      </c>
      <c r="BY21">
        <v>0</v>
      </c>
      <c r="BZ21">
        <v>0</v>
      </c>
      <c r="CA21">
        <v>0</v>
      </c>
      <c r="CJ21" t="s">
        <v>378</v>
      </c>
      <c r="CK21" t="s">
        <v>165</v>
      </c>
      <c r="CL21">
        <v>43710.386053240742</v>
      </c>
      <c r="CO21" t="s">
        <v>11</v>
      </c>
      <c r="CP21">
        <v>0</v>
      </c>
      <c r="CQ21" t="s">
        <v>11</v>
      </c>
      <c r="CR21">
        <v>0</v>
      </c>
      <c r="CV21" t="s">
        <v>190</v>
      </c>
      <c r="CW21" t="s">
        <v>12</v>
      </c>
      <c r="CX21" t="s">
        <v>12</v>
      </c>
      <c r="CY21" t="s">
        <v>12</v>
      </c>
      <c r="DA21" t="s">
        <v>104</v>
      </c>
      <c r="DD21" t="s">
        <v>93</v>
      </c>
      <c r="DQ21" t="s">
        <v>94</v>
      </c>
      <c r="DR21" t="s">
        <v>94</v>
      </c>
      <c r="DS21" t="s">
        <v>94</v>
      </c>
      <c r="DT21" t="s">
        <v>94</v>
      </c>
      <c r="DU21" t="s">
        <v>94</v>
      </c>
      <c r="DV21" t="s">
        <v>94</v>
      </c>
      <c r="DW21" t="s">
        <v>94</v>
      </c>
      <c r="DX21" s="2" t="s">
        <v>94</v>
      </c>
      <c r="DY21" t="s">
        <v>94</v>
      </c>
      <c r="DZ21" t="s">
        <v>94</v>
      </c>
      <c r="EA21" t="s">
        <v>94</v>
      </c>
      <c r="EB21" t="s">
        <v>94</v>
      </c>
      <c r="EC21" t="s">
        <v>94</v>
      </c>
      <c r="ED21" t="s">
        <v>94</v>
      </c>
      <c r="EE21" t="s">
        <v>89</v>
      </c>
      <c r="EF21" t="s">
        <v>94</v>
      </c>
      <c r="EG21" t="s">
        <v>226</v>
      </c>
      <c r="EJ21" t="s">
        <v>166</v>
      </c>
      <c r="EK21" t="b">
        <v>0</v>
      </c>
      <c r="EL21" t="b">
        <v>0</v>
      </c>
      <c r="EM21" t="b">
        <v>0</v>
      </c>
      <c r="EO21" t="s">
        <v>177</v>
      </c>
      <c r="EP21" t="s">
        <v>406</v>
      </c>
    </row>
    <row r="22" spans="3:146">
      <c r="C22" s="4" t="s">
        <v>401</v>
      </c>
      <c r="D22" s="5"/>
      <c r="E22" s="4">
        <v>1</v>
      </c>
      <c r="F22" s="4">
        <v>0.04</v>
      </c>
      <c r="G22" s="5" t="s">
        <v>374</v>
      </c>
      <c r="H22" s="4" t="s">
        <v>203</v>
      </c>
      <c r="I22" s="4" t="s">
        <v>164</v>
      </c>
      <c r="J22" s="4"/>
      <c r="K22" s="1" t="s">
        <v>384</v>
      </c>
      <c r="L22" s="1">
        <v>1100271750292</v>
      </c>
      <c r="M22" s="2" t="s">
        <v>164</v>
      </c>
      <c r="N22" s="2">
        <v>43710</v>
      </c>
      <c r="O22" t="s">
        <v>102</v>
      </c>
      <c r="P22" t="s">
        <v>195</v>
      </c>
      <c r="Q22">
        <v>1</v>
      </c>
      <c r="R22">
        <v>0.04</v>
      </c>
      <c r="S22" t="s">
        <v>196</v>
      </c>
      <c r="T22" t="s">
        <v>376</v>
      </c>
      <c r="U22" t="s">
        <v>163</v>
      </c>
      <c r="V22">
        <v>43710.582662037035</v>
      </c>
      <c r="W22" t="s">
        <v>197</v>
      </c>
      <c r="X22">
        <v>43710.582835648151</v>
      </c>
      <c r="AB22" t="s">
        <v>9</v>
      </c>
      <c r="AC22" t="s">
        <v>257</v>
      </c>
      <c r="AD22" t="s">
        <v>182</v>
      </c>
      <c r="AE22">
        <v>25431</v>
      </c>
      <c r="AF22">
        <v>25431</v>
      </c>
      <c r="AG22" t="s">
        <v>183</v>
      </c>
      <c r="AH22" t="s">
        <v>258</v>
      </c>
      <c r="AI22" t="s">
        <v>258</v>
      </c>
      <c r="AJ22" t="s">
        <v>259</v>
      </c>
      <c r="AK22" t="s">
        <v>260</v>
      </c>
      <c r="AL22" t="s">
        <v>261</v>
      </c>
      <c r="AM22" t="s">
        <v>262</v>
      </c>
      <c r="AN22" t="s">
        <v>263</v>
      </c>
      <c r="AO22" t="s">
        <v>264</v>
      </c>
      <c r="AP22" t="s">
        <v>265</v>
      </c>
      <c r="AQ22" t="s">
        <v>266</v>
      </c>
      <c r="AR22">
        <v>18300</v>
      </c>
      <c r="AS22">
        <v>8497463566</v>
      </c>
      <c r="AT22" t="s">
        <v>267</v>
      </c>
      <c r="AU22" t="s">
        <v>10</v>
      </c>
      <c r="AV22" t="s">
        <v>268</v>
      </c>
      <c r="AW22" t="s">
        <v>268</v>
      </c>
      <c r="AX22" t="s">
        <v>269</v>
      </c>
      <c r="AY22" t="s">
        <v>270</v>
      </c>
      <c r="AZ22" t="s">
        <v>193</v>
      </c>
      <c r="BA22" t="s">
        <v>271</v>
      </c>
      <c r="BB22" t="s">
        <v>272</v>
      </c>
      <c r="BC22" t="s">
        <v>188</v>
      </c>
      <c r="BD22">
        <v>518050</v>
      </c>
      <c r="BE22" t="s">
        <v>385</v>
      </c>
      <c r="BF22" t="s">
        <v>273</v>
      </c>
      <c r="BG22" t="b">
        <v>0</v>
      </c>
      <c r="BH22" s="6" t="s">
        <v>225</v>
      </c>
      <c r="BI22" t="s">
        <v>198</v>
      </c>
      <c r="BJ22">
        <v>4453163191</v>
      </c>
      <c r="BK22" t="s">
        <v>162</v>
      </c>
      <c r="BL22" t="s">
        <v>161</v>
      </c>
      <c r="BM22" s="2"/>
      <c r="BR22" t="s">
        <v>199</v>
      </c>
      <c r="BS22" t="s">
        <v>103</v>
      </c>
      <c r="BU22">
        <v>0</v>
      </c>
      <c r="BV22">
        <v>0</v>
      </c>
      <c r="BW22">
        <v>0</v>
      </c>
      <c r="BX22">
        <v>0</v>
      </c>
      <c r="BY22">
        <v>0</v>
      </c>
      <c r="BZ22">
        <v>0</v>
      </c>
      <c r="CA22">
        <v>0</v>
      </c>
      <c r="CJ22" t="s">
        <v>378</v>
      </c>
      <c r="CK22" t="s">
        <v>165</v>
      </c>
      <c r="CL22">
        <v>43710.386064814818</v>
      </c>
      <c r="CO22" t="s">
        <v>11</v>
      </c>
      <c r="CP22">
        <v>0</v>
      </c>
      <c r="CQ22" t="s">
        <v>11</v>
      </c>
      <c r="CR22">
        <v>0</v>
      </c>
      <c r="CV22" t="s">
        <v>190</v>
      </c>
      <c r="CW22" t="s">
        <v>12</v>
      </c>
      <c r="CX22" t="s">
        <v>12</v>
      </c>
      <c r="CY22" t="s">
        <v>12</v>
      </c>
      <c r="DA22" t="s">
        <v>104</v>
      </c>
      <c r="DD22" t="s">
        <v>93</v>
      </c>
      <c r="DQ22" t="s">
        <v>94</v>
      </c>
      <c r="DR22" t="s">
        <v>94</v>
      </c>
      <c r="DS22" t="s">
        <v>94</v>
      </c>
      <c r="DT22" t="s">
        <v>94</v>
      </c>
      <c r="DU22" t="s">
        <v>94</v>
      </c>
      <c r="DV22" t="s">
        <v>94</v>
      </c>
      <c r="DW22" t="s">
        <v>94</v>
      </c>
      <c r="DX22" s="2" t="s">
        <v>94</v>
      </c>
      <c r="DY22" t="s">
        <v>94</v>
      </c>
      <c r="DZ22" t="s">
        <v>94</v>
      </c>
      <c r="EA22" t="s">
        <v>94</v>
      </c>
      <c r="EB22" t="s">
        <v>94</v>
      </c>
      <c r="EC22" t="s">
        <v>94</v>
      </c>
      <c r="ED22" t="s">
        <v>94</v>
      </c>
      <c r="EE22" t="s">
        <v>89</v>
      </c>
      <c r="EF22" t="s">
        <v>94</v>
      </c>
      <c r="EG22" t="s">
        <v>226</v>
      </c>
      <c r="EJ22" t="s">
        <v>166</v>
      </c>
      <c r="EK22" t="b">
        <v>0</v>
      </c>
      <c r="EL22" t="b">
        <v>0</v>
      </c>
      <c r="EM22" t="b">
        <v>0</v>
      </c>
      <c r="EO22" t="s">
        <v>177</v>
      </c>
      <c r="EP22" t="s">
        <v>406</v>
      </c>
    </row>
    <row r="23" spans="3:146">
      <c r="C23" s="4" t="s">
        <v>401</v>
      </c>
      <c r="D23" s="5"/>
      <c r="E23" s="4">
        <v>1</v>
      </c>
      <c r="F23" s="4">
        <v>0.12</v>
      </c>
      <c r="G23" s="5" t="s">
        <v>374</v>
      </c>
      <c r="H23" s="5" t="s">
        <v>387</v>
      </c>
      <c r="I23" s="5" t="s">
        <v>164</v>
      </c>
      <c r="J23" s="4"/>
      <c r="K23" s="1" t="s">
        <v>388</v>
      </c>
      <c r="L23" s="1">
        <v>1100271750292</v>
      </c>
      <c r="M23" s="2" t="s">
        <v>164</v>
      </c>
      <c r="N23" s="2">
        <v>43710</v>
      </c>
      <c r="O23" t="s">
        <v>102</v>
      </c>
      <c r="P23" t="s">
        <v>179</v>
      </c>
      <c r="Q23">
        <v>1</v>
      </c>
      <c r="R23">
        <v>0.12</v>
      </c>
      <c r="S23" t="s">
        <v>319</v>
      </c>
      <c r="T23" t="s">
        <v>389</v>
      </c>
      <c r="U23" t="s">
        <v>163</v>
      </c>
      <c r="V23">
        <v>43710.582650462966</v>
      </c>
      <c r="W23" t="s">
        <v>207</v>
      </c>
      <c r="X23">
        <v>43710.58284722222</v>
      </c>
      <c r="AB23" t="s">
        <v>9</v>
      </c>
      <c r="AC23" t="s">
        <v>336</v>
      </c>
      <c r="AD23" t="s">
        <v>182</v>
      </c>
      <c r="AE23">
        <v>129559</v>
      </c>
      <c r="AF23">
        <v>129559</v>
      </c>
      <c r="AG23" t="s">
        <v>183</v>
      </c>
      <c r="AH23" t="s">
        <v>337</v>
      </c>
      <c r="AI23" t="s">
        <v>337</v>
      </c>
      <c r="AJ23" t="s">
        <v>338</v>
      </c>
      <c r="AK23" t="s">
        <v>339</v>
      </c>
      <c r="AL23" t="s">
        <v>340</v>
      </c>
      <c r="AM23" t="s">
        <v>341</v>
      </c>
      <c r="AO23" t="s">
        <v>342</v>
      </c>
      <c r="AP23" t="s">
        <v>343</v>
      </c>
      <c r="AR23">
        <v>60188</v>
      </c>
      <c r="AS23">
        <v>317499500</v>
      </c>
      <c r="AT23" t="s">
        <v>344</v>
      </c>
      <c r="AU23" t="s">
        <v>10</v>
      </c>
      <c r="AV23" t="s">
        <v>345</v>
      </c>
      <c r="AW23" t="s">
        <v>345</v>
      </c>
      <c r="AX23" t="s">
        <v>346</v>
      </c>
      <c r="AY23" t="s">
        <v>347</v>
      </c>
      <c r="AZ23" t="s">
        <v>348</v>
      </c>
      <c r="BA23" t="s">
        <v>186</v>
      </c>
      <c r="BB23" t="s">
        <v>187</v>
      </c>
      <c r="BC23" t="s">
        <v>188</v>
      </c>
      <c r="BD23">
        <v>518125</v>
      </c>
      <c r="BE23" t="s">
        <v>349</v>
      </c>
      <c r="BF23" t="s">
        <v>350</v>
      </c>
      <c r="BG23" t="b">
        <v>0</v>
      </c>
      <c r="BH23" s="6" t="s">
        <v>351</v>
      </c>
      <c r="BI23" t="s">
        <v>352</v>
      </c>
      <c r="BJ23">
        <v>4453163191</v>
      </c>
      <c r="BK23" t="s">
        <v>162</v>
      </c>
      <c r="BL23" t="s">
        <v>161</v>
      </c>
      <c r="BM23" s="2"/>
      <c r="BO23" t="s">
        <v>89</v>
      </c>
      <c r="BP23" t="s">
        <v>390</v>
      </c>
      <c r="BR23" t="s">
        <v>180</v>
      </c>
      <c r="BS23" t="s">
        <v>103</v>
      </c>
      <c r="BU23">
        <v>0</v>
      </c>
      <c r="BV23">
        <v>0</v>
      </c>
      <c r="BW23">
        <v>0</v>
      </c>
      <c r="BX23">
        <v>0</v>
      </c>
      <c r="BY23">
        <v>0</v>
      </c>
      <c r="BZ23">
        <v>0</v>
      </c>
      <c r="CA23">
        <v>0</v>
      </c>
      <c r="CJ23" t="s">
        <v>375</v>
      </c>
      <c r="CK23" t="s">
        <v>165</v>
      </c>
      <c r="CL23">
        <v>43710.386064814818</v>
      </c>
      <c r="CO23" t="s">
        <v>11</v>
      </c>
      <c r="CP23">
        <v>168.75</v>
      </c>
      <c r="CQ23" t="s">
        <v>11</v>
      </c>
      <c r="CR23">
        <v>168.75</v>
      </c>
      <c r="CV23" t="s">
        <v>190</v>
      </c>
      <c r="CW23" t="s">
        <v>12</v>
      </c>
      <c r="CX23" t="s">
        <v>12</v>
      </c>
      <c r="CY23" t="s">
        <v>12</v>
      </c>
      <c r="DA23" t="s">
        <v>104</v>
      </c>
      <c r="DD23" t="s">
        <v>93</v>
      </c>
      <c r="DQ23" t="s">
        <v>94</v>
      </c>
      <c r="DR23" t="s">
        <v>94</v>
      </c>
      <c r="DS23" t="s">
        <v>94</v>
      </c>
      <c r="DT23" t="s">
        <v>94</v>
      </c>
      <c r="DU23" t="s">
        <v>94</v>
      </c>
      <c r="DV23" t="s">
        <v>94</v>
      </c>
      <c r="DW23" t="s">
        <v>94</v>
      </c>
      <c r="DX23" s="2" t="s">
        <v>94</v>
      </c>
      <c r="DY23" t="s">
        <v>94</v>
      </c>
      <c r="DZ23" t="s">
        <v>94</v>
      </c>
      <c r="EA23" t="s">
        <v>94</v>
      </c>
      <c r="EB23" t="s">
        <v>94</v>
      </c>
      <c r="EC23" t="s">
        <v>94</v>
      </c>
      <c r="ED23" t="s">
        <v>94</v>
      </c>
      <c r="EE23" t="s">
        <v>89</v>
      </c>
      <c r="EF23" t="s">
        <v>94</v>
      </c>
      <c r="EG23" t="s">
        <v>105</v>
      </c>
      <c r="EJ23" t="s">
        <v>166</v>
      </c>
      <c r="EK23" t="b">
        <v>0</v>
      </c>
      <c r="EL23" t="b">
        <v>0</v>
      </c>
      <c r="EM23" t="b">
        <v>0</v>
      </c>
      <c r="EO23" t="s">
        <v>177</v>
      </c>
      <c r="EP23" t="s">
        <v>406</v>
      </c>
    </row>
    <row r="24" spans="3:146">
      <c r="C24" s="4" t="s">
        <v>401</v>
      </c>
      <c r="D24" s="4"/>
      <c r="E24" s="4">
        <v>1</v>
      </c>
      <c r="F24" s="4">
        <v>0.12</v>
      </c>
      <c r="G24" s="5" t="s">
        <v>374</v>
      </c>
      <c r="H24" s="4" t="s">
        <v>203</v>
      </c>
      <c r="I24" s="4" t="s">
        <v>164</v>
      </c>
      <c r="J24" s="5"/>
      <c r="K24" s="1" t="s">
        <v>274</v>
      </c>
      <c r="L24" s="1">
        <v>1100271750292</v>
      </c>
      <c r="M24" s="2" t="s">
        <v>164</v>
      </c>
      <c r="N24" s="2">
        <v>43710</v>
      </c>
      <c r="O24" t="s">
        <v>102</v>
      </c>
      <c r="P24" t="s">
        <v>195</v>
      </c>
      <c r="Q24">
        <v>1</v>
      </c>
      <c r="R24">
        <v>0.12</v>
      </c>
      <c r="S24" t="s">
        <v>196</v>
      </c>
      <c r="T24" t="s">
        <v>376</v>
      </c>
      <c r="U24" t="s">
        <v>163</v>
      </c>
      <c r="V24">
        <v>43710.582662037035</v>
      </c>
      <c r="W24" t="s">
        <v>207</v>
      </c>
      <c r="X24">
        <v>43710.582870370374</v>
      </c>
      <c r="AB24" t="s">
        <v>9</v>
      </c>
      <c r="AC24" t="s">
        <v>257</v>
      </c>
      <c r="AD24" t="s">
        <v>275</v>
      </c>
      <c r="AE24">
        <v>23794</v>
      </c>
      <c r="AF24">
        <v>23794</v>
      </c>
      <c r="AG24" t="s">
        <v>183</v>
      </c>
      <c r="AH24" t="s">
        <v>276</v>
      </c>
      <c r="AI24" t="s">
        <v>276</v>
      </c>
      <c r="AJ24" t="s">
        <v>259</v>
      </c>
      <c r="AK24" t="s">
        <v>260</v>
      </c>
      <c r="AL24" t="s">
        <v>277</v>
      </c>
      <c r="AM24" t="s">
        <v>278</v>
      </c>
      <c r="AO24" t="s">
        <v>279</v>
      </c>
      <c r="AP24" t="s">
        <v>265</v>
      </c>
      <c r="AQ24" t="s">
        <v>280</v>
      </c>
      <c r="AR24">
        <v>10650</v>
      </c>
      <c r="AS24">
        <v>902258128</v>
      </c>
      <c r="AT24" t="s">
        <v>281</v>
      </c>
      <c r="AU24" t="s">
        <v>10</v>
      </c>
      <c r="AV24" t="s">
        <v>282</v>
      </c>
      <c r="AW24" t="s">
        <v>282</v>
      </c>
      <c r="AX24" t="s">
        <v>283</v>
      </c>
      <c r="AY24" t="s">
        <v>284</v>
      </c>
      <c r="BA24" t="s">
        <v>285</v>
      </c>
      <c r="BB24" t="s">
        <v>286</v>
      </c>
      <c r="BC24" t="s">
        <v>287</v>
      </c>
      <c r="BD24">
        <v>610041</v>
      </c>
      <c r="BE24" t="s">
        <v>400</v>
      </c>
      <c r="BF24" t="s">
        <v>282</v>
      </c>
      <c r="BG24" t="b">
        <v>0</v>
      </c>
      <c r="BH24" s="6" t="s">
        <v>204</v>
      </c>
      <c r="BI24" t="s">
        <v>198</v>
      </c>
      <c r="BJ24">
        <v>4453163191</v>
      </c>
      <c r="BK24" t="s">
        <v>162</v>
      </c>
      <c r="BL24" t="s">
        <v>161</v>
      </c>
      <c r="BM24" s="2"/>
      <c r="BR24" t="s">
        <v>199</v>
      </c>
      <c r="BS24" t="s">
        <v>103</v>
      </c>
      <c r="BU24">
        <v>0</v>
      </c>
      <c r="BV24">
        <v>0</v>
      </c>
      <c r="BW24">
        <v>0</v>
      </c>
      <c r="BX24">
        <v>0</v>
      </c>
      <c r="BY24">
        <v>0</v>
      </c>
      <c r="BZ24">
        <v>0</v>
      </c>
      <c r="CA24">
        <v>0</v>
      </c>
      <c r="CJ24" t="s">
        <v>378</v>
      </c>
      <c r="CK24" t="s">
        <v>165</v>
      </c>
      <c r="CL24">
        <v>43710.386076388888</v>
      </c>
      <c r="CO24" t="s">
        <v>11</v>
      </c>
      <c r="CP24">
        <v>0</v>
      </c>
      <c r="CQ24" t="s">
        <v>11</v>
      </c>
      <c r="CR24">
        <v>0</v>
      </c>
      <c r="CV24" t="s">
        <v>190</v>
      </c>
      <c r="CW24" t="s">
        <v>12</v>
      </c>
      <c r="CX24" t="s">
        <v>12</v>
      </c>
      <c r="CY24" t="s">
        <v>12</v>
      </c>
      <c r="DA24" t="s">
        <v>104</v>
      </c>
      <c r="DD24" t="s">
        <v>93</v>
      </c>
      <c r="DQ24" t="s">
        <v>94</v>
      </c>
      <c r="DR24" t="s">
        <v>94</v>
      </c>
      <c r="DS24" t="s">
        <v>94</v>
      </c>
      <c r="DT24" t="s">
        <v>94</v>
      </c>
      <c r="DU24" t="s">
        <v>94</v>
      </c>
      <c r="DV24" t="s">
        <v>94</v>
      </c>
      <c r="DW24" t="s">
        <v>94</v>
      </c>
      <c r="DX24" s="2" t="s">
        <v>94</v>
      </c>
      <c r="DY24" t="s">
        <v>94</v>
      </c>
      <c r="DZ24" t="s">
        <v>94</v>
      </c>
      <c r="EA24" t="s">
        <v>94</v>
      </c>
      <c r="EB24" t="s">
        <v>94</v>
      </c>
      <c r="EC24" t="s">
        <v>94</v>
      </c>
      <c r="ED24" t="s">
        <v>94</v>
      </c>
      <c r="EE24" t="s">
        <v>89</v>
      </c>
      <c r="EF24" t="s">
        <v>94</v>
      </c>
      <c r="EG24" t="s">
        <v>226</v>
      </c>
      <c r="EJ24" t="s">
        <v>166</v>
      </c>
      <c r="EK24" t="b">
        <v>0</v>
      </c>
      <c r="EL24" t="b">
        <v>0</v>
      </c>
      <c r="EM24" t="b">
        <v>0</v>
      </c>
      <c r="EO24" t="s">
        <v>177</v>
      </c>
      <c r="EP24" t="s">
        <v>406</v>
      </c>
    </row>
    <row r="25" spans="3:146">
      <c r="C25" s="4" t="s">
        <v>401</v>
      </c>
      <c r="D25" s="4"/>
      <c r="E25" s="4">
        <v>1</v>
      </c>
      <c r="F25" s="4">
        <v>1.18</v>
      </c>
      <c r="G25" s="4" t="s">
        <v>374</v>
      </c>
      <c r="H25" s="4" t="s">
        <v>403</v>
      </c>
      <c r="I25" s="4" t="s">
        <v>164</v>
      </c>
      <c r="J25" s="4"/>
      <c r="K25" s="1" t="s">
        <v>353</v>
      </c>
      <c r="L25" s="1">
        <v>1100271750292</v>
      </c>
      <c r="M25" s="6" t="s">
        <v>164</v>
      </c>
      <c r="N25" s="2">
        <v>43710</v>
      </c>
      <c r="O25" t="s">
        <v>102</v>
      </c>
      <c r="P25" t="s">
        <v>179</v>
      </c>
      <c r="Q25">
        <v>1</v>
      </c>
      <c r="R25">
        <v>1.18</v>
      </c>
      <c r="S25" t="s">
        <v>319</v>
      </c>
      <c r="T25" t="s">
        <v>393</v>
      </c>
      <c r="U25" t="s">
        <v>163</v>
      </c>
      <c r="V25">
        <v>43710.582650462966</v>
      </c>
      <c r="W25" t="s">
        <v>207</v>
      </c>
      <c r="X25">
        <v>43710.58284722222</v>
      </c>
      <c r="AB25" t="s">
        <v>9</v>
      </c>
      <c r="AC25" t="s">
        <v>354</v>
      </c>
      <c r="AD25" t="s">
        <v>182</v>
      </c>
      <c r="AE25">
        <v>38568</v>
      </c>
      <c r="AF25">
        <v>38568</v>
      </c>
      <c r="AG25" t="s">
        <v>183</v>
      </c>
      <c r="AH25" t="s">
        <v>355</v>
      </c>
      <c r="AI25" t="s">
        <v>355</v>
      </c>
      <c r="AJ25" t="s">
        <v>356</v>
      </c>
      <c r="AK25" t="s">
        <v>357</v>
      </c>
      <c r="AL25" t="s">
        <v>358</v>
      </c>
      <c r="AM25" t="s">
        <v>359</v>
      </c>
      <c r="AO25" t="s">
        <v>360</v>
      </c>
      <c r="AP25" t="s">
        <v>361</v>
      </c>
      <c r="AQ25" t="s">
        <v>362</v>
      </c>
      <c r="AR25">
        <v>7114001</v>
      </c>
      <c r="AS25">
        <v>508494928</v>
      </c>
      <c r="AT25" t="s">
        <v>363</v>
      </c>
      <c r="AU25" t="s">
        <v>10</v>
      </c>
      <c r="AV25" t="s">
        <v>364</v>
      </c>
      <c r="AW25" t="s">
        <v>364</v>
      </c>
      <c r="AX25" t="s">
        <v>365</v>
      </c>
      <c r="BA25" t="s">
        <v>194</v>
      </c>
      <c r="BB25" t="s">
        <v>187</v>
      </c>
      <c r="BC25" t="s">
        <v>188</v>
      </c>
      <c r="BD25">
        <v>518116</v>
      </c>
      <c r="BE25" t="s">
        <v>404</v>
      </c>
      <c r="BF25" t="s">
        <v>366</v>
      </c>
      <c r="BG25" t="b">
        <v>0</v>
      </c>
      <c r="BH25" s="6" t="s">
        <v>367</v>
      </c>
      <c r="BI25" t="s">
        <v>368</v>
      </c>
      <c r="BJ25">
        <v>4453163191</v>
      </c>
      <c r="BK25" t="s">
        <v>162</v>
      </c>
      <c r="BL25" t="s">
        <v>161</v>
      </c>
      <c r="BM25" s="2"/>
      <c r="BO25" t="s">
        <v>89</v>
      </c>
      <c r="BP25" t="s">
        <v>405</v>
      </c>
      <c r="BR25" t="s">
        <v>180</v>
      </c>
      <c r="BS25" t="s">
        <v>103</v>
      </c>
      <c r="BU25">
        <v>0</v>
      </c>
      <c r="BV25">
        <v>0</v>
      </c>
      <c r="BW25">
        <v>0</v>
      </c>
      <c r="BX25">
        <v>0</v>
      </c>
      <c r="BY25">
        <v>0</v>
      </c>
      <c r="BZ25">
        <v>0</v>
      </c>
      <c r="CA25">
        <v>0</v>
      </c>
      <c r="CJ25" t="s">
        <v>375</v>
      </c>
      <c r="CK25" t="s">
        <v>165</v>
      </c>
      <c r="CL25">
        <v>43710.386087962965</v>
      </c>
      <c r="CO25" t="s">
        <v>11</v>
      </c>
      <c r="CP25">
        <v>140.62</v>
      </c>
      <c r="CQ25" t="s">
        <v>11</v>
      </c>
      <c r="CR25">
        <v>140.62</v>
      </c>
      <c r="CV25" t="s">
        <v>190</v>
      </c>
      <c r="CW25" t="s">
        <v>12</v>
      </c>
      <c r="CX25" t="s">
        <v>12</v>
      </c>
      <c r="CY25" t="s">
        <v>12</v>
      </c>
      <c r="DA25" t="s">
        <v>104</v>
      </c>
      <c r="DD25" t="s">
        <v>93</v>
      </c>
      <c r="DQ25" t="s">
        <v>94</v>
      </c>
      <c r="DR25" t="s">
        <v>94</v>
      </c>
      <c r="DS25" t="s">
        <v>94</v>
      </c>
      <c r="DT25" t="s">
        <v>94</v>
      </c>
      <c r="DU25" t="s">
        <v>94</v>
      </c>
      <c r="DV25" t="s">
        <v>94</v>
      </c>
      <c r="DW25" t="s">
        <v>94</v>
      </c>
      <c r="DX25" s="2" t="s">
        <v>94</v>
      </c>
      <c r="DY25" t="s">
        <v>94</v>
      </c>
      <c r="DZ25" t="s">
        <v>94</v>
      </c>
      <c r="EA25" t="s">
        <v>94</v>
      </c>
      <c r="EB25" t="s">
        <v>94</v>
      </c>
      <c r="EC25" t="s">
        <v>94</v>
      </c>
      <c r="ED25" t="s">
        <v>94</v>
      </c>
      <c r="EE25" t="s">
        <v>89</v>
      </c>
      <c r="EF25" t="s">
        <v>94</v>
      </c>
      <c r="EG25" t="s">
        <v>105</v>
      </c>
      <c r="EJ25" t="s">
        <v>166</v>
      </c>
      <c r="EK25" t="b">
        <v>0</v>
      </c>
      <c r="EL25" t="b">
        <v>0</v>
      </c>
      <c r="EM25" t="b">
        <v>0</v>
      </c>
      <c r="EO25" t="s">
        <v>177</v>
      </c>
      <c r="EP25" t="s">
        <v>406</v>
      </c>
    </row>
    <row r="26" spans="3:146">
      <c r="C26" s="4" t="s">
        <v>401</v>
      </c>
      <c r="D26" s="4"/>
      <c r="E26" s="4">
        <v>1</v>
      </c>
      <c r="F26" s="4">
        <v>0.1</v>
      </c>
      <c r="G26" s="4" t="s">
        <v>374</v>
      </c>
      <c r="H26" s="4" t="s">
        <v>203</v>
      </c>
      <c r="I26" s="4" t="s">
        <v>164</v>
      </c>
      <c r="J26" s="4"/>
      <c r="K26" s="1" t="s">
        <v>398</v>
      </c>
      <c r="L26" s="1">
        <v>1100271750292</v>
      </c>
      <c r="M26" s="2" t="s">
        <v>164</v>
      </c>
      <c r="N26" s="2">
        <v>43710</v>
      </c>
      <c r="O26" t="s">
        <v>102</v>
      </c>
      <c r="P26" t="s">
        <v>195</v>
      </c>
      <c r="Q26">
        <v>1</v>
      </c>
      <c r="R26">
        <v>0.1</v>
      </c>
      <c r="S26" t="s">
        <v>196</v>
      </c>
      <c r="T26" t="s">
        <v>376</v>
      </c>
      <c r="U26" t="s">
        <v>163</v>
      </c>
      <c r="V26">
        <v>43710.582650462966</v>
      </c>
      <c r="W26" t="s">
        <v>207</v>
      </c>
      <c r="X26">
        <v>43710.582858796297</v>
      </c>
      <c r="AB26" t="s">
        <v>9</v>
      </c>
      <c r="AC26" t="s">
        <v>288</v>
      </c>
      <c r="AD26" t="s">
        <v>209</v>
      </c>
      <c r="AE26">
        <v>3000945</v>
      </c>
      <c r="AF26">
        <v>3000945</v>
      </c>
      <c r="AG26" t="s">
        <v>183</v>
      </c>
      <c r="AH26" t="s">
        <v>289</v>
      </c>
      <c r="AI26" t="s">
        <v>289</v>
      </c>
      <c r="AJ26" t="s">
        <v>211</v>
      </c>
      <c r="AK26" t="s">
        <v>212</v>
      </c>
      <c r="AL26" t="s">
        <v>290</v>
      </c>
      <c r="AM26" t="s">
        <v>291</v>
      </c>
      <c r="AO26" t="s">
        <v>292</v>
      </c>
      <c r="AP26" t="s">
        <v>293</v>
      </c>
      <c r="AQ26" t="s">
        <v>294</v>
      </c>
      <c r="AR26">
        <v>244001</v>
      </c>
      <c r="AS26">
        <v>5916531457</v>
      </c>
      <c r="AT26" t="s">
        <v>205</v>
      </c>
      <c r="AU26" t="s">
        <v>10</v>
      </c>
      <c r="AV26" t="s">
        <v>295</v>
      </c>
      <c r="AW26" t="s">
        <v>295</v>
      </c>
      <c r="AX26" t="s">
        <v>296</v>
      </c>
      <c r="AY26" t="s">
        <v>297</v>
      </c>
      <c r="AZ26" t="s">
        <v>298</v>
      </c>
      <c r="BA26" t="s">
        <v>299</v>
      </c>
      <c r="BB26" t="s">
        <v>300</v>
      </c>
      <c r="BC26" t="s">
        <v>188</v>
      </c>
      <c r="BD26">
        <v>511430</v>
      </c>
      <c r="BE26" t="s">
        <v>399</v>
      </c>
      <c r="BF26" t="s">
        <v>301</v>
      </c>
      <c r="BG26" t="b">
        <v>0</v>
      </c>
      <c r="BH26" s="6" t="s">
        <v>204</v>
      </c>
      <c r="BI26" t="s">
        <v>198</v>
      </c>
      <c r="BJ26">
        <v>4453163191</v>
      </c>
      <c r="BK26" t="s">
        <v>162</v>
      </c>
      <c r="BL26" t="s">
        <v>161</v>
      </c>
      <c r="BM26" s="2"/>
      <c r="BR26" t="s">
        <v>199</v>
      </c>
      <c r="BS26" t="s">
        <v>103</v>
      </c>
      <c r="BU26">
        <v>0</v>
      </c>
      <c r="BV26">
        <v>0</v>
      </c>
      <c r="BW26">
        <v>0</v>
      </c>
      <c r="BX26">
        <v>0</v>
      </c>
      <c r="BY26">
        <v>0</v>
      </c>
      <c r="BZ26">
        <v>0</v>
      </c>
      <c r="CA26">
        <v>0</v>
      </c>
      <c r="CJ26" t="s">
        <v>378</v>
      </c>
      <c r="CK26" t="s">
        <v>165</v>
      </c>
      <c r="CL26">
        <v>43710.386157407411</v>
      </c>
      <c r="CO26" t="s">
        <v>11</v>
      </c>
      <c r="CP26">
        <v>0</v>
      </c>
      <c r="CQ26" t="s">
        <v>11</v>
      </c>
      <c r="CR26">
        <v>0</v>
      </c>
      <c r="CV26" t="s">
        <v>190</v>
      </c>
      <c r="CW26" t="s">
        <v>12</v>
      </c>
      <c r="CX26" t="s">
        <v>12</v>
      </c>
      <c r="CY26" t="s">
        <v>12</v>
      </c>
      <c r="DA26" t="s">
        <v>104</v>
      </c>
      <c r="DD26" t="s">
        <v>93</v>
      </c>
      <c r="DQ26" t="s">
        <v>94</v>
      </c>
      <c r="DR26" t="s">
        <v>94</v>
      </c>
      <c r="DS26" t="s">
        <v>94</v>
      </c>
      <c r="DT26" t="s">
        <v>94</v>
      </c>
      <c r="DU26" t="s">
        <v>94</v>
      </c>
      <c r="DV26" t="s">
        <v>94</v>
      </c>
      <c r="DW26" t="s">
        <v>94</v>
      </c>
      <c r="DX26" s="2" t="s">
        <v>94</v>
      </c>
      <c r="DY26" t="s">
        <v>94</v>
      </c>
      <c r="DZ26" t="s">
        <v>94</v>
      </c>
      <c r="EA26" t="s">
        <v>94</v>
      </c>
      <c r="EB26" t="s">
        <v>94</v>
      </c>
      <c r="EC26" t="s">
        <v>94</v>
      </c>
      <c r="ED26" t="s">
        <v>94</v>
      </c>
      <c r="EE26" t="s">
        <v>89</v>
      </c>
      <c r="EF26" t="s">
        <v>94</v>
      </c>
      <c r="EG26" t="s">
        <v>226</v>
      </c>
      <c r="EJ26" t="s">
        <v>166</v>
      </c>
      <c r="EK26" t="b">
        <v>0</v>
      </c>
      <c r="EL26" t="b">
        <v>0</v>
      </c>
      <c r="EM26" t="b">
        <v>0</v>
      </c>
      <c r="EO26" t="s">
        <v>177</v>
      </c>
      <c r="EP26" t="s">
        <v>406</v>
      </c>
    </row>
    <row r="27" spans="3:146">
      <c r="C27" s="4" t="s">
        <v>401</v>
      </c>
      <c r="D27" s="4"/>
      <c r="E27" s="4">
        <v>1</v>
      </c>
      <c r="F27" s="4">
        <v>0.5</v>
      </c>
      <c r="G27" s="4" t="s">
        <v>374</v>
      </c>
      <c r="H27" s="5" t="s">
        <v>203</v>
      </c>
      <c r="I27" s="5" t="s">
        <v>164</v>
      </c>
      <c r="J27" s="4"/>
      <c r="K27" s="1" t="s">
        <v>396</v>
      </c>
      <c r="L27" s="1">
        <v>1100271750292</v>
      </c>
      <c r="M27" s="2" t="s">
        <v>164</v>
      </c>
      <c r="N27" s="2">
        <v>43710</v>
      </c>
      <c r="O27" t="s">
        <v>102</v>
      </c>
      <c r="P27" t="s">
        <v>195</v>
      </c>
      <c r="Q27">
        <v>1</v>
      </c>
      <c r="R27">
        <v>0.5</v>
      </c>
      <c r="S27" t="s">
        <v>196</v>
      </c>
      <c r="T27" t="s">
        <v>376</v>
      </c>
      <c r="U27" t="s">
        <v>163</v>
      </c>
      <c r="V27">
        <v>43710.582673611112</v>
      </c>
      <c r="W27" t="s">
        <v>197</v>
      </c>
      <c r="X27">
        <v>43710.582812499997</v>
      </c>
      <c r="AB27" t="s">
        <v>9</v>
      </c>
      <c r="AC27" t="s">
        <v>302</v>
      </c>
      <c r="AD27" t="s">
        <v>249</v>
      </c>
      <c r="AE27">
        <v>3515</v>
      </c>
      <c r="AF27">
        <v>3515</v>
      </c>
      <c r="AG27" t="s">
        <v>183</v>
      </c>
      <c r="AH27" t="s">
        <v>303</v>
      </c>
      <c r="AI27" t="s">
        <v>303</v>
      </c>
      <c r="AJ27" t="s">
        <v>304</v>
      </c>
      <c r="AK27" t="s">
        <v>305</v>
      </c>
      <c r="AL27" t="s">
        <v>306</v>
      </c>
      <c r="AM27" t="s">
        <v>307</v>
      </c>
      <c r="AO27" t="s">
        <v>308</v>
      </c>
      <c r="AP27" t="s">
        <v>309</v>
      </c>
      <c r="AS27">
        <v>2302065460</v>
      </c>
      <c r="AT27" t="s">
        <v>310</v>
      </c>
      <c r="AU27" t="s">
        <v>10</v>
      </c>
      <c r="AV27" t="s">
        <v>311</v>
      </c>
      <c r="AW27" t="s">
        <v>311</v>
      </c>
      <c r="AX27" t="s">
        <v>312</v>
      </c>
      <c r="AY27" t="s">
        <v>313</v>
      </c>
      <c r="AZ27" t="s">
        <v>314</v>
      </c>
      <c r="BA27" t="s">
        <v>315</v>
      </c>
      <c r="BB27" t="s">
        <v>316</v>
      </c>
      <c r="BC27" t="s">
        <v>317</v>
      </c>
      <c r="BD27">
        <v>550700</v>
      </c>
      <c r="BE27" t="s">
        <v>397</v>
      </c>
      <c r="BF27" t="s">
        <v>318</v>
      </c>
      <c r="BG27" t="b">
        <v>0</v>
      </c>
      <c r="BH27" s="6" t="s">
        <v>225</v>
      </c>
      <c r="BI27" t="s">
        <v>198</v>
      </c>
      <c r="BJ27">
        <v>4453163191</v>
      </c>
      <c r="BK27" t="s">
        <v>162</v>
      </c>
      <c r="BL27" t="s">
        <v>161</v>
      </c>
      <c r="BR27" t="s">
        <v>199</v>
      </c>
      <c r="BS27" t="s">
        <v>103</v>
      </c>
      <c r="BU27">
        <v>0</v>
      </c>
      <c r="BV27">
        <v>0</v>
      </c>
      <c r="BW27">
        <v>0</v>
      </c>
      <c r="BX27">
        <v>0</v>
      </c>
      <c r="BY27">
        <v>0</v>
      </c>
      <c r="BZ27">
        <v>0</v>
      </c>
      <c r="CA27">
        <v>0</v>
      </c>
      <c r="CJ27" t="s">
        <v>378</v>
      </c>
      <c r="CK27" t="s">
        <v>165</v>
      </c>
      <c r="CL27">
        <v>43710.386203703703</v>
      </c>
      <c r="CO27" t="s">
        <v>11</v>
      </c>
      <c r="CP27">
        <v>0</v>
      </c>
      <c r="CQ27" t="s">
        <v>11</v>
      </c>
      <c r="CR27">
        <v>0</v>
      </c>
      <c r="CV27" t="s">
        <v>190</v>
      </c>
      <c r="CW27" t="s">
        <v>12</v>
      </c>
      <c r="CX27" t="s">
        <v>12</v>
      </c>
      <c r="CY27" t="s">
        <v>12</v>
      </c>
      <c r="DA27" t="s">
        <v>104</v>
      </c>
      <c r="DD27" t="s">
        <v>93</v>
      </c>
      <c r="DQ27" t="s">
        <v>94</v>
      </c>
      <c r="DR27" t="s">
        <v>94</v>
      </c>
      <c r="DS27" t="s">
        <v>94</v>
      </c>
      <c r="DT27" t="s">
        <v>94</v>
      </c>
      <c r="DU27" t="s">
        <v>94</v>
      </c>
      <c r="DV27" t="s">
        <v>94</v>
      </c>
      <c r="DW27" t="s">
        <v>94</v>
      </c>
      <c r="DX27" s="2" t="s">
        <v>94</v>
      </c>
      <c r="DY27" t="s">
        <v>94</v>
      </c>
      <c r="DZ27" t="s">
        <v>94</v>
      </c>
      <c r="EA27" t="s">
        <v>94</v>
      </c>
      <c r="EB27" t="s">
        <v>94</v>
      </c>
      <c r="EC27" t="s">
        <v>94</v>
      </c>
      <c r="ED27" t="s">
        <v>94</v>
      </c>
      <c r="EE27" t="s">
        <v>89</v>
      </c>
      <c r="EF27" t="s">
        <v>94</v>
      </c>
      <c r="EG27" t="s">
        <v>226</v>
      </c>
      <c r="EJ27" t="s">
        <v>166</v>
      </c>
      <c r="EK27" t="b">
        <v>0</v>
      </c>
      <c r="EL27" t="b">
        <v>0</v>
      </c>
      <c r="EM27" t="b">
        <v>0</v>
      </c>
      <c r="EO27" t="s">
        <v>177</v>
      </c>
      <c r="EP27" t="s">
        <v>406</v>
      </c>
    </row>
    <row r="28" spans="3:146" ht="15">
      <c r="C28" s="82" t="s">
        <v>401</v>
      </c>
      <c r="D28" s="5"/>
      <c r="E28" s="4">
        <v>1</v>
      </c>
      <c r="F28" s="5">
        <v>0.4</v>
      </c>
      <c r="G28" s="5" t="s">
        <v>374</v>
      </c>
      <c r="H28" s="4" t="s">
        <v>203</v>
      </c>
      <c r="I28" s="81" t="s">
        <v>164</v>
      </c>
      <c r="J28" s="21"/>
      <c r="K28" s="22" t="s">
        <v>206</v>
      </c>
      <c r="L28" s="22">
        <v>1100271750292</v>
      </c>
      <c r="M28" s="23" t="s">
        <v>164</v>
      </c>
      <c r="N28" s="23">
        <v>43710</v>
      </c>
      <c r="O28" s="24" t="s">
        <v>102</v>
      </c>
      <c r="P28" s="24" t="s">
        <v>195</v>
      </c>
      <c r="Q28" s="24">
        <v>1</v>
      </c>
      <c r="R28" s="24">
        <v>0.4</v>
      </c>
      <c r="S28" t="s">
        <v>196</v>
      </c>
      <c r="T28" t="s">
        <v>376</v>
      </c>
      <c r="U28" s="2" t="s">
        <v>163</v>
      </c>
      <c r="V28">
        <v>43710.582638888889</v>
      </c>
      <c r="W28" s="2" t="s">
        <v>207</v>
      </c>
      <c r="X28">
        <v>43710.582881944443</v>
      </c>
      <c r="AB28" t="s">
        <v>9</v>
      </c>
      <c r="AC28" t="s">
        <v>208</v>
      </c>
      <c r="AD28" t="s">
        <v>209</v>
      </c>
      <c r="AE28">
        <v>3003278</v>
      </c>
      <c r="AF28">
        <v>3003278</v>
      </c>
      <c r="AG28" t="s">
        <v>183</v>
      </c>
      <c r="AH28" t="s">
        <v>210</v>
      </c>
      <c r="AI28" t="s">
        <v>210</v>
      </c>
      <c r="AJ28" t="s">
        <v>211</v>
      </c>
      <c r="AK28" t="s">
        <v>212</v>
      </c>
      <c r="AL28" t="s">
        <v>213</v>
      </c>
      <c r="AM28" t="s">
        <v>214</v>
      </c>
      <c r="AO28" t="s">
        <v>215</v>
      </c>
      <c r="AP28" t="s">
        <v>216</v>
      </c>
      <c r="AQ28" t="s">
        <v>217</v>
      </c>
      <c r="AR28">
        <v>700064</v>
      </c>
      <c r="AS28">
        <v>919073572119</v>
      </c>
      <c r="AT28" t="s">
        <v>218</v>
      </c>
      <c r="AU28" t="s">
        <v>10</v>
      </c>
      <c r="AV28" t="s">
        <v>219</v>
      </c>
      <c r="AW28" t="s">
        <v>219</v>
      </c>
      <c r="AX28" t="s">
        <v>220</v>
      </c>
      <c r="AY28" s="2" t="s">
        <v>221</v>
      </c>
      <c r="BA28" t="s">
        <v>222</v>
      </c>
      <c r="BB28" t="s">
        <v>223</v>
      </c>
      <c r="BC28" t="s">
        <v>188</v>
      </c>
      <c r="BD28">
        <v>510613</v>
      </c>
      <c r="BE28" t="s">
        <v>383</v>
      </c>
      <c r="BF28" t="s">
        <v>224</v>
      </c>
      <c r="BG28" t="b">
        <v>0</v>
      </c>
      <c r="BH28" s="6" t="s">
        <v>225</v>
      </c>
      <c r="BI28" t="s">
        <v>198</v>
      </c>
      <c r="BJ28">
        <v>4453163191</v>
      </c>
      <c r="BK28" t="s">
        <v>162</v>
      </c>
      <c r="BL28" t="s">
        <v>161</v>
      </c>
      <c r="BM28" s="2"/>
      <c r="BR28" t="s">
        <v>199</v>
      </c>
      <c r="BS28" t="s">
        <v>103</v>
      </c>
      <c r="BU28">
        <v>0</v>
      </c>
      <c r="BV28">
        <v>0</v>
      </c>
      <c r="BW28">
        <v>0</v>
      </c>
      <c r="BX28">
        <v>0</v>
      </c>
      <c r="BY28">
        <v>0</v>
      </c>
      <c r="BZ28">
        <v>0</v>
      </c>
      <c r="CA28">
        <v>0</v>
      </c>
      <c r="CF28" s="2"/>
      <c r="CH28" s="2"/>
      <c r="CJ28" t="s">
        <v>378</v>
      </c>
      <c r="CK28" t="s">
        <v>165</v>
      </c>
      <c r="CL28">
        <v>43710.386018518519</v>
      </c>
      <c r="CO28" t="s">
        <v>11</v>
      </c>
      <c r="CP28">
        <v>0</v>
      </c>
      <c r="CQ28" t="s">
        <v>11</v>
      </c>
      <c r="CR28">
        <v>0</v>
      </c>
      <c r="CV28" t="s">
        <v>190</v>
      </c>
      <c r="CW28" t="s">
        <v>12</v>
      </c>
      <c r="CX28" t="s">
        <v>12</v>
      </c>
      <c r="CY28" t="s">
        <v>12</v>
      </c>
      <c r="DA28" t="s">
        <v>104</v>
      </c>
      <c r="DD28" t="s">
        <v>93</v>
      </c>
      <c r="DQ28" t="s">
        <v>94</v>
      </c>
      <c r="DR28" t="s">
        <v>94</v>
      </c>
      <c r="DS28" t="s">
        <v>94</v>
      </c>
      <c r="DT28" t="s">
        <v>94</v>
      </c>
      <c r="DU28" t="s">
        <v>94</v>
      </c>
      <c r="DV28" t="s">
        <v>94</v>
      </c>
      <c r="DW28" t="s">
        <v>94</v>
      </c>
      <c r="DX28" s="2" t="s">
        <v>94</v>
      </c>
      <c r="DY28" t="s">
        <v>94</v>
      </c>
      <c r="DZ28" t="s">
        <v>94</v>
      </c>
      <c r="EA28" t="s">
        <v>94</v>
      </c>
      <c r="EB28" t="s">
        <v>94</v>
      </c>
      <c r="EC28" t="s">
        <v>94</v>
      </c>
      <c r="ED28" t="s">
        <v>94</v>
      </c>
      <c r="EE28" t="s">
        <v>89</v>
      </c>
      <c r="EF28" t="s">
        <v>94</v>
      </c>
      <c r="EG28" t="s">
        <v>226</v>
      </c>
      <c r="EJ28" t="s">
        <v>166</v>
      </c>
      <c r="EK28" t="b">
        <v>0</v>
      </c>
      <c r="EL28" t="b">
        <v>0</v>
      </c>
      <c r="EM28" t="b">
        <v>0</v>
      </c>
      <c r="EO28" t="s">
        <v>177</v>
      </c>
      <c r="EP28" t="s">
        <v>407</v>
      </c>
    </row>
    <row r="29" spans="3:146">
      <c r="C29" s="4" t="s">
        <v>401</v>
      </c>
      <c r="D29" s="4"/>
      <c r="E29" s="4">
        <v>1</v>
      </c>
      <c r="F29" s="4">
        <v>0.4</v>
      </c>
      <c r="G29" s="5" t="s">
        <v>374</v>
      </c>
      <c r="H29" s="4" t="s">
        <v>203</v>
      </c>
      <c r="I29" s="4" t="s">
        <v>164</v>
      </c>
      <c r="J29" s="5"/>
      <c r="K29" s="22" t="s">
        <v>227</v>
      </c>
      <c r="L29" s="22">
        <v>1100271750292</v>
      </c>
      <c r="M29" s="23" t="s">
        <v>164</v>
      </c>
      <c r="N29" s="23">
        <v>43710</v>
      </c>
      <c r="O29" s="24" t="s">
        <v>102</v>
      </c>
      <c r="P29" s="24" t="s">
        <v>195</v>
      </c>
      <c r="Q29" s="24">
        <v>1</v>
      </c>
      <c r="R29" s="24">
        <v>0.4</v>
      </c>
      <c r="S29" t="s">
        <v>196</v>
      </c>
      <c r="T29" t="s">
        <v>376</v>
      </c>
      <c r="U29" s="2" t="s">
        <v>163</v>
      </c>
      <c r="V29">
        <v>43710.582638888889</v>
      </c>
      <c r="W29" s="2" t="s">
        <v>197</v>
      </c>
      <c r="X29">
        <v>43710.582835648151</v>
      </c>
      <c r="AB29" t="s">
        <v>9</v>
      </c>
      <c r="AC29" t="s">
        <v>208</v>
      </c>
      <c r="AD29" t="s">
        <v>209</v>
      </c>
      <c r="AE29">
        <v>3003278</v>
      </c>
      <c r="AF29">
        <v>3003278</v>
      </c>
      <c r="AG29" t="s">
        <v>183</v>
      </c>
      <c r="AH29" t="s">
        <v>210</v>
      </c>
      <c r="AI29" t="s">
        <v>210</v>
      </c>
      <c r="AJ29" t="s">
        <v>211</v>
      </c>
      <c r="AK29" t="s">
        <v>212</v>
      </c>
      <c r="AL29" t="s">
        <v>213</v>
      </c>
      <c r="AM29" t="s">
        <v>214</v>
      </c>
      <c r="AO29" t="s">
        <v>215</v>
      </c>
      <c r="AP29" t="s">
        <v>216</v>
      </c>
      <c r="AQ29" t="s">
        <v>217</v>
      </c>
      <c r="AR29">
        <v>700064</v>
      </c>
      <c r="AS29">
        <v>919073572119</v>
      </c>
      <c r="AT29" t="s">
        <v>218</v>
      </c>
      <c r="AU29" t="s">
        <v>10</v>
      </c>
      <c r="AV29" t="s">
        <v>228</v>
      </c>
      <c r="AW29" t="s">
        <v>228</v>
      </c>
      <c r="AX29" t="s">
        <v>229</v>
      </c>
      <c r="AY29" t="s">
        <v>221</v>
      </c>
      <c r="BA29" t="s">
        <v>230</v>
      </c>
      <c r="BB29" t="s">
        <v>223</v>
      </c>
      <c r="BC29" t="s">
        <v>188</v>
      </c>
      <c r="BD29">
        <v>510630</v>
      </c>
      <c r="BE29" t="s">
        <v>382</v>
      </c>
      <c r="BF29" t="s">
        <v>231</v>
      </c>
      <c r="BG29" t="b">
        <v>0</v>
      </c>
      <c r="BH29" s="6" t="s">
        <v>225</v>
      </c>
      <c r="BI29" t="s">
        <v>198</v>
      </c>
      <c r="BJ29">
        <v>4453163191</v>
      </c>
      <c r="BK29" t="s">
        <v>162</v>
      </c>
      <c r="BL29" t="s">
        <v>161</v>
      </c>
      <c r="BM29" s="2"/>
      <c r="BR29" t="s">
        <v>199</v>
      </c>
      <c r="BS29" t="s">
        <v>103</v>
      </c>
      <c r="BU29">
        <v>0</v>
      </c>
      <c r="BV29">
        <v>0</v>
      </c>
      <c r="BW29">
        <v>0</v>
      </c>
      <c r="BX29">
        <v>0</v>
      </c>
      <c r="BY29">
        <v>0</v>
      </c>
      <c r="BZ29">
        <v>0</v>
      </c>
      <c r="CA29">
        <v>0</v>
      </c>
      <c r="CF29" s="2"/>
      <c r="CH29" s="2"/>
      <c r="CJ29" t="s">
        <v>378</v>
      </c>
      <c r="CK29" t="s">
        <v>165</v>
      </c>
      <c r="CL29">
        <v>43710.386030092595</v>
      </c>
      <c r="CO29" t="s">
        <v>11</v>
      </c>
      <c r="CP29">
        <v>0</v>
      </c>
      <c r="CQ29" t="s">
        <v>11</v>
      </c>
      <c r="CR29">
        <v>0</v>
      </c>
      <c r="CV29" t="s">
        <v>190</v>
      </c>
      <c r="CW29" t="s">
        <v>12</v>
      </c>
      <c r="CX29" t="s">
        <v>12</v>
      </c>
      <c r="CY29" t="s">
        <v>12</v>
      </c>
      <c r="DA29" t="s">
        <v>104</v>
      </c>
      <c r="DD29" t="s">
        <v>93</v>
      </c>
      <c r="DQ29" t="s">
        <v>94</v>
      </c>
      <c r="DR29" t="s">
        <v>94</v>
      </c>
      <c r="DS29" t="s">
        <v>94</v>
      </c>
      <c r="DT29" t="s">
        <v>94</v>
      </c>
      <c r="DU29" t="s">
        <v>94</v>
      </c>
      <c r="DV29" t="s">
        <v>94</v>
      </c>
      <c r="DW29" t="s">
        <v>94</v>
      </c>
      <c r="DX29" s="2" t="s">
        <v>94</v>
      </c>
      <c r="DY29" t="s">
        <v>94</v>
      </c>
      <c r="DZ29" t="s">
        <v>94</v>
      </c>
      <c r="EA29" t="s">
        <v>94</v>
      </c>
      <c r="EB29" t="s">
        <v>94</v>
      </c>
      <c r="EC29" t="s">
        <v>94</v>
      </c>
      <c r="ED29" t="s">
        <v>94</v>
      </c>
      <c r="EE29" t="s">
        <v>89</v>
      </c>
      <c r="EF29" t="s">
        <v>94</v>
      </c>
      <c r="EG29" t="s">
        <v>226</v>
      </c>
      <c r="EJ29" t="s">
        <v>166</v>
      </c>
      <c r="EK29" t="b">
        <v>0</v>
      </c>
      <c r="EL29" t="b">
        <v>0</v>
      </c>
      <c r="EM29" t="b">
        <v>0</v>
      </c>
      <c r="EO29" t="s">
        <v>177</v>
      </c>
      <c r="EP29" t="s">
        <v>407</v>
      </c>
    </row>
    <row r="30" spans="3:146">
      <c r="C30" s="4" t="s">
        <v>401</v>
      </c>
      <c r="D30" s="5"/>
      <c r="E30" s="5">
        <v>1</v>
      </c>
      <c r="F30" s="4">
        <v>0.4</v>
      </c>
      <c r="G30" s="5" t="s">
        <v>374</v>
      </c>
      <c r="H30" s="4" t="s">
        <v>203</v>
      </c>
      <c r="I30" s="4" t="s">
        <v>164</v>
      </c>
      <c r="J30" s="4"/>
      <c r="K30" s="22" t="s">
        <v>232</v>
      </c>
      <c r="L30" s="22">
        <v>1100271750292</v>
      </c>
      <c r="M30" s="23" t="s">
        <v>164</v>
      </c>
      <c r="N30" s="23">
        <v>43710</v>
      </c>
      <c r="O30" s="24" t="s">
        <v>102</v>
      </c>
      <c r="P30" s="24" t="s">
        <v>195</v>
      </c>
      <c r="Q30" s="24">
        <v>1</v>
      </c>
      <c r="R30" s="24">
        <v>0.4</v>
      </c>
      <c r="S30" t="s">
        <v>196</v>
      </c>
      <c r="T30" t="s">
        <v>376</v>
      </c>
      <c r="U30" s="2" t="s">
        <v>163</v>
      </c>
      <c r="V30">
        <v>43710.582627314812</v>
      </c>
      <c r="W30" s="2" t="s">
        <v>197</v>
      </c>
      <c r="X30">
        <v>43710.582789351851</v>
      </c>
      <c r="AB30" t="s">
        <v>9</v>
      </c>
      <c r="AC30" t="s">
        <v>208</v>
      </c>
      <c r="AD30" t="s">
        <v>209</v>
      </c>
      <c r="AE30">
        <v>3003278</v>
      </c>
      <c r="AF30">
        <v>3003278</v>
      </c>
      <c r="AG30" t="s">
        <v>183</v>
      </c>
      <c r="AH30" t="s">
        <v>210</v>
      </c>
      <c r="AI30" t="s">
        <v>210</v>
      </c>
      <c r="AJ30" t="s">
        <v>211</v>
      </c>
      <c r="AK30" t="s">
        <v>212</v>
      </c>
      <c r="AL30" t="s">
        <v>213</v>
      </c>
      <c r="AM30" t="s">
        <v>214</v>
      </c>
      <c r="AO30" t="s">
        <v>215</v>
      </c>
      <c r="AP30" t="s">
        <v>216</v>
      </c>
      <c r="AQ30" t="s">
        <v>217</v>
      </c>
      <c r="AR30">
        <v>700064</v>
      </c>
      <c r="AS30">
        <v>919073572119</v>
      </c>
      <c r="AT30" t="s">
        <v>218</v>
      </c>
      <c r="AU30" t="s">
        <v>10</v>
      </c>
      <c r="AV30" t="s">
        <v>233</v>
      </c>
      <c r="AW30" t="s">
        <v>233</v>
      </c>
      <c r="AX30" t="s">
        <v>234</v>
      </c>
      <c r="AY30" t="s">
        <v>235</v>
      </c>
      <c r="AZ30" t="s">
        <v>236</v>
      </c>
      <c r="BA30" t="s">
        <v>237</v>
      </c>
      <c r="BB30" t="s">
        <v>223</v>
      </c>
      <c r="BC30" t="s">
        <v>238</v>
      </c>
      <c r="BD30">
        <v>570314</v>
      </c>
      <c r="BE30" t="s">
        <v>381</v>
      </c>
      <c r="BF30" t="s">
        <v>239</v>
      </c>
      <c r="BG30" t="b">
        <v>0</v>
      </c>
      <c r="BH30" s="6" t="s">
        <v>240</v>
      </c>
      <c r="BI30" t="s">
        <v>198</v>
      </c>
      <c r="BJ30">
        <v>4453163191</v>
      </c>
      <c r="BK30" t="s">
        <v>162</v>
      </c>
      <c r="BL30" t="s">
        <v>161</v>
      </c>
      <c r="BM30" s="2"/>
      <c r="BR30" t="s">
        <v>199</v>
      </c>
      <c r="BS30" t="s">
        <v>103</v>
      </c>
      <c r="BU30">
        <v>0</v>
      </c>
      <c r="BV30">
        <v>0</v>
      </c>
      <c r="BW30">
        <v>0</v>
      </c>
      <c r="BX30">
        <v>0</v>
      </c>
      <c r="BY30">
        <v>0</v>
      </c>
      <c r="BZ30">
        <v>0</v>
      </c>
      <c r="CA30">
        <v>0</v>
      </c>
      <c r="CF30" s="2"/>
      <c r="CH30" s="2"/>
      <c r="CJ30" t="s">
        <v>378</v>
      </c>
      <c r="CK30" t="s">
        <v>165</v>
      </c>
      <c r="CL30">
        <v>43710.386030092595</v>
      </c>
      <c r="CO30" t="s">
        <v>11</v>
      </c>
      <c r="CP30">
        <v>0</v>
      </c>
      <c r="CQ30" t="s">
        <v>11</v>
      </c>
      <c r="CR30">
        <v>0</v>
      </c>
      <c r="CV30" t="s">
        <v>190</v>
      </c>
      <c r="CW30" t="s">
        <v>12</v>
      </c>
      <c r="CX30" t="s">
        <v>12</v>
      </c>
      <c r="CY30" t="s">
        <v>12</v>
      </c>
      <c r="DA30" t="s">
        <v>104</v>
      </c>
      <c r="DD30" t="s">
        <v>93</v>
      </c>
      <c r="DQ30" t="s">
        <v>94</v>
      </c>
      <c r="DR30" t="s">
        <v>94</v>
      </c>
      <c r="DS30" t="s">
        <v>94</v>
      </c>
      <c r="DT30" t="s">
        <v>94</v>
      </c>
      <c r="DU30" t="s">
        <v>94</v>
      </c>
      <c r="DV30" t="s">
        <v>94</v>
      </c>
      <c r="DW30" t="s">
        <v>94</v>
      </c>
      <c r="DX30" s="2" t="s">
        <v>94</v>
      </c>
      <c r="DY30" t="s">
        <v>94</v>
      </c>
      <c r="DZ30" t="s">
        <v>94</v>
      </c>
      <c r="EA30" t="s">
        <v>94</v>
      </c>
      <c r="EB30" t="s">
        <v>94</v>
      </c>
      <c r="EC30" t="s">
        <v>94</v>
      </c>
      <c r="ED30" t="s">
        <v>94</v>
      </c>
      <c r="EE30" t="s">
        <v>89</v>
      </c>
      <c r="EF30" t="s">
        <v>94</v>
      </c>
      <c r="EG30" t="s">
        <v>226</v>
      </c>
      <c r="EJ30" t="s">
        <v>166</v>
      </c>
      <c r="EK30" t="b">
        <v>0</v>
      </c>
      <c r="EL30" t="b">
        <v>0</v>
      </c>
      <c r="EM30" t="b">
        <v>0</v>
      </c>
      <c r="EO30" t="s">
        <v>177</v>
      </c>
      <c r="EP30" t="s">
        <v>407</v>
      </c>
    </row>
    <row r="31" spans="3:146">
      <c r="C31" s="4" t="s">
        <v>401</v>
      </c>
      <c r="D31" s="5"/>
      <c r="E31" s="4">
        <v>1</v>
      </c>
      <c r="F31" s="4">
        <v>0.4</v>
      </c>
      <c r="G31" s="5" t="s">
        <v>374</v>
      </c>
      <c r="H31" s="4" t="s">
        <v>203</v>
      </c>
      <c r="I31" s="4" t="s">
        <v>164</v>
      </c>
      <c r="J31" s="4"/>
      <c r="K31" s="22" t="s">
        <v>379</v>
      </c>
      <c r="L31" s="22">
        <v>1100271750292</v>
      </c>
      <c r="M31" s="23" t="s">
        <v>164</v>
      </c>
      <c r="N31" s="23">
        <v>43710</v>
      </c>
      <c r="O31" s="24" t="s">
        <v>102</v>
      </c>
      <c r="P31" s="24" t="s">
        <v>195</v>
      </c>
      <c r="Q31" s="24">
        <v>1</v>
      </c>
      <c r="R31" s="24">
        <v>0.4</v>
      </c>
      <c r="S31" t="s">
        <v>196</v>
      </c>
      <c r="T31" t="s">
        <v>376</v>
      </c>
      <c r="U31" s="2" t="s">
        <v>163</v>
      </c>
      <c r="V31">
        <v>43710.582650462966</v>
      </c>
      <c r="W31" s="2" t="s">
        <v>207</v>
      </c>
      <c r="X31">
        <v>43710.582835648151</v>
      </c>
      <c r="AB31" t="s">
        <v>9</v>
      </c>
      <c r="AC31" t="s">
        <v>208</v>
      </c>
      <c r="AD31" t="s">
        <v>241</v>
      </c>
      <c r="AE31">
        <v>3003278</v>
      </c>
      <c r="AF31">
        <v>3003278</v>
      </c>
      <c r="AG31" t="s">
        <v>183</v>
      </c>
      <c r="AH31" t="s">
        <v>210</v>
      </c>
      <c r="AI31" t="s">
        <v>210</v>
      </c>
      <c r="AJ31" t="s">
        <v>211</v>
      </c>
      <c r="AK31" t="s">
        <v>212</v>
      </c>
      <c r="AL31" t="s">
        <v>213</v>
      </c>
      <c r="AM31" t="s">
        <v>214</v>
      </c>
      <c r="AO31" t="s">
        <v>215</v>
      </c>
      <c r="AP31" t="s">
        <v>216</v>
      </c>
      <c r="AQ31" t="s">
        <v>217</v>
      </c>
      <c r="AR31">
        <v>700064</v>
      </c>
      <c r="AS31">
        <v>919073572119</v>
      </c>
      <c r="AT31" t="s">
        <v>218</v>
      </c>
      <c r="AU31" t="s">
        <v>10</v>
      </c>
      <c r="AV31" t="s">
        <v>242</v>
      </c>
      <c r="AW31" t="s">
        <v>242</v>
      </c>
      <c r="AX31" t="s">
        <v>243</v>
      </c>
      <c r="AY31" t="s">
        <v>244</v>
      </c>
      <c r="BA31" t="s">
        <v>245</v>
      </c>
      <c r="BB31" t="s">
        <v>246</v>
      </c>
      <c r="BC31" t="s">
        <v>188</v>
      </c>
      <c r="BD31">
        <v>516007</v>
      </c>
      <c r="BE31" t="s">
        <v>380</v>
      </c>
      <c r="BF31" t="s">
        <v>247</v>
      </c>
      <c r="BG31" t="b">
        <v>0</v>
      </c>
      <c r="BH31" s="6" t="s">
        <v>225</v>
      </c>
      <c r="BI31" t="s">
        <v>198</v>
      </c>
      <c r="BJ31">
        <v>4453163191</v>
      </c>
      <c r="BK31" t="s">
        <v>162</v>
      </c>
      <c r="BL31" t="s">
        <v>161</v>
      </c>
      <c r="BM31" s="2"/>
      <c r="BR31" t="s">
        <v>199</v>
      </c>
      <c r="BS31" t="s">
        <v>103</v>
      </c>
      <c r="BU31">
        <v>0</v>
      </c>
      <c r="BV31">
        <v>0</v>
      </c>
      <c r="BW31">
        <v>0</v>
      </c>
      <c r="BX31">
        <v>0</v>
      </c>
      <c r="BY31">
        <v>0</v>
      </c>
      <c r="BZ31">
        <v>0</v>
      </c>
      <c r="CA31">
        <v>0</v>
      </c>
      <c r="CF31" s="2"/>
      <c r="CH31" s="2"/>
      <c r="CJ31" t="s">
        <v>378</v>
      </c>
      <c r="CK31" t="s">
        <v>165</v>
      </c>
      <c r="CL31">
        <v>43710.386041666665</v>
      </c>
      <c r="CO31" t="s">
        <v>11</v>
      </c>
      <c r="CP31">
        <v>0</v>
      </c>
      <c r="CQ31" t="s">
        <v>11</v>
      </c>
      <c r="CR31">
        <v>0</v>
      </c>
      <c r="CV31" t="s">
        <v>190</v>
      </c>
      <c r="CW31" t="s">
        <v>12</v>
      </c>
      <c r="CX31" t="s">
        <v>12</v>
      </c>
      <c r="CY31" t="s">
        <v>12</v>
      </c>
      <c r="DA31" t="s">
        <v>104</v>
      </c>
      <c r="DD31" t="s">
        <v>93</v>
      </c>
      <c r="DQ31" t="s">
        <v>94</v>
      </c>
      <c r="DR31" t="s">
        <v>94</v>
      </c>
      <c r="DS31" t="s">
        <v>94</v>
      </c>
      <c r="DT31" t="s">
        <v>94</v>
      </c>
      <c r="DU31" t="s">
        <v>94</v>
      </c>
      <c r="DV31" t="s">
        <v>94</v>
      </c>
      <c r="DW31" t="s">
        <v>94</v>
      </c>
      <c r="DX31" s="2" t="s">
        <v>94</v>
      </c>
      <c r="DY31" t="s">
        <v>94</v>
      </c>
      <c r="DZ31" t="s">
        <v>94</v>
      </c>
      <c r="EA31" t="s">
        <v>94</v>
      </c>
      <c r="EB31" t="s">
        <v>94</v>
      </c>
      <c r="EC31" t="s">
        <v>94</v>
      </c>
      <c r="ED31" t="s">
        <v>94</v>
      </c>
      <c r="EE31" t="s">
        <v>89</v>
      </c>
      <c r="EF31" t="s">
        <v>94</v>
      </c>
      <c r="EG31" t="s">
        <v>226</v>
      </c>
      <c r="EJ31" t="s">
        <v>166</v>
      </c>
      <c r="EK31" t="b">
        <v>0</v>
      </c>
      <c r="EL31" t="b">
        <v>0</v>
      </c>
      <c r="EM31" t="b">
        <v>0</v>
      </c>
      <c r="EO31" t="s">
        <v>177</v>
      </c>
      <c r="EP31" t="s">
        <v>407</v>
      </c>
    </row>
    <row r="32" spans="3:146">
      <c r="C32" s="4" t="s">
        <v>401</v>
      </c>
      <c r="D32" s="5"/>
      <c r="E32" s="4">
        <v>1</v>
      </c>
      <c r="F32" s="4">
        <v>0.4</v>
      </c>
      <c r="G32" s="5" t="s">
        <v>374</v>
      </c>
      <c r="H32" s="5" t="s">
        <v>203</v>
      </c>
      <c r="I32" s="4" t="s">
        <v>164</v>
      </c>
      <c r="J32" s="4"/>
      <c r="K32" s="22" t="s">
        <v>248</v>
      </c>
      <c r="L32" s="22">
        <v>1100271750292</v>
      </c>
      <c r="M32" s="23" t="s">
        <v>164</v>
      </c>
      <c r="N32" s="23">
        <v>43710</v>
      </c>
      <c r="O32" s="24" t="s">
        <v>102</v>
      </c>
      <c r="P32" s="24" t="s">
        <v>195</v>
      </c>
      <c r="Q32" s="24">
        <v>1</v>
      </c>
      <c r="R32" s="24">
        <v>0.4</v>
      </c>
      <c r="S32" t="s">
        <v>196</v>
      </c>
      <c r="T32" t="s">
        <v>376</v>
      </c>
      <c r="U32" t="s">
        <v>163</v>
      </c>
      <c r="V32">
        <v>43710.582650462966</v>
      </c>
      <c r="W32" t="s">
        <v>207</v>
      </c>
      <c r="X32">
        <v>43710.582870370374</v>
      </c>
      <c r="AB32" t="s">
        <v>9</v>
      </c>
      <c r="AC32" t="s">
        <v>208</v>
      </c>
      <c r="AD32" t="s">
        <v>249</v>
      </c>
      <c r="AE32">
        <v>3003278</v>
      </c>
      <c r="AF32">
        <v>3003278</v>
      </c>
      <c r="AG32" t="s">
        <v>183</v>
      </c>
      <c r="AH32" t="s">
        <v>210</v>
      </c>
      <c r="AI32" t="s">
        <v>210</v>
      </c>
      <c r="AJ32" t="s">
        <v>211</v>
      </c>
      <c r="AK32" t="s">
        <v>212</v>
      </c>
      <c r="AL32" t="s">
        <v>213</v>
      </c>
      <c r="AM32" t="s">
        <v>214</v>
      </c>
      <c r="AO32" t="s">
        <v>215</v>
      </c>
      <c r="AP32" t="s">
        <v>216</v>
      </c>
      <c r="AQ32" t="s">
        <v>217</v>
      </c>
      <c r="AR32">
        <v>700064</v>
      </c>
      <c r="AS32">
        <v>919073572119</v>
      </c>
      <c r="AT32" t="s">
        <v>218</v>
      </c>
      <c r="AU32" t="s">
        <v>10</v>
      </c>
      <c r="AV32" t="s">
        <v>250</v>
      </c>
      <c r="AW32" t="s">
        <v>250</v>
      </c>
      <c r="AX32" t="s">
        <v>251</v>
      </c>
      <c r="AY32" t="s">
        <v>252</v>
      </c>
      <c r="AZ32" t="s">
        <v>253</v>
      </c>
      <c r="BA32" t="s">
        <v>254</v>
      </c>
      <c r="BB32" t="s">
        <v>255</v>
      </c>
      <c r="BC32" t="s">
        <v>253</v>
      </c>
      <c r="BD32">
        <v>530226</v>
      </c>
      <c r="BE32" t="s">
        <v>377</v>
      </c>
      <c r="BF32" t="s">
        <v>256</v>
      </c>
      <c r="BG32" t="b">
        <v>0</v>
      </c>
      <c r="BH32" s="6" t="s">
        <v>225</v>
      </c>
      <c r="BI32" t="s">
        <v>198</v>
      </c>
      <c r="BJ32">
        <v>4453163191</v>
      </c>
      <c r="BK32" t="s">
        <v>162</v>
      </c>
      <c r="BL32" t="s">
        <v>161</v>
      </c>
      <c r="BM32" s="2"/>
      <c r="BR32" t="s">
        <v>199</v>
      </c>
      <c r="BS32" t="s">
        <v>103</v>
      </c>
      <c r="BU32">
        <v>0</v>
      </c>
      <c r="BV32">
        <v>0</v>
      </c>
      <c r="BW32">
        <v>0</v>
      </c>
      <c r="BX32">
        <v>0</v>
      </c>
      <c r="BY32">
        <v>0</v>
      </c>
      <c r="BZ32">
        <v>0</v>
      </c>
      <c r="CA32">
        <v>0</v>
      </c>
      <c r="CJ32" t="s">
        <v>378</v>
      </c>
      <c r="CK32" t="s">
        <v>165</v>
      </c>
      <c r="CL32">
        <v>43710.386041666665</v>
      </c>
      <c r="CO32" t="s">
        <v>11</v>
      </c>
      <c r="CP32">
        <v>0</v>
      </c>
      <c r="CQ32" t="s">
        <v>11</v>
      </c>
      <c r="CR32">
        <v>0</v>
      </c>
      <c r="CV32" t="s">
        <v>190</v>
      </c>
      <c r="CW32" t="s">
        <v>12</v>
      </c>
      <c r="CX32" t="s">
        <v>12</v>
      </c>
      <c r="CY32" t="s">
        <v>12</v>
      </c>
      <c r="DA32" t="s">
        <v>104</v>
      </c>
      <c r="DD32" t="s">
        <v>93</v>
      </c>
      <c r="DQ32" t="s">
        <v>94</v>
      </c>
      <c r="DR32" t="s">
        <v>94</v>
      </c>
      <c r="DS32" t="s">
        <v>94</v>
      </c>
      <c r="DT32" t="s">
        <v>94</v>
      </c>
      <c r="DU32" t="s">
        <v>94</v>
      </c>
      <c r="DV32" t="s">
        <v>94</v>
      </c>
      <c r="DW32" t="s">
        <v>94</v>
      </c>
      <c r="DX32" s="2" t="s">
        <v>94</v>
      </c>
      <c r="DY32" t="s">
        <v>94</v>
      </c>
      <c r="DZ32" t="s">
        <v>94</v>
      </c>
      <c r="EA32" t="s">
        <v>94</v>
      </c>
      <c r="EB32" t="s">
        <v>94</v>
      </c>
      <c r="EC32" t="s">
        <v>94</v>
      </c>
      <c r="ED32" t="s">
        <v>94</v>
      </c>
      <c r="EE32" t="s">
        <v>89</v>
      </c>
      <c r="EF32" t="s">
        <v>94</v>
      </c>
      <c r="EG32" t="s">
        <v>226</v>
      </c>
      <c r="EJ32" t="s">
        <v>166</v>
      </c>
      <c r="EK32" t="b">
        <v>0</v>
      </c>
      <c r="EL32" t="b">
        <v>0</v>
      </c>
      <c r="EM32" t="b">
        <v>0</v>
      </c>
      <c r="EO32" t="s">
        <v>177</v>
      </c>
      <c r="EP32" t="s">
        <v>407</v>
      </c>
    </row>
    <row r="33" spans="3:146">
      <c r="C33" s="4" t="s">
        <v>401</v>
      </c>
      <c r="D33" s="5"/>
      <c r="E33" s="4">
        <v>1</v>
      </c>
      <c r="F33" s="4">
        <v>0.15</v>
      </c>
      <c r="G33" s="5" t="s">
        <v>374</v>
      </c>
      <c r="H33" s="4" t="s">
        <v>391</v>
      </c>
      <c r="I33" s="4" t="s">
        <v>164</v>
      </c>
      <c r="J33" s="4"/>
      <c r="K33" s="22" t="s">
        <v>392</v>
      </c>
      <c r="L33" s="22">
        <v>1100271750297</v>
      </c>
      <c r="M33" s="23" t="s">
        <v>164</v>
      </c>
      <c r="N33" s="23">
        <v>43710</v>
      </c>
      <c r="O33" s="24" t="s">
        <v>102</v>
      </c>
      <c r="P33" s="24" t="s">
        <v>179</v>
      </c>
      <c r="Q33" s="24">
        <v>1</v>
      </c>
      <c r="R33" s="24">
        <v>0.15</v>
      </c>
      <c r="S33" t="s">
        <v>319</v>
      </c>
      <c r="T33" t="s">
        <v>393</v>
      </c>
      <c r="U33" t="s">
        <v>163</v>
      </c>
      <c r="V33">
        <v>43710.582638888889</v>
      </c>
      <c r="W33" t="s">
        <v>207</v>
      </c>
      <c r="X33">
        <v>43710.58284722222</v>
      </c>
      <c r="AB33" t="s">
        <v>9</v>
      </c>
      <c r="AC33" t="s">
        <v>320</v>
      </c>
      <c r="AD33" t="s">
        <v>200</v>
      </c>
      <c r="AE33">
        <v>100740</v>
      </c>
      <c r="AF33">
        <v>100740</v>
      </c>
      <c r="AG33" t="s">
        <v>183</v>
      </c>
      <c r="AH33" t="s">
        <v>321</v>
      </c>
      <c r="AI33" t="s">
        <v>321</v>
      </c>
      <c r="AJ33" t="s">
        <v>322</v>
      </c>
      <c r="AK33" t="s">
        <v>323</v>
      </c>
      <c r="AL33" t="s">
        <v>324</v>
      </c>
      <c r="AM33" t="s">
        <v>325</v>
      </c>
      <c r="AO33" t="s">
        <v>326</v>
      </c>
      <c r="AP33" t="s">
        <v>323</v>
      </c>
      <c r="AR33">
        <v>9999</v>
      </c>
      <c r="AS33">
        <v>-97317225751</v>
      </c>
      <c r="AT33" t="s">
        <v>327</v>
      </c>
      <c r="AU33" t="s">
        <v>10</v>
      </c>
      <c r="AV33" t="s">
        <v>328</v>
      </c>
      <c r="AW33" t="s">
        <v>328</v>
      </c>
      <c r="AX33" t="s">
        <v>329</v>
      </c>
      <c r="AY33" t="s">
        <v>330</v>
      </c>
      <c r="AZ33" t="s">
        <v>331</v>
      </c>
      <c r="BA33" t="s">
        <v>332</v>
      </c>
      <c r="BB33" t="s">
        <v>201</v>
      </c>
      <c r="BC33" t="s">
        <v>188</v>
      </c>
      <c r="BD33">
        <v>528527</v>
      </c>
      <c r="BE33" t="s">
        <v>394</v>
      </c>
      <c r="BF33" t="s">
        <v>333</v>
      </c>
      <c r="BG33" t="b">
        <v>0</v>
      </c>
      <c r="BH33" s="6" t="s">
        <v>334</v>
      </c>
      <c r="BI33" t="s">
        <v>335</v>
      </c>
      <c r="BJ33">
        <v>4453163191</v>
      </c>
      <c r="BK33" t="s">
        <v>162</v>
      </c>
      <c r="BL33" t="s">
        <v>161</v>
      </c>
      <c r="BM33" s="2"/>
      <c r="BO33" t="s">
        <v>89</v>
      </c>
      <c r="BP33" t="s">
        <v>395</v>
      </c>
      <c r="BR33" t="s">
        <v>180</v>
      </c>
      <c r="BS33" t="s">
        <v>103</v>
      </c>
      <c r="BU33">
        <v>0</v>
      </c>
      <c r="BV33">
        <v>0</v>
      </c>
      <c r="BW33">
        <v>0</v>
      </c>
      <c r="BX33">
        <v>0</v>
      </c>
      <c r="BY33">
        <v>0</v>
      </c>
      <c r="BZ33">
        <v>0</v>
      </c>
      <c r="CA33">
        <v>0</v>
      </c>
      <c r="CJ33" t="s">
        <v>375</v>
      </c>
      <c r="CK33" t="s">
        <v>165</v>
      </c>
      <c r="CL33">
        <v>43710.386041666665</v>
      </c>
      <c r="CO33" t="s">
        <v>11</v>
      </c>
      <c r="CP33">
        <v>140.62</v>
      </c>
      <c r="CQ33" t="s">
        <v>11</v>
      </c>
      <c r="CR33">
        <v>140.62</v>
      </c>
      <c r="CV33" t="s">
        <v>190</v>
      </c>
      <c r="CW33" t="s">
        <v>12</v>
      </c>
      <c r="CX33" t="s">
        <v>12</v>
      </c>
      <c r="CY33" t="s">
        <v>12</v>
      </c>
      <c r="DA33" t="s">
        <v>104</v>
      </c>
      <c r="DD33" t="s">
        <v>93</v>
      </c>
      <c r="DQ33" t="s">
        <v>94</v>
      </c>
      <c r="DR33" t="s">
        <v>94</v>
      </c>
      <c r="DS33" t="s">
        <v>94</v>
      </c>
      <c r="DT33" t="s">
        <v>94</v>
      </c>
      <c r="DU33" t="s">
        <v>94</v>
      </c>
      <c r="DV33" t="s">
        <v>94</v>
      </c>
      <c r="DW33" t="s">
        <v>94</v>
      </c>
      <c r="DX33" s="2" t="s">
        <v>94</v>
      </c>
      <c r="DY33" t="s">
        <v>94</v>
      </c>
      <c r="DZ33" t="s">
        <v>94</v>
      </c>
      <c r="EA33" t="s">
        <v>94</v>
      </c>
      <c r="EB33" t="s">
        <v>94</v>
      </c>
      <c r="EC33" t="s">
        <v>94</v>
      </c>
      <c r="ED33" t="s">
        <v>94</v>
      </c>
      <c r="EE33" t="s">
        <v>89</v>
      </c>
      <c r="EF33" t="s">
        <v>94</v>
      </c>
      <c r="EG33" t="s">
        <v>105</v>
      </c>
      <c r="EJ33" t="s">
        <v>166</v>
      </c>
      <c r="EK33" t="b">
        <v>0</v>
      </c>
      <c r="EL33" t="b">
        <v>0</v>
      </c>
      <c r="EM33" t="b">
        <v>0</v>
      </c>
      <c r="EO33" t="s">
        <v>177</v>
      </c>
      <c r="EP33" t="s">
        <v>407</v>
      </c>
    </row>
    <row r="34" spans="3:146">
      <c r="C34" s="4" t="s">
        <v>401</v>
      </c>
      <c r="D34" s="5"/>
      <c r="E34" s="4">
        <v>1</v>
      </c>
      <c r="F34" s="4">
        <v>0.04</v>
      </c>
      <c r="G34" s="5" t="s">
        <v>374</v>
      </c>
      <c r="H34" s="4" t="s">
        <v>203</v>
      </c>
      <c r="I34" s="4" t="s">
        <v>164</v>
      </c>
      <c r="J34" s="4"/>
      <c r="K34" s="1" t="s">
        <v>386</v>
      </c>
      <c r="L34" s="1">
        <v>1100271750292</v>
      </c>
      <c r="M34" s="2" t="s">
        <v>164</v>
      </c>
      <c r="N34" s="2">
        <v>43710</v>
      </c>
      <c r="O34" t="s">
        <v>102</v>
      </c>
      <c r="P34" t="s">
        <v>195</v>
      </c>
      <c r="Q34">
        <v>1</v>
      </c>
      <c r="R34">
        <v>0.04</v>
      </c>
      <c r="S34" t="s">
        <v>196</v>
      </c>
      <c r="T34" t="s">
        <v>376</v>
      </c>
      <c r="U34" t="s">
        <v>163</v>
      </c>
      <c r="V34">
        <v>43710.582662037035</v>
      </c>
      <c r="W34" t="s">
        <v>197</v>
      </c>
      <c r="X34">
        <v>43710.582835648151</v>
      </c>
      <c r="AB34" t="s">
        <v>9</v>
      </c>
      <c r="AC34" t="s">
        <v>257</v>
      </c>
      <c r="AD34" t="s">
        <v>182</v>
      </c>
      <c r="AE34">
        <v>25431</v>
      </c>
      <c r="AF34">
        <v>25431</v>
      </c>
      <c r="AG34" t="s">
        <v>183</v>
      </c>
      <c r="AH34" t="s">
        <v>258</v>
      </c>
      <c r="AI34" t="s">
        <v>258</v>
      </c>
      <c r="AJ34" t="s">
        <v>259</v>
      </c>
      <c r="AK34" t="s">
        <v>260</v>
      </c>
      <c r="AL34" t="s">
        <v>261</v>
      </c>
      <c r="AM34" t="s">
        <v>262</v>
      </c>
      <c r="AN34" t="s">
        <v>263</v>
      </c>
      <c r="AO34" t="s">
        <v>264</v>
      </c>
      <c r="AP34" t="s">
        <v>265</v>
      </c>
      <c r="AQ34" t="s">
        <v>266</v>
      </c>
      <c r="AR34">
        <v>18300</v>
      </c>
      <c r="AS34">
        <v>8497463566</v>
      </c>
      <c r="AT34" t="s">
        <v>267</v>
      </c>
      <c r="AU34" t="s">
        <v>10</v>
      </c>
      <c r="AV34" t="s">
        <v>268</v>
      </c>
      <c r="AW34" t="s">
        <v>268</v>
      </c>
      <c r="AX34" t="s">
        <v>269</v>
      </c>
      <c r="AY34" t="s">
        <v>270</v>
      </c>
      <c r="AZ34" t="s">
        <v>193</v>
      </c>
      <c r="BA34" t="s">
        <v>271</v>
      </c>
      <c r="BB34" t="s">
        <v>272</v>
      </c>
      <c r="BC34" t="s">
        <v>188</v>
      </c>
      <c r="BD34">
        <v>518050</v>
      </c>
      <c r="BE34" t="s">
        <v>385</v>
      </c>
      <c r="BF34" t="s">
        <v>273</v>
      </c>
      <c r="BG34" t="b">
        <v>0</v>
      </c>
      <c r="BH34" s="6" t="s">
        <v>204</v>
      </c>
      <c r="BI34" t="s">
        <v>198</v>
      </c>
      <c r="BJ34">
        <v>4453163191</v>
      </c>
      <c r="BK34" t="s">
        <v>162</v>
      </c>
      <c r="BL34" t="s">
        <v>161</v>
      </c>
      <c r="BM34" s="2"/>
      <c r="BR34" t="s">
        <v>199</v>
      </c>
      <c r="BS34" t="s">
        <v>103</v>
      </c>
      <c r="BU34">
        <v>0</v>
      </c>
      <c r="BV34">
        <v>0</v>
      </c>
      <c r="BW34">
        <v>0</v>
      </c>
      <c r="BX34">
        <v>0</v>
      </c>
      <c r="BY34">
        <v>0</v>
      </c>
      <c r="BZ34">
        <v>0</v>
      </c>
      <c r="CA34">
        <v>0</v>
      </c>
      <c r="CJ34" t="s">
        <v>378</v>
      </c>
      <c r="CK34" t="s">
        <v>165</v>
      </c>
      <c r="CL34">
        <v>43710.386053240742</v>
      </c>
      <c r="CO34" t="s">
        <v>11</v>
      </c>
      <c r="CP34">
        <v>0</v>
      </c>
      <c r="CQ34" t="s">
        <v>11</v>
      </c>
      <c r="CR34">
        <v>0</v>
      </c>
      <c r="CV34" t="s">
        <v>190</v>
      </c>
      <c r="CW34" t="s">
        <v>12</v>
      </c>
      <c r="CX34" t="s">
        <v>12</v>
      </c>
      <c r="CY34" t="s">
        <v>12</v>
      </c>
      <c r="DA34" t="s">
        <v>104</v>
      </c>
      <c r="DD34" t="s">
        <v>93</v>
      </c>
      <c r="DQ34" t="s">
        <v>94</v>
      </c>
      <c r="DR34" t="s">
        <v>94</v>
      </c>
      <c r="DS34" t="s">
        <v>94</v>
      </c>
      <c r="DT34" t="s">
        <v>94</v>
      </c>
      <c r="DU34" t="s">
        <v>94</v>
      </c>
      <c r="DV34" t="s">
        <v>94</v>
      </c>
      <c r="DW34" t="s">
        <v>94</v>
      </c>
      <c r="DX34" s="2" t="s">
        <v>94</v>
      </c>
      <c r="DY34" t="s">
        <v>94</v>
      </c>
      <c r="DZ34" t="s">
        <v>94</v>
      </c>
      <c r="EA34" t="s">
        <v>94</v>
      </c>
      <c r="EB34" t="s">
        <v>94</v>
      </c>
      <c r="EC34" t="s">
        <v>94</v>
      </c>
      <c r="ED34" t="s">
        <v>94</v>
      </c>
      <c r="EE34" t="s">
        <v>89</v>
      </c>
      <c r="EF34" t="s">
        <v>94</v>
      </c>
      <c r="EG34" t="s">
        <v>226</v>
      </c>
      <c r="EJ34" t="s">
        <v>166</v>
      </c>
      <c r="EK34" t="b">
        <v>0</v>
      </c>
      <c r="EL34" t="b">
        <v>0</v>
      </c>
      <c r="EM34" t="b">
        <v>0</v>
      </c>
      <c r="EO34" t="s">
        <v>177</v>
      </c>
      <c r="EP34" t="s">
        <v>407</v>
      </c>
    </row>
    <row r="35" spans="3:146">
      <c r="C35" s="4" t="s">
        <v>401</v>
      </c>
      <c r="D35" s="5"/>
      <c r="E35" s="4">
        <v>1</v>
      </c>
      <c r="F35" s="4">
        <v>0.04</v>
      </c>
      <c r="G35" s="5" t="s">
        <v>374</v>
      </c>
      <c r="H35" s="4" t="s">
        <v>203</v>
      </c>
      <c r="I35" s="4" t="s">
        <v>164</v>
      </c>
      <c r="J35" s="4"/>
      <c r="K35" s="1" t="s">
        <v>384</v>
      </c>
      <c r="L35" s="1">
        <v>1100271750293</v>
      </c>
      <c r="M35" s="2" t="s">
        <v>164</v>
      </c>
      <c r="N35" s="2">
        <v>43710</v>
      </c>
      <c r="O35" t="s">
        <v>102</v>
      </c>
      <c r="P35" t="s">
        <v>195</v>
      </c>
      <c r="Q35">
        <v>1</v>
      </c>
      <c r="R35">
        <v>0.04</v>
      </c>
      <c r="S35" t="s">
        <v>196</v>
      </c>
      <c r="T35" t="s">
        <v>376</v>
      </c>
      <c r="U35" t="s">
        <v>163</v>
      </c>
      <c r="V35">
        <v>43710.582662037035</v>
      </c>
      <c r="W35" t="s">
        <v>197</v>
      </c>
      <c r="X35">
        <v>43710.582835648151</v>
      </c>
      <c r="AB35" t="s">
        <v>9</v>
      </c>
      <c r="AC35" t="s">
        <v>257</v>
      </c>
      <c r="AD35" t="s">
        <v>182</v>
      </c>
      <c r="AE35">
        <v>25431</v>
      </c>
      <c r="AF35">
        <v>25431</v>
      </c>
      <c r="AG35" t="s">
        <v>183</v>
      </c>
      <c r="AH35" t="s">
        <v>258</v>
      </c>
      <c r="AI35" t="s">
        <v>258</v>
      </c>
      <c r="AJ35" t="s">
        <v>259</v>
      </c>
      <c r="AK35" t="s">
        <v>260</v>
      </c>
      <c r="AL35" t="s">
        <v>261</v>
      </c>
      <c r="AM35" t="s">
        <v>262</v>
      </c>
      <c r="AN35" t="s">
        <v>263</v>
      </c>
      <c r="AO35" t="s">
        <v>264</v>
      </c>
      <c r="AP35" t="s">
        <v>265</v>
      </c>
      <c r="AQ35" t="s">
        <v>266</v>
      </c>
      <c r="AR35">
        <v>18300</v>
      </c>
      <c r="AS35">
        <v>8497463566</v>
      </c>
      <c r="AT35" t="s">
        <v>267</v>
      </c>
      <c r="AU35" t="s">
        <v>10</v>
      </c>
      <c r="AV35" t="s">
        <v>268</v>
      </c>
      <c r="AW35" t="s">
        <v>268</v>
      </c>
      <c r="AX35" t="s">
        <v>269</v>
      </c>
      <c r="AY35" t="s">
        <v>270</v>
      </c>
      <c r="AZ35" t="s">
        <v>193</v>
      </c>
      <c r="BA35" t="s">
        <v>271</v>
      </c>
      <c r="BB35" t="s">
        <v>272</v>
      </c>
      <c r="BC35" t="s">
        <v>188</v>
      </c>
      <c r="BD35">
        <v>518050</v>
      </c>
      <c r="BE35" t="s">
        <v>385</v>
      </c>
      <c r="BF35" t="s">
        <v>273</v>
      </c>
      <c r="BG35" t="b">
        <v>0</v>
      </c>
      <c r="BH35" s="6" t="s">
        <v>225</v>
      </c>
      <c r="BI35" t="s">
        <v>198</v>
      </c>
      <c r="BJ35">
        <v>4453163191</v>
      </c>
      <c r="BK35" t="s">
        <v>162</v>
      </c>
      <c r="BL35" t="s">
        <v>161</v>
      </c>
      <c r="BM35" s="2"/>
      <c r="BR35" t="s">
        <v>199</v>
      </c>
      <c r="BS35" t="s">
        <v>103</v>
      </c>
      <c r="BU35">
        <v>0</v>
      </c>
      <c r="BV35">
        <v>0</v>
      </c>
      <c r="BW35">
        <v>0</v>
      </c>
      <c r="BX35">
        <v>0</v>
      </c>
      <c r="BY35">
        <v>0</v>
      </c>
      <c r="BZ35">
        <v>0</v>
      </c>
      <c r="CA35">
        <v>0</v>
      </c>
      <c r="CJ35" t="s">
        <v>378</v>
      </c>
      <c r="CK35" t="s">
        <v>165</v>
      </c>
      <c r="CL35">
        <v>43710.386064814818</v>
      </c>
      <c r="CO35" t="s">
        <v>11</v>
      </c>
      <c r="CP35">
        <v>0</v>
      </c>
      <c r="CQ35" t="s">
        <v>11</v>
      </c>
      <c r="CR35">
        <v>0</v>
      </c>
      <c r="CV35" t="s">
        <v>190</v>
      </c>
      <c r="CW35" t="s">
        <v>12</v>
      </c>
      <c r="CX35" t="s">
        <v>12</v>
      </c>
      <c r="CY35" t="s">
        <v>12</v>
      </c>
      <c r="DA35" t="s">
        <v>104</v>
      </c>
      <c r="DD35" t="s">
        <v>93</v>
      </c>
      <c r="DQ35" t="s">
        <v>94</v>
      </c>
      <c r="DR35" t="s">
        <v>94</v>
      </c>
      <c r="DS35" t="s">
        <v>94</v>
      </c>
      <c r="DT35" t="s">
        <v>94</v>
      </c>
      <c r="DU35" t="s">
        <v>94</v>
      </c>
      <c r="DV35" t="s">
        <v>94</v>
      </c>
      <c r="DW35" t="s">
        <v>94</v>
      </c>
      <c r="DX35" s="2" t="s">
        <v>94</v>
      </c>
      <c r="DY35" t="s">
        <v>94</v>
      </c>
      <c r="DZ35" t="s">
        <v>94</v>
      </c>
      <c r="EA35" t="s">
        <v>94</v>
      </c>
      <c r="EB35" t="s">
        <v>94</v>
      </c>
      <c r="EC35" t="s">
        <v>94</v>
      </c>
      <c r="ED35" t="s">
        <v>94</v>
      </c>
      <c r="EE35" t="s">
        <v>89</v>
      </c>
      <c r="EF35" t="s">
        <v>94</v>
      </c>
      <c r="EG35" t="s">
        <v>226</v>
      </c>
      <c r="EJ35" t="s">
        <v>166</v>
      </c>
      <c r="EK35" t="b">
        <v>0</v>
      </c>
      <c r="EL35" t="b">
        <v>0</v>
      </c>
      <c r="EM35" t="b">
        <v>0</v>
      </c>
      <c r="EO35" t="s">
        <v>177</v>
      </c>
      <c r="EP35" t="s">
        <v>407</v>
      </c>
    </row>
    <row r="36" spans="3:146">
      <c r="C36" s="4" t="s">
        <v>401</v>
      </c>
      <c r="D36" s="5"/>
      <c r="E36" s="4">
        <v>1</v>
      </c>
      <c r="F36" s="4">
        <v>0.12</v>
      </c>
      <c r="G36" s="5" t="s">
        <v>374</v>
      </c>
      <c r="H36" s="5" t="s">
        <v>387</v>
      </c>
      <c r="I36" s="5" t="s">
        <v>164</v>
      </c>
      <c r="J36" s="4"/>
      <c r="K36" s="1" t="s">
        <v>388</v>
      </c>
      <c r="L36" s="1">
        <v>1100271750298</v>
      </c>
      <c r="M36" s="2" t="s">
        <v>164</v>
      </c>
      <c r="N36" s="2">
        <v>43710</v>
      </c>
      <c r="O36" t="s">
        <v>102</v>
      </c>
      <c r="P36" t="s">
        <v>179</v>
      </c>
      <c r="Q36">
        <v>1</v>
      </c>
      <c r="R36">
        <v>0.12</v>
      </c>
      <c r="S36" t="s">
        <v>319</v>
      </c>
      <c r="T36" t="s">
        <v>389</v>
      </c>
      <c r="U36" t="s">
        <v>163</v>
      </c>
      <c r="V36">
        <v>43710.582650462966</v>
      </c>
      <c r="W36" t="s">
        <v>207</v>
      </c>
      <c r="X36">
        <v>43710.58284722222</v>
      </c>
      <c r="AB36" t="s">
        <v>9</v>
      </c>
      <c r="AC36" t="s">
        <v>336</v>
      </c>
      <c r="AD36" t="s">
        <v>182</v>
      </c>
      <c r="AE36">
        <v>129559</v>
      </c>
      <c r="AF36">
        <v>129559</v>
      </c>
      <c r="AG36" t="s">
        <v>183</v>
      </c>
      <c r="AH36" t="s">
        <v>337</v>
      </c>
      <c r="AI36" t="s">
        <v>337</v>
      </c>
      <c r="AJ36" t="s">
        <v>338</v>
      </c>
      <c r="AK36" t="s">
        <v>339</v>
      </c>
      <c r="AL36" t="s">
        <v>340</v>
      </c>
      <c r="AM36" t="s">
        <v>341</v>
      </c>
      <c r="AO36" t="s">
        <v>342</v>
      </c>
      <c r="AP36" t="s">
        <v>343</v>
      </c>
      <c r="AR36">
        <v>60188</v>
      </c>
      <c r="AS36">
        <v>317499500</v>
      </c>
      <c r="AT36" t="s">
        <v>344</v>
      </c>
      <c r="AU36" t="s">
        <v>10</v>
      </c>
      <c r="AV36" t="s">
        <v>345</v>
      </c>
      <c r="AW36" t="s">
        <v>345</v>
      </c>
      <c r="AX36" t="s">
        <v>346</v>
      </c>
      <c r="AY36" t="s">
        <v>347</v>
      </c>
      <c r="AZ36" t="s">
        <v>348</v>
      </c>
      <c r="BA36" t="s">
        <v>186</v>
      </c>
      <c r="BB36" t="s">
        <v>187</v>
      </c>
      <c r="BC36" t="s">
        <v>188</v>
      </c>
      <c r="BD36">
        <v>518125</v>
      </c>
      <c r="BE36" t="s">
        <v>349</v>
      </c>
      <c r="BF36" t="s">
        <v>350</v>
      </c>
      <c r="BG36" t="b">
        <v>0</v>
      </c>
      <c r="BH36" s="6" t="s">
        <v>351</v>
      </c>
      <c r="BI36" t="s">
        <v>352</v>
      </c>
      <c r="BJ36">
        <v>4453163191</v>
      </c>
      <c r="BK36" t="s">
        <v>162</v>
      </c>
      <c r="BL36" t="s">
        <v>161</v>
      </c>
      <c r="BM36" s="2"/>
      <c r="BO36" t="s">
        <v>89</v>
      </c>
      <c r="BP36" t="s">
        <v>390</v>
      </c>
      <c r="BR36" t="s">
        <v>180</v>
      </c>
      <c r="BS36" t="s">
        <v>103</v>
      </c>
      <c r="BU36">
        <v>0</v>
      </c>
      <c r="BV36">
        <v>0</v>
      </c>
      <c r="BW36">
        <v>0</v>
      </c>
      <c r="BX36">
        <v>0</v>
      </c>
      <c r="BY36">
        <v>0</v>
      </c>
      <c r="BZ36">
        <v>0</v>
      </c>
      <c r="CA36">
        <v>0</v>
      </c>
      <c r="CJ36" t="s">
        <v>375</v>
      </c>
      <c r="CK36" t="s">
        <v>165</v>
      </c>
      <c r="CL36">
        <v>43710.386064814818</v>
      </c>
      <c r="CO36" t="s">
        <v>11</v>
      </c>
      <c r="CP36">
        <v>168.75</v>
      </c>
      <c r="CQ36" t="s">
        <v>11</v>
      </c>
      <c r="CR36">
        <v>168.75</v>
      </c>
      <c r="CV36" t="s">
        <v>190</v>
      </c>
      <c r="CW36" t="s">
        <v>12</v>
      </c>
      <c r="CX36" t="s">
        <v>12</v>
      </c>
      <c r="CY36" t="s">
        <v>12</v>
      </c>
      <c r="DA36" t="s">
        <v>104</v>
      </c>
      <c r="DD36" t="s">
        <v>93</v>
      </c>
      <c r="DQ36" t="s">
        <v>94</v>
      </c>
      <c r="DR36" t="s">
        <v>94</v>
      </c>
      <c r="DS36" t="s">
        <v>94</v>
      </c>
      <c r="DT36" t="s">
        <v>94</v>
      </c>
      <c r="DU36" t="s">
        <v>94</v>
      </c>
      <c r="DV36" t="s">
        <v>94</v>
      </c>
      <c r="DW36" t="s">
        <v>94</v>
      </c>
      <c r="DX36" s="2" t="s">
        <v>94</v>
      </c>
      <c r="DY36" t="s">
        <v>94</v>
      </c>
      <c r="DZ36" t="s">
        <v>94</v>
      </c>
      <c r="EA36" t="s">
        <v>94</v>
      </c>
      <c r="EB36" t="s">
        <v>94</v>
      </c>
      <c r="EC36" t="s">
        <v>94</v>
      </c>
      <c r="ED36" t="s">
        <v>94</v>
      </c>
      <c r="EE36" t="s">
        <v>89</v>
      </c>
      <c r="EF36" t="s">
        <v>94</v>
      </c>
      <c r="EG36" t="s">
        <v>105</v>
      </c>
      <c r="EJ36" t="s">
        <v>166</v>
      </c>
      <c r="EK36" t="b">
        <v>0</v>
      </c>
      <c r="EL36" t="b">
        <v>0</v>
      </c>
      <c r="EM36" t="b">
        <v>0</v>
      </c>
      <c r="EO36" t="s">
        <v>177</v>
      </c>
      <c r="EP36" t="s">
        <v>407</v>
      </c>
    </row>
    <row r="37" spans="3:146">
      <c r="C37" s="4" t="s">
        <v>401</v>
      </c>
      <c r="D37" s="4"/>
      <c r="E37" s="4">
        <v>1</v>
      </c>
      <c r="F37" s="4">
        <v>0.12</v>
      </c>
      <c r="G37" s="5" t="s">
        <v>374</v>
      </c>
      <c r="H37" s="4" t="s">
        <v>203</v>
      </c>
      <c r="I37" s="4" t="s">
        <v>164</v>
      </c>
      <c r="J37" s="5"/>
      <c r="K37" s="1" t="s">
        <v>274</v>
      </c>
      <c r="L37" s="1">
        <v>1100271750294</v>
      </c>
      <c r="M37" s="2" t="s">
        <v>164</v>
      </c>
      <c r="N37" s="2">
        <v>43710</v>
      </c>
      <c r="O37" t="s">
        <v>102</v>
      </c>
      <c r="P37" t="s">
        <v>195</v>
      </c>
      <c r="Q37">
        <v>1</v>
      </c>
      <c r="R37">
        <v>0.12</v>
      </c>
      <c r="S37" t="s">
        <v>196</v>
      </c>
      <c r="T37" t="s">
        <v>376</v>
      </c>
      <c r="U37" t="s">
        <v>163</v>
      </c>
      <c r="V37">
        <v>43710.582662037035</v>
      </c>
      <c r="W37" t="s">
        <v>207</v>
      </c>
      <c r="X37">
        <v>43710.582870370374</v>
      </c>
      <c r="AB37" t="s">
        <v>9</v>
      </c>
      <c r="AC37" t="s">
        <v>257</v>
      </c>
      <c r="AD37" t="s">
        <v>275</v>
      </c>
      <c r="AE37">
        <v>23794</v>
      </c>
      <c r="AF37">
        <v>23794</v>
      </c>
      <c r="AG37" t="s">
        <v>183</v>
      </c>
      <c r="AH37" t="s">
        <v>276</v>
      </c>
      <c r="AI37" t="s">
        <v>276</v>
      </c>
      <c r="AJ37" t="s">
        <v>259</v>
      </c>
      <c r="AK37" t="s">
        <v>260</v>
      </c>
      <c r="AL37" t="s">
        <v>277</v>
      </c>
      <c r="AM37" t="s">
        <v>278</v>
      </c>
      <c r="AO37" t="s">
        <v>279</v>
      </c>
      <c r="AP37" t="s">
        <v>265</v>
      </c>
      <c r="AQ37" t="s">
        <v>280</v>
      </c>
      <c r="AR37">
        <v>10650</v>
      </c>
      <c r="AS37">
        <v>902258128</v>
      </c>
      <c r="AT37" t="s">
        <v>281</v>
      </c>
      <c r="AU37" t="s">
        <v>10</v>
      </c>
      <c r="AV37" t="s">
        <v>282</v>
      </c>
      <c r="AW37" t="s">
        <v>282</v>
      </c>
      <c r="AX37" t="s">
        <v>283</v>
      </c>
      <c r="AY37" t="s">
        <v>284</v>
      </c>
      <c r="BA37" t="s">
        <v>285</v>
      </c>
      <c r="BB37" t="s">
        <v>286</v>
      </c>
      <c r="BC37" t="s">
        <v>287</v>
      </c>
      <c r="BD37">
        <v>610041</v>
      </c>
      <c r="BE37" t="s">
        <v>400</v>
      </c>
      <c r="BF37" t="s">
        <v>282</v>
      </c>
      <c r="BG37" t="b">
        <v>0</v>
      </c>
      <c r="BH37" s="6" t="s">
        <v>204</v>
      </c>
      <c r="BI37" t="s">
        <v>198</v>
      </c>
      <c r="BJ37">
        <v>4453163191</v>
      </c>
      <c r="BK37" t="s">
        <v>162</v>
      </c>
      <c r="BL37" t="s">
        <v>161</v>
      </c>
      <c r="BM37" s="2"/>
      <c r="BR37" t="s">
        <v>199</v>
      </c>
      <c r="BS37" t="s">
        <v>103</v>
      </c>
      <c r="BU37">
        <v>0</v>
      </c>
      <c r="BV37">
        <v>0</v>
      </c>
      <c r="BW37">
        <v>0</v>
      </c>
      <c r="BX37">
        <v>0</v>
      </c>
      <c r="BY37">
        <v>0</v>
      </c>
      <c r="BZ37">
        <v>0</v>
      </c>
      <c r="CA37">
        <v>0</v>
      </c>
      <c r="CJ37" t="s">
        <v>378</v>
      </c>
      <c r="CK37" t="s">
        <v>165</v>
      </c>
      <c r="CL37">
        <v>43710.386076388888</v>
      </c>
      <c r="CO37" t="s">
        <v>11</v>
      </c>
      <c r="CP37">
        <v>0</v>
      </c>
      <c r="CQ37" t="s">
        <v>11</v>
      </c>
      <c r="CR37">
        <v>0</v>
      </c>
      <c r="CV37" t="s">
        <v>190</v>
      </c>
      <c r="CW37" t="s">
        <v>12</v>
      </c>
      <c r="CX37" t="s">
        <v>12</v>
      </c>
      <c r="CY37" t="s">
        <v>12</v>
      </c>
      <c r="DA37" t="s">
        <v>104</v>
      </c>
      <c r="DD37" t="s">
        <v>93</v>
      </c>
      <c r="DQ37" t="s">
        <v>94</v>
      </c>
      <c r="DR37" t="s">
        <v>94</v>
      </c>
      <c r="DS37" t="s">
        <v>94</v>
      </c>
      <c r="DT37" t="s">
        <v>94</v>
      </c>
      <c r="DU37" t="s">
        <v>94</v>
      </c>
      <c r="DV37" t="s">
        <v>94</v>
      </c>
      <c r="DW37" t="s">
        <v>94</v>
      </c>
      <c r="DX37" s="2" t="s">
        <v>94</v>
      </c>
      <c r="DY37" t="s">
        <v>94</v>
      </c>
      <c r="DZ37" t="s">
        <v>94</v>
      </c>
      <c r="EA37" t="s">
        <v>94</v>
      </c>
      <c r="EB37" t="s">
        <v>94</v>
      </c>
      <c r="EC37" t="s">
        <v>94</v>
      </c>
      <c r="ED37" t="s">
        <v>94</v>
      </c>
      <c r="EE37" t="s">
        <v>89</v>
      </c>
      <c r="EF37" t="s">
        <v>94</v>
      </c>
      <c r="EG37" t="s">
        <v>226</v>
      </c>
      <c r="EJ37" t="s">
        <v>166</v>
      </c>
      <c r="EK37" t="b">
        <v>0</v>
      </c>
      <c r="EL37" t="b">
        <v>0</v>
      </c>
      <c r="EM37" t="b">
        <v>0</v>
      </c>
      <c r="EO37" t="s">
        <v>177</v>
      </c>
      <c r="EP37" t="s">
        <v>407</v>
      </c>
    </row>
    <row r="38" spans="3:146">
      <c r="C38" s="4" t="s">
        <v>401</v>
      </c>
      <c r="D38" s="4"/>
      <c r="E38" s="4">
        <v>1</v>
      </c>
      <c r="F38" s="4">
        <v>1.18</v>
      </c>
      <c r="G38" s="4" t="s">
        <v>374</v>
      </c>
      <c r="H38" s="4" t="s">
        <v>403</v>
      </c>
      <c r="I38" s="4" t="s">
        <v>164</v>
      </c>
      <c r="J38" s="4"/>
      <c r="K38" s="1" t="s">
        <v>353</v>
      </c>
      <c r="L38" s="1">
        <v>1100271750292</v>
      </c>
      <c r="M38" s="6" t="s">
        <v>164</v>
      </c>
      <c r="N38" s="2">
        <v>43710</v>
      </c>
      <c r="O38" t="s">
        <v>102</v>
      </c>
      <c r="P38" t="s">
        <v>179</v>
      </c>
      <c r="Q38">
        <v>1</v>
      </c>
      <c r="R38">
        <v>1.18</v>
      </c>
      <c r="S38" t="s">
        <v>319</v>
      </c>
      <c r="T38" t="s">
        <v>393</v>
      </c>
      <c r="U38" t="s">
        <v>163</v>
      </c>
      <c r="V38">
        <v>43710.582650462966</v>
      </c>
      <c r="W38" t="s">
        <v>207</v>
      </c>
      <c r="X38">
        <v>43710.58284722222</v>
      </c>
      <c r="AB38" t="s">
        <v>9</v>
      </c>
      <c r="AC38" t="s">
        <v>354</v>
      </c>
      <c r="AD38" t="s">
        <v>182</v>
      </c>
      <c r="AE38">
        <v>38568</v>
      </c>
      <c r="AF38">
        <v>38568</v>
      </c>
      <c r="AG38" t="s">
        <v>183</v>
      </c>
      <c r="AH38" t="s">
        <v>355</v>
      </c>
      <c r="AI38" t="s">
        <v>355</v>
      </c>
      <c r="AJ38" t="s">
        <v>356</v>
      </c>
      <c r="AK38" t="s">
        <v>357</v>
      </c>
      <c r="AL38" t="s">
        <v>358</v>
      </c>
      <c r="AM38" t="s">
        <v>359</v>
      </c>
      <c r="AO38" t="s">
        <v>360</v>
      </c>
      <c r="AP38" t="s">
        <v>361</v>
      </c>
      <c r="AQ38" t="s">
        <v>362</v>
      </c>
      <c r="AR38">
        <v>7114001</v>
      </c>
      <c r="AS38">
        <v>508494928</v>
      </c>
      <c r="AT38" t="s">
        <v>363</v>
      </c>
      <c r="AU38" t="s">
        <v>10</v>
      </c>
      <c r="AV38" t="s">
        <v>364</v>
      </c>
      <c r="AW38" t="s">
        <v>364</v>
      </c>
      <c r="AX38" t="s">
        <v>365</v>
      </c>
      <c r="BA38" t="s">
        <v>194</v>
      </c>
      <c r="BB38" t="s">
        <v>187</v>
      </c>
      <c r="BC38" t="s">
        <v>188</v>
      </c>
      <c r="BD38">
        <v>518116</v>
      </c>
      <c r="BE38" t="s">
        <v>404</v>
      </c>
      <c r="BF38" t="s">
        <v>366</v>
      </c>
      <c r="BG38" t="b">
        <v>0</v>
      </c>
      <c r="BH38" s="6" t="s">
        <v>367</v>
      </c>
      <c r="BI38" t="s">
        <v>368</v>
      </c>
      <c r="BJ38">
        <v>4453163191</v>
      </c>
      <c r="BK38" t="s">
        <v>162</v>
      </c>
      <c r="BL38" t="s">
        <v>161</v>
      </c>
      <c r="BM38" s="2"/>
      <c r="BO38" t="s">
        <v>89</v>
      </c>
      <c r="BP38" t="s">
        <v>405</v>
      </c>
      <c r="BR38" t="s">
        <v>180</v>
      </c>
      <c r="BS38" t="s">
        <v>103</v>
      </c>
      <c r="BU38">
        <v>0</v>
      </c>
      <c r="BV38">
        <v>0</v>
      </c>
      <c r="BW38">
        <v>0</v>
      </c>
      <c r="BX38">
        <v>0</v>
      </c>
      <c r="BY38">
        <v>0</v>
      </c>
      <c r="BZ38">
        <v>0</v>
      </c>
      <c r="CA38">
        <v>0</v>
      </c>
      <c r="CJ38" t="s">
        <v>375</v>
      </c>
      <c r="CK38" t="s">
        <v>165</v>
      </c>
      <c r="CL38">
        <v>43710.386087962965</v>
      </c>
      <c r="CO38" t="s">
        <v>11</v>
      </c>
      <c r="CP38">
        <v>140.62</v>
      </c>
      <c r="CQ38" t="s">
        <v>11</v>
      </c>
      <c r="CR38">
        <v>140.62</v>
      </c>
      <c r="CV38" t="s">
        <v>190</v>
      </c>
      <c r="CW38" t="s">
        <v>12</v>
      </c>
      <c r="CX38" t="s">
        <v>12</v>
      </c>
      <c r="CY38" t="s">
        <v>12</v>
      </c>
      <c r="DA38" t="s">
        <v>104</v>
      </c>
      <c r="DD38" t="s">
        <v>93</v>
      </c>
      <c r="DQ38" t="s">
        <v>94</v>
      </c>
      <c r="DR38" t="s">
        <v>94</v>
      </c>
      <c r="DS38" t="s">
        <v>94</v>
      </c>
      <c r="DT38" t="s">
        <v>94</v>
      </c>
      <c r="DU38" t="s">
        <v>94</v>
      </c>
      <c r="DV38" t="s">
        <v>94</v>
      </c>
      <c r="DW38" t="s">
        <v>94</v>
      </c>
      <c r="DX38" s="2" t="s">
        <v>94</v>
      </c>
      <c r="DY38" t="s">
        <v>94</v>
      </c>
      <c r="DZ38" t="s">
        <v>94</v>
      </c>
      <c r="EA38" t="s">
        <v>94</v>
      </c>
      <c r="EB38" t="s">
        <v>94</v>
      </c>
      <c r="EC38" t="s">
        <v>94</v>
      </c>
      <c r="ED38" t="s">
        <v>94</v>
      </c>
      <c r="EE38" t="s">
        <v>89</v>
      </c>
      <c r="EF38" t="s">
        <v>94</v>
      </c>
      <c r="EG38" t="s">
        <v>105</v>
      </c>
      <c r="EJ38" t="s">
        <v>166</v>
      </c>
      <c r="EK38" t="b">
        <v>0</v>
      </c>
      <c r="EL38" t="b">
        <v>0</v>
      </c>
      <c r="EM38" t="b">
        <v>0</v>
      </c>
      <c r="EO38" t="s">
        <v>177</v>
      </c>
      <c r="EP38" t="s">
        <v>407</v>
      </c>
    </row>
    <row r="39" spans="3:146">
      <c r="C39" s="4" t="s">
        <v>401</v>
      </c>
      <c r="D39" s="4"/>
      <c r="E39" s="4">
        <v>1</v>
      </c>
      <c r="F39" s="4">
        <v>0.1</v>
      </c>
      <c r="G39" s="4" t="s">
        <v>374</v>
      </c>
      <c r="H39" s="4" t="s">
        <v>203</v>
      </c>
      <c r="I39" s="4" t="s">
        <v>164</v>
      </c>
      <c r="J39" s="4"/>
      <c r="K39" s="1" t="s">
        <v>398</v>
      </c>
      <c r="L39" s="1">
        <v>1100271750295</v>
      </c>
      <c r="M39" s="2" t="s">
        <v>164</v>
      </c>
      <c r="N39" s="2">
        <v>43710</v>
      </c>
      <c r="O39" t="s">
        <v>102</v>
      </c>
      <c r="P39" t="s">
        <v>195</v>
      </c>
      <c r="Q39">
        <v>1</v>
      </c>
      <c r="R39">
        <v>0.1</v>
      </c>
      <c r="S39" t="s">
        <v>196</v>
      </c>
      <c r="T39" t="s">
        <v>376</v>
      </c>
      <c r="U39" t="s">
        <v>163</v>
      </c>
      <c r="V39">
        <v>43710.582650462966</v>
      </c>
      <c r="W39" t="s">
        <v>207</v>
      </c>
      <c r="X39">
        <v>43710.582858796297</v>
      </c>
      <c r="AB39" t="s">
        <v>9</v>
      </c>
      <c r="AC39" t="s">
        <v>288</v>
      </c>
      <c r="AD39" t="s">
        <v>209</v>
      </c>
      <c r="AE39">
        <v>3000945</v>
      </c>
      <c r="AF39">
        <v>3000945</v>
      </c>
      <c r="AG39" t="s">
        <v>183</v>
      </c>
      <c r="AH39" t="s">
        <v>289</v>
      </c>
      <c r="AI39" t="s">
        <v>289</v>
      </c>
      <c r="AJ39" t="s">
        <v>211</v>
      </c>
      <c r="AK39" t="s">
        <v>212</v>
      </c>
      <c r="AL39" t="s">
        <v>290</v>
      </c>
      <c r="AM39" t="s">
        <v>291</v>
      </c>
      <c r="AO39" t="s">
        <v>292</v>
      </c>
      <c r="AP39" t="s">
        <v>293</v>
      </c>
      <c r="AQ39" t="s">
        <v>294</v>
      </c>
      <c r="AR39">
        <v>244001</v>
      </c>
      <c r="AS39">
        <v>5916531457</v>
      </c>
      <c r="AT39" t="s">
        <v>205</v>
      </c>
      <c r="AU39" t="s">
        <v>10</v>
      </c>
      <c r="AV39" t="s">
        <v>295</v>
      </c>
      <c r="AW39" t="s">
        <v>295</v>
      </c>
      <c r="AX39" t="s">
        <v>296</v>
      </c>
      <c r="AY39" t="s">
        <v>297</v>
      </c>
      <c r="AZ39" t="s">
        <v>298</v>
      </c>
      <c r="BA39" t="s">
        <v>299</v>
      </c>
      <c r="BB39" t="s">
        <v>300</v>
      </c>
      <c r="BC39" t="s">
        <v>188</v>
      </c>
      <c r="BD39">
        <v>511430</v>
      </c>
      <c r="BE39" t="s">
        <v>399</v>
      </c>
      <c r="BF39" t="s">
        <v>301</v>
      </c>
      <c r="BG39" t="b">
        <v>0</v>
      </c>
      <c r="BH39" s="6" t="s">
        <v>204</v>
      </c>
      <c r="BI39" t="s">
        <v>198</v>
      </c>
      <c r="BJ39">
        <v>4453163191</v>
      </c>
      <c r="BK39" t="s">
        <v>162</v>
      </c>
      <c r="BL39" t="s">
        <v>161</v>
      </c>
      <c r="BM39" s="2"/>
      <c r="BR39" t="s">
        <v>199</v>
      </c>
      <c r="BS39" t="s">
        <v>103</v>
      </c>
      <c r="BU39">
        <v>0</v>
      </c>
      <c r="BV39">
        <v>0</v>
      </c>
      <c r="BW39">
        <v>0</v>
      </c>
      <c r="BX39">
        <v>0</v>
      </c>
      <c r="BY39">
        <v>0</v>
      </c>
      <c r="BZ39">
        <v>0</v>
      </c>
      <c r="CA39">
        <v>0</v>
      </c>
      <c r="CJ39" t="s">
        <v>378</v>
      </c>
      <c r="CK39" t="s">
        <v>165</v>
      </c>
      <c r="CL39">
        <v>43710.386157407411</v>
      </c>
      <c r="CO39" t="s">
        <v>11</v>
      </c>
      <c r="CP39">
        <v>0</v>
      </c>
      <c r="CQ39" t="s">
        <v>11</v>
      </c>
      <c r="CR39">
        <v>0</v>
      </c>
      <c r="CV39" t="s">
        <v>190</v>
      </c>
      <c r="CW39" t="s">
        <v>12</v>
      </c>
      <c r="CX39" t="s">
        <v>12</v>
      </c>
      <c r="CY39" t="s">
        <v>12</v>
      </c>
      <c r="DA39" t="s">
        <v>104</v>
      </c>
      <c r="DD39" t="s">
        <v>93</v>
      </c>
      <c r="DQ39" t="s">
        <v>94</v>
      </c>
      <c r="DR39" t="s">
        <v>94</v>
      </c>
      <c r="DS39" t="s">
        <v>94</v>
      </c>
      <c r="DT39" t="s">
        <v>94</v>
      </c>
      <c r="DU39" t="s">
        <v>94</v>
      </c>
      <c r="DV39" t="s">
        <v>94</v>
      </c>
      <c r="DW39" t="s">
        <v>94</v>
      </c>
      <c r="DX39" s="2" t="s">
        <v>94</v>
      </c>
      <c r="DY39" t="s">
        <v>94</v>
      </c>
      <c r="DZ39" t="s">
        <v>94</v>
      </c>
      <c r="EA39" t="s">
        <v>94</v>
      </c>
      <c r="EB39" t="s">
        <v>94</v>
      </c>
      <c r="EC39" t="s">
        <v>94</v>
      </c>
      <c r="ED39" t="s">
        <v>94</v>
      </c>
      <c r="EE39" t="s">
        <v>89</v>
      </c>
      <c r="EF39" t="s">
        <v>94</v>
      </c>
      <c r="EG39" t="s">
        <v>226</v>
      </c>
      <c r="EJ39" t="s">
        <v>166</v>
      </c>
      <c r="EK39" t="b">
        <v>0</v>
      </c>
      <c r="EL39" t="b">
        <v>0</v>
      </c>
      <c r="EM39" t="b">
        <v>0</v>
      </c>
      <c r="EO39" t="s">
        <v>177</v>
      </c>
      <c r="EP39" t="s">
        <v>407</v>
      </c>
    </row>
    <row r="40" spans="3:146">
      <c r="C40" s="4" t="s">
        <v>401</v>
      </c>
      <c r="D40" s="4"/>
      <c r="E40" s="4">
        <v>1</v>
      </c>
      <c r="F40" s="4">
        <v>0.5</v>
      </c>
      <c r="G40" s="4" t="s">
        <v>374</v>
      </c>
      <c r="H40" s="5" t="s">
        <v>203</v>
      </c>
      <c r="I40" s="5" t="s">
        <v>164</v>
      </c>
      <c r="J40" s="4"/>
      <c r="K40" s="1" t="s">
        <v>396</v>
      </c>
      <c r="L40" s="1">
        <v>1100271750296</v>
      </c>
      <c r="M40" s="2" t="s">
        <v>164</v>
      </c>
      <c r="N40" s="2">
        <v>43710</v>
      </c>
      <c r="O40" t="s">
        <v>102</v>
      </c>
      <c r="P40" t="s">
        <v>195</v>
      </c>
      <c r="Q40">
        <v>1</v>
      </c>
      <c r="R40">
        <v>0.5</v>
      </c>
      <c r="S40" t="s">
        <v>196</v>
      </c>
      <c r="T40" t="s">
        <v>376</v>
      </c>
      <c r="U40" t="s">
        <v>163</v>
      </c>
      <c r="V40">
        <v>43710.582673611112</v>
      </c>
      <c r="W40" t="s">
        <v>197</v>
      </c>
      <c r="X40">
        <v>43710.582812499997</v>
      </c>
      <c r="AB40" t="s">
        <v>9</v>
      </c>
      <c r="AC40" t="s">
        <v>302</v>
      </c>
      <c r="AD40" t="s">
        <v>249</v>
      </c>
      <c r="AE40">
        <v>3515</v>
      </c>
      <c r="AF40">
        <v>3515</v>
      </c>
      <c r="AG40" t="s">
        <v>183</v>
      </c>
      <c r="AH40" t="s">
        <v>303</v>
      </c>
      <c r="AI40" t="s">
        <v>303</v>
      </c>
      <c r="AJ40" t="s">
        <v>304</v>
      </c>
      <c r="AK40" t="s">
        <v>305</v>
      </c>
      <c r="AL40" t="s">
        <v>306</v>
      </c>
      <c r="AM40" t="s">
        <v>307</v>
      </c>
      <c r="AO40" t="s">
        <v>308</v>
      </c>
      <c r="AP40" t="s">
        <v>309</v>
      </c>
      <c r="AS40">
        <v>2302065460</v>
      </c>
      <c r="AT40" t="s">
        <v>310</v>
      </c>
      <c r="AU40" t="s">
        <v>10</v>
      </c>
      <c r="AV40" t="s">
        <v>311</v>
      </c>
      <c r="AW40" t="s">
        <v>311</v>
      </c>
      <c r="AX40" t="s">
        <v>312</v>
      </c>
      <c r="AY40" t="s">
        <v>313</v>
      </c>
      <c r="AZ40" t="s">
        <v>314</v>
      </c>
      <c r="BA40" t="s">
        <v>315</v>
      </c>
      <c r="BB40" t="s">
        <v>316</v>
      </c>
      <c r="BC40" t="s">
        <v>317</v>
      </c>
      <c r="BD40">
        <v>550700</v>
      </c>
      <c r="BE40" t="s">
        <v>397</v>
      </c>
      <c r="BF40" t="s">
        <v>318</v>
      </c>
      <c r="BG40" t="b">
        <v>0</v>
      </c>
      <c r="BH40" s="6" t="s">
        <v>225</v>
      </c>
      <c r="BI40" t="s">
        <v>198</v>
      </c>
      <c r="BJ40">
        <v>4453163191</v>
      </c>
      <c r="BK40" t="s">
        <v>162</v>
      </c>
      <c r="BL40" t="s">
        <v>161</v>
      </c>
      <c r="BR40" t="s">
        <v>199</v>
      </c>
      <c r="BS40" t="s">
        <v>103</v>
      </c>
      <c r="BU40">
        <v>0</v>
      </c>
      <c r="BV40">
        <v>0</v>
      </c>
      <c r="BW40">
        <v>0</v>
      </c>
      <c r="BX40">
        <v>0</v>
      </c>
      <c r="BY40">
        <v>0</v>
      </c>
      <c r="BZ40">
        <v>0</v>
      </c>
      <c r="CA40">
        <v>0</v>
      </c>
      <c r="CJ40" t="s">
        <v>378</v>
      </c>
      <c r="CK40" t="s">
        <v>165</v>
      </c>
      <c r="CL40">
        <v>43710.386203703703</v>
      </c>
      <c r="CO40" t="s">
        <v>11</v>
      </c>
      <c r="CP40">
        <v>0</v>
      </c>
      <c r="CQ40" t="s">
        <v>11</v>
      </c>
      <c r="CR40">
        <v>0</v>
      </c>
      <c r="CV40" t="s">
        <v>190</v>
      </c>
      <c r="CW40" t="s">
        <v>12</v>
      </c>
      <c r="CX40" t="s">
        <v>12</v>
      </c>
      <c r="CY40" t="s">
        <v>12</v>
      </c>
      <c r="DA40" t="s">
        <v>104</v>
      </c>
      <c r="DD40" t="s">
        <v>93</v>
      </c>
      <c r="DQ40" t="s">
        <v>94</v>
      </c>
      <c r="DR40" t="s">
        <v>94</v>
      </c>
      <c r="DS40" t="s">
        <v>94</v>
      </c>
      <c r="DT40" t="s">
        <v>94</v>
      </c>
      <c r="DU40" t="s">
        <v>94</v>
      </c>
      <c r="DV40" t="s">
        <v>94</v>
      </c>
      <c r="DW40" t="s">
        <v>94</v>
      </c>
      <c r="DX40" s="2" t="s">
        <v>94</v>
      </c>
      <c r="DY40" t="s">
        <v>94</v>
      </c>
      <c r="DZ40" t="s">
        <v>94</v>
      </c>
      <c r="EA40" t="s">
        <v>94</v>
      </c>
      <c r="EB40" t="s">
        <v>94</v>
      </c>
      <c r="EC40" t="s">
        <v>94</v>
      </c>
      <c r="ED40" t="s">
        <v>94</v>
      </c>
      <c r="EE40" t="s">
        <v>89</v>
      </c>
      <c r="EF40" t="s">
        <v>94</v>
      </c>
      <c r="EG40" t="s">
        <v>226</v>
      </c>
      <c r="EJ40" t="s">
        <v>166</v>
      </c>
      <c r="EK40" t="b">
        <v>0</v>
      </c>
      <c r="EL40" t="b">
        <v>0</v>
      </c>
      <c r="EM40" t="b">
        <v>0</v>
      </c>
      <c r="EO40" t="s">
        <v>177</v>
      </c>
      <c r="EP40" t="s">
        <v>407</v>
      </c>
    </row>
    <row r="41" spans="3:146" ht="15">
      <c r="C41" s="82">
        <v>12</v>
      </c>
      <c r="D41" s="5"/>
      <c r="E41" s="4">
        <v>3</v>
      </c>
      <c r="F41" s="5">
        <v>16</v>
      </c>
      <c r="G41" s="5" t="s">
        <v>464</v>
      </c>
      <c r="H41" s="4" t="s">
        <v>465</v>
      </c>
      <c r="I41" s="81" t="s">
        <v>466</v>
      </c>
      <c r="J41" s="21"/>
      <c r="K41" s="22" t="s">
        <v>408</v>
      </c>
      <c r="L41" s="22">
        <v>1100271750250</v>
      </c>
      <c r="M41" s="23" t="s">
        <v>409</v>
      </c>
      <c r="N41" s="23">
        <v>43706</v>
      </c>
      <c r="O41" s="24" t="s">
        <v>102</v>
      </c>
      <c r="P41" s="24" t="s">
        <v>181</v>
      </c>
      <c r="Q41" s="24">
        <v>3</v>
      </c>
      <c r="R41" s="24">
        <v>16</v>
      </c>
      <c r="S41" t="s">
        <v>11</v>
      </c>
      <c r="T41">
        <v>800</v>
      </c>
      <c r="U41" s="2" t="s">
        <v>163</v>
      </c>
      <c r="V41">
        <v>43706.792847222219</v>
      </c>
      <c r="W41" s="2" t="s">
        <v>207</v>
      </c>
      <c r="X41">
        <v>43706.797314814816</v>
      </c>
      <c r="AB41" t="s">
        <v>9</v>
      </c>
      <c r="AC41" t="s">
        <v>410</v>
      </c>
      <c r="AD41" t="s">
        <v>191</v>
      </c>
      <c r="AE41">
        <v>21845142</v>
      </c>
      <c r="AF41">
        <v>21845142</v>
      </c>
      <c r="AG41" t="s">
        <v>183</v>
      </c>
      <c r="AH41" t="s">
        <v>411</v>
      </c>
      <c r="AI41" t="s">
        <v>412</v>
      </c>
      <c r="AJ41" t="s">
        <v>369</v>
      </c>
      <c r="AK41" t="s">
        <v>370</v>
      </c>
      <c r="AL41" t="s">
        <v>413</v>
      </c>
      <c r="AO41" t="s">
        <v>414</v>
      </c>
      <c r="AP41" t="s">
        <v>415</v>
      </c>
      <c r="AQ41" t="s">
        <v>416</v>
      </c>
      <c r="AR41" t="s">
        <v>467</v>
      </c>
      <c r="AS41">
        <v>755962922</v>
      </c>
      <c r="AT41" t="s">
        <v>417</v>
      </c>
      <c r="AU41" t="s">
        <v>10</v>
      </c>
      <c r="AV41" t="s">
        <v>418</v>
      </c>
      <c r="AW41" t="s">
        <v>418</v>
      </c>
      <c r="AX41" t="s">
        <v>419</v>
      </c>
      <c r="AY41" s="2" t="s">
        <v>420</v>
      </c>
      <c r="BA41" t="s">
        <v>371</v>
      </c>
      <c r="BB41" t="s">
        <v>192</v>
      </c>
      <c r="BC41" t="s">
        <v>188</v>
      </c>
      <c r="BD41">
        <v>523850</v>
      </c>
      <c r="BE41" t="s">
        <v>421</v>
      </c>
      <c r="BF41" t="s">
        <v>422</v>
      </c>
      <c r="BG41" t="b">
        <v>0</v>
      </c>
      <c r="BH41" s="6" t="s">
        <v>423</v>
      </c>
      <c r="BI41" t="s">
        <v>424</v>
      </c>
      <c r="BJ41">
        <v>4453163191</v>
      </c>
      <c r="BK41" t="s">
        <v>162</v>
      </c>
      <c r="BL41" t="s">
        <v>161</v>
      </c>
      <c r="BM41" s="2"/>
      <c r="BO41" t="s">
        <v>89</v>
      </c>
      <c r="BP41">
        <v>8504401990</v>
      </c>
      <c r="BR41" t="s">
        <v>189</v>
      </c>
      <c r="BS41" t="s">
        <v>103</v>
      </c>
      <c r="BU41">
        <v>0</v>
      </c>
      <c r="BV41">
        <v>104</v>
      </c>
      <c r="BW41">
        <v>0</v>
      </c>
      <c r="BX41">
        <v>0</v>
      </c>
      <c r="BY41">
        <v>0</v>
      </c>
      <c r="BZ41">
        <v>0</v>
      </c>
      <c r="CA41">
        <v>104</v>
      </c>
      <c r="CF41" s="2"/>
      <c r="CH41" s="2"/>
      <c r="CJ41">
        <v>5.3142019950122099E+17</v>
      </c>
      <c r="CK41" t="s">
        <v>165</v>
      </c>
      <c r="CL41">
        <v>43706.568807870368</v>
      </c>
      <c r="CO41" t="s">
        <v>11</v>
      </c>
      <c r="CP41">
        <v>800</v>
      </c>
      <c r="CQ41" t="s">
        <v>11</v>
      </c>
      <c r="CR41">
        <v>800</v>
      </c>
      <c r="CV41" t="s">
        <v>190</v>
      </c>
      <c r="CW41" t="s">
        <v>12</v>
      </c>
      <c r="CX41" t="s">
        <v>12</v>
      </c>
      <c r="CY41" t="s">
        <v>12</v>
      </c>
      <c r="DA41" t="s">
        <v>104</v>
      </c>
      <c r="DD41" t="s">
        <v>93</v>
      </c>
      <c r="DQ41" t="s">
        <v>94</v>
      </c>
      <c r="DR41" t="s">
        <v>94</v>
      </c>
      <c r="DS41" t="s">
        <v>94</v>
      </c>
      <c r="DT41" t="s">
        <v>94</v>
      </c>
      <c r="DU41" t="s">
        <v>94</v>
      </c>
      <c r="DV41" t="s">
        <v>94</v>
      </c>
      <c r="DW41" t="s">
        <v>94</v>
      </c>
      <c r="DX41" s="2" t="s">
        <v>94</v>
      </c>
      <c r="DY41" t="s">
        <v>94</v>
      </c>
      <c r="DZ41" t="s">
        <v>94</v>
      </c>
      <c r="EA41" t="s">
        <v>94</v>
      </c>
      <c r="EB41" t="s">
        <v>94</v>
      </c>
      <c r="EC41" t="s">
        <v>94</v>
      </c>
      <c r="ED41" t="s">
        <v>94</v>
      </c>
      <c r="EE41" t="s">
        <v>89</v>
      </c>
      <c r="EF41" t="s">
        <v>425</v>
      </c>
      <c r="EG41" t="s">
        <v>105</v>
      </c>
      <c r="EJ41" t="s">
        <v>166</v>
      </c>
      <c r="EK41" t="b">
        <v>0</v>
      </c>
      <c r="EL41" t="b">
        <v>0</v>
      </c>
      <c r="EM41" t="b">
        <v>0</v>
      </c>
      <c r="EO41" t="s">
        <v>177</v>
      </c>
      <c r="EP41" t="s">
        <v>468</v>
      </c>
    </row>
    <row r="42" spans="3:146" ht="15">
      <c r="C42" s="82">
        <v>210</v>
      </c>
      <c r="D42" s="5"/>
      <c r="E42" s="4">
        <v>1</v>
      </c>
      <c r="F42" s="5">
        <v>9.85</v>
      </c>
      <c r="G42" s="5" t="s">
        <v>469</v>
      </c>
      <c r="H42" s="4" t="s">
        <v>470</v>
      </c>
      <c r="I42" s="81" t="s">
        <v>164</v>
      </c>
      <c r="J42" s="21"/>
      <c r="K42" s="22" t="s">
        <v>426</v>
      </c>
      <c r="L42" s="22">
        <v>1100271750276</v>
      </c>
      <c r="M42" s="23" t="s">
        <v>164</v>
      </c>
      <c r="N42" s="23">
        <v>43708</v>
      </c>
      <c r="O42" s="24" t="s">
        <v>102</v>
      </c>
      <c r="P42" s="24" t="s">
        <v>181</v>
      </c>
      <c r="Q42" s="24">
        <v>1</v>
      </c>
      <c r="R42" s="24">
        <v>9.85</v>
      </c>
      <c r="S42" t="s">
        <v>319</v>
      </c>
      <c r="T42">
        <v>697.54</v>
      </c>
      <c r="U42" s="2" t="s">
        <v>163</v>
      </c>
      <c r="V42">
        <v>43708.864050925928</v>
      </c>
      <c r="W42" s="2" t="s">
        <v>427</v>
      </c>
      <c r="X42">
        <v>43708.873541666668</v>
      </c>
      <c r="AB42" t="s">
        <v>9</v>
      </c>
      <c r="AC42" t="s">
        <v>428</v>
      </c>
      <c r="AD42" t="s">
        <v>182</v>
      </c>
      <c r="AE42">
        <v>523754</v>
      </c>
      <c r="AF42">
        <v>523754</v>
      </c>
      <c r="AG42" t="s">
        <v>183</v>
      </c>
      <c r="AH42" t="s">
        <v>429</v>
      </c>
      <c r="AI42" t="s">
        <v>429</v>
      </c>
      <c r="AJ42" t="s">
        <v>373</v>
      </c>
      <c r="AK42" t="s">
        <v>430</v>
      </c>
      <c r="AL42" t="s">
        <v>431</v>
      </c>
      <c r="AM42" t="s">
        <v>432</v>
      </c>
      <c r="AN42" t="s">
        <v>433</v>
      </c>
      <c r="AO42" t="s">
        <v>434</v>
      </c>
      <c r="AP42" t="s">
        <v>435</v>
      </c>
      <c r="AR42" t="s">
        <v>471</v>
      </c>
      <c r="AS42">
        <v>886222183303</v>
      </c>
      <c r="AT42" t="s">
        <v>436</v>
      </c>
      <c r="AU42" t="s">
        <v>10</v>
      </c>
      <c r="AV42" t="s">
        <v>437</v>
      </c>
      <c r="AW42" t="s">
        <v>437</v>
      </c>
      <c r="AX42" t="s">
        <v>438</v>
      </c>
      <c r="AY42" s="2" t="s">
        <v>439</v>
      </c>
      <c r="BA42" t="s">
        <v>271</v>
      </c>
      <c r="BB42" t="s">
        <v>272</v>
      </c>
      <c r="BC42" t="s">
        <v>188</v>
      </c>
      <c r="BD42">
        <v>518054</v>
      </c>
      <c r="BE42" t="s">
        <v>440</v>
      </c>
      <c r="BF42" t="s">
        <v>441</v>
      </c>
      <c r="BG42" t="b">
        <v>0</v>
      </c>
      <c r="BH42" s="6" t="s">
        <v>442</v>
      </c>
      <c r="BI42" t="s">
        <v>443</v>
      </c>
      <c r="BJ42">
        <v>4453163191</v>
      </c>
      <c r="BK42" t="s">
        <v>162</v>
      </c>
      <c r="BL42" t="s">
        <v>161</v>
      </c>
      <c r="BM42" s="2"/>
      <c r="BO42" t="s">
        <v>89</v>
      </c>
      <c r="BP42">
        <v>85414010</v>
      </c>
      <c r="BR42" t="s">
        <v>180</v>
      </c>
      <c r="BS42" t="s">
        <v>103</v>
      </c>
      <c r="BU42">
        <v>165.18</v>
      </c>
      <c r="BV42">
        <v>645.6</v>
      </c>
      <c r="BW42">
        <v>0</v>
      </c>
      <c r="BX42">
        <v>0</v>
      </c>
      <c r="BY42">
        <v>0</v>
      </c>
      <c r="BZ42">
        <v>0</v>
      </c>
      <c r="CA42">
        <v>810.78</v>
      </c>
      <c r="CB42" t="s">
        <v>444</v>
      </c>
      <c r="CF42" s="2"/>
      <c r="CH42" s="2"/>
      <c r="CJ42">
        <v>5.3142019950123597E+17</v>
      </c>
      <c r="CK42" t="s">
        <v>445</v>
      </c>
      <c r="CL42">
        <v>43708.567453703705</v>
      </c>
      <c r="CO42" t="s">
        <v>11</v>
      </c>
      <c r="CP42">
        <v>4904.54</v>
      </c>
      <c r="CQ42" t="s">
        <v>11</v>
      </c>
      <c r="CR42">
        <v>4904.54</v>
      </c>
      <c r="CV42" t="s">
        <v>190</v>
      </c>
      <c r="CW42" t="s">
        <v>12</v>
      </c>
      <c r="CX42" t="s">
        <v>12</v>
      </c>
      <c r="CY42" t="s">
        <v>12</v>
      </c>
      <c r="DA42" t="s">
        <v>104</v>
      </c>
      <c r="DD42" t="s">
        <v>93</v>
      </c>
      <c r="DQ42" t="s">
        <v>94</v>
      </c>
      <c r="DR42" t="s">
        <v>94</v>
      </c>
      <c r="DS42" t="s">
        <v>94</v>
      </c>
      <c r="DT42" t="s">
        <v>94</v>
      </c>
      <c r="DU42" t="s">
        <v>94</v>
      </c>
      <c r="DV42" t="s">
        <v>94</v>
      </c>
      <c r="DW42" t="s">
        <v>94</v>
      </c>
      <c r="DX42" s="2" t="s">
        <v>94</v>
      </c>
      <c r="DY42" t="s">
        <v>94</v>
      </c>
      <c r="DZ42" t="s">
        <v>94</v>
      </c>
      <c r="EA42" t="s">
        <v>94</v>
      </c>
      <c r="EB42" t="s">
        <v>94</v>
      </c>
      <c r="EC42" t="s">
        <v>94</v>
      </c>
      <c r="ED42" t="s">
        <v>94</v>
      </c>
      <c r="EE42" t="s">
        <v>89</v>
      </c>
      <c r="EF42" t="s">
        <v>425</v>
      </c>
      <c r="EG42" t="s">
        <v>105</v>
      </c>
      <c r="EJ42" t="s">
        <v>166</v>
      </c>
      <c r="EK42" t="b">
        <v>0</v>
      </c>
      <c r="EL42" t="b">
        <v>0</v>
      </c>
      <c r="EM42" t="b">
        <v>0</v>
      </c>
      <c r="EO42" t="s">
        <v>177</v>
      </c>
      <c r="EP42" t="s">
        <v>472</v>
      </c>
    </row>
    <row r="43" spans="3:146" ht="15">
      <c r="C43" s="82" t="s">
        <v>473</v>
      </c>
      <c r="D43" s="5"/>
      <c r="E43" s="4">
        <v>1</v>
      </c>
      <c r="F43" s="5">
        <v>10</v>
      </c>
      <c r="G43" s="5" t="s">
        <v>474</v>
      </c>
      <c r="H43" s="4" t="s">
        <v>475</v>
      </c>
      <c r="I43" s="81" t="s">
        <v>164</v>
      </c>
      <c r="J43" s="21"/>
      <c r="K43" s="22" t="s">
        <v>446</v>
      </c>
      <c r="L43" s="22">
        <v>1100271750221</v>
      </c>
      <c r="M43" s="23" t="s">
        <v>447</v>
      </c>
      <c r="N43" s="23">
        <v>43703</v>
      </c>
      <c r="O43" s="24" t="s">
        <v>102</v>
      </c>
      <c r="P43" s="24" t="s">
        <v>181</v>
      </c>
      <c r="Q43" s="24">
        <v>1</v>
      </c>
      <c r="R43" s="24">
        <v>10</v>
      </c>
      <c r="S43" t="s">
        <v>372</v>
      </c>
      <c r="T43">
        <v>520</v>
      </c>
      <c r="U43" s="2" t="s">
        <v>163</v>
      </c>
      <c r="V43">
        <v>43703.786493055559</v>
      </c>
      <c r="W43" s="2" t="s">
        <v>444</v>
      </c>
      <c r="X43">
        <v>43705.470682870371</v>
      </c>
      <c r="AB43" t="s">
        <v>9</v>
      </c>
      <c r="AC43" t="s">
        <v>448</v>
      </c>
      <c r="AD43" t="s">
        <v>182</v>
      </c>
      <c r="AE43">
        <v>1136708</v>
      </c>
      <c r="AF43">
        <v>1136708</v>
      </c>
      <c r="AG43" t="s">
        <v>183</v>
      </c>
      <c r="AH43" t="s">
        <v>449</v>
      </c>
      <c r="AI43" t="s">
        <v>449</v>
      </c>
      <c r="AJ43" t="s">
        <v>184</v>
      </c>
      <c r="AK43" t="s">
        <v>185</v>
      </c>
      <c r="AL43" t="s">
        <v>450</v>
      </c>
      <c r="AM43" t="s">
        <v>451</v>
      </c>
      <c r="AO43" t="s">
        <v>452</v>
      </c>
      <c r="AP43" t="s">
        <v>453</v>
      </c>
      <c r="AQ43" t="s">
        <v>454</v>
      </c>
      <c r="AR43" t="s">
        <v>455</v>
      </c>
      <c r="AS43">
        <v>1706217835</v>
      </c>
      <c r="AT43" t="s">
        <v>456</v>
      </c>
      <c r="AU43" t="s">
        <v>10</v>
      </c>
      <c r="AV43" t="s">
        <v>457</v>
      </c>
      <c r="AW43" t="s">
        <v>457</v>
      </c>
      <c r="AX43" t="s">
        <v>458</v>
      </c>
      <c r="AY43" s="2" t="s">
        <v>459</v>
      </c>
      <c r="AZ43" t="s">
        <v>460</v>
      </c>
      <c r="BA43" t="s">
        <v>186</v>
      </c>
      <c r="BB43" t="s">
        <v>187</v>
      </c>
      <c r="BC43" t="s">
        <v>188</v>
      </c>
      <c r="BD43">
        <v>518106</v>
      </c>
      <c r="BE43" t="s">
        <v>476</v>
      </c>
      <c r="BF43" t="s">
        <v>461</v>
      </c>
      <c r="BG43" t="b">
        <v>0</v>
      </c>
      <c r="BH43" s="6" t="s">
        <v>462</v>
      </c>
      <c r="BI43" t="s">
        <v>463</v>
      </c>
      <c r="BJ43">
        <v>4453163191</v>
      </c>
      <c r="BK43" t="s">
        <v>162</v>
      </c>
      <c r="BL43" t="s">
        <v>161</v>
      </c>
      <c r="BM43" s="2"/>
      <c r="BO43" t="s">
        <v>89</v>
      </c>
      <c r="BP43">
        <v>8543709990</v>
      </c>
      <c r="BR43" t="s">
        <v>189</v>
      </c>
      <c r="BS43" t="s">
        <v>103</v>
      </c>
      <c r="BU43">
        <v>0</v>
      </c>
      <c r="BV43">
        <v>577.52</v>
      </c>
      <c r="BW43">
        <v>0</v>
      </c>
      <c r="BX43">
        <v>0</v>
      </c>
      <c r="BY43">
        <v>0</v>
      </c>
      <c r="BZ43">
        <v>0</v>
      </c>
      <c r="CA43">
        <v>577.52</v>
      </c>
      <c r="CF43" s="2"/>
      <c r="CH43" s="2"/>
      <c r="CJ43">
        <v>5.3142019950120102E+17</v>
      </c>
      <c r="CK43" t="s">
        <v>165</v>
      </c>
      <c r="CL43">
        <v>43703.372245370374</v>
      </c>
      <c r="CO43" t="s">
        <v>11</v>
      </c>
      <c r="CP43">
        <v>4424.63</v>
      </c>
      <c r="CQ43" t="s">
        <v>11</v>
      </c>
      <c r="CR43">
        <v>4424.63</v>
      </c>
      <c r="CV43" t="s">
        <v>190</v>
      </c>
      <c r="CW43" t="s">
        <v>12</v>
      </c>
      <c r="CX43" t="s">
        <v>12</v>
      </c>
      <c r="CY43" t="s">
        <v>12</v>
      </c>
      <c r="DA43" t="s">
        <v>104</v>
      </c>
      <c r="DD43" t="s">
        <v>93</v>
      </c>
      <c r="DQ43" t="s">
        <v>94</v>
      </c>
      <c r="DR43" t="s">
        <v>94</v>
      </c>
      <c r="DS43" t="s">
        <v>94</v>
      </c>
      <c r="DT43" t="s">
        <v>94</v>
      </c>
      <c r="DU43" t="s">
        <v>94</v>
      </c>
      <c r="DV43" t="s">
        <v>94</v>
      </c>
      <c r="DW43" t="s">
        <v>94</v>
      </c>
      <c r="DX43" s="2" t="s">
        <v>94</v>
      </c>
      <c r="DY43" t="s">
        <v>94</v>
      </c>
      <c r="DZ43" t="s">
        <v>94</v>
      </c>
      <c r="EA43" t="s">
        <v>94</v>
      </c>
      <c r="EB43" t="s">
        <v>94</v>
      </c>
      <c r="EC43" t="s">
        <v>94</v>
      </c>
      <c r="ED43" t="s">
        <v>94</v>
      </c>
      <c r="EE43" t="s">
        <v>89</v>
      </c>
      <c r="EF43" t="s">
        <v>425</v>
      </c>
      <c r="EG43" t="s">
        <v>105</v>
      </c>
      <c r="EJ43" t="s">
        <v>166</v>
      </c>
      <c r="EK43" t="b">
        <v>0</v>
      </c>
      <c r="EL43" t="b">
        <v>0</v>
      </c>
      <c r="EM43" t="b">
        <v>0</v>
      </c>
      <c r="EO43" t="s">
        <v>177</v>
      </c>
      <c r="EP43" t="s">
        <v>477</v>
      </c>
    </row>
    <row r="44" spans="3:146" ht="15">
      <c r="C44" s="82">
        <v>2</v>
      </c>
      <c r="D44" s="5"/>
      <c r="E44" s="4">
        <v>3</v>
      </c>
      <c r="F44" s="5">
        <v>16</v>
      </c>
      <c r="G44" s="5" t="s">
        <v>464</v>
      </c>
      <c r="H44" s="4" t="s">
        <v>465</v>
      </c>
      <c r="I44" s="81" t="s">
        <v>466</v>
      </c>
      <c r="J44" s="21"/>
      <c r="K44" s="22" t="s">
        <v>408</v>
      </c>
      <c r="L44" s="22">
        <v>1100271750250</v>
      </c>
      <c r="M44" s="23" t="s">
        <v>409</v>
      </c>
      <c r="N44" s="23">
        <v>43706</v>
      </c>
      <c r="O44" s="24" t="s">
        <v>102</v>
      </c>
      <c r="P44" s="24" t="s">
        <v>181</v>
      </c>
      <c r="Q44" s="24">
        <v>3</v>
      </c>
      <c r="R44" s="24">
        <v>16</v>
      </c>
      <c r="S44" t="s">
        <v>11</v>
      </c>
      <c r="T44">
        <v>800</v>
      </c>
      <c r="U44" s="2" t="s">
        <v>163</v>
      </c>
      <c r="V44">
        <v>43706.792847222219</v>
      </c>
      <c r="W44" s="2" t="s">
        <v>207</v>
      </c>
      <c r="X44">
        <v>43706.797314814816</v>
      </c>
      <c r="AB44" t="s">
        <v>9</v>
      </c>
      <c r="AC44" t="s">
        <v>410</v>
      </c>
      <c r="AD44" t="s">
        <v>191</v>
      </c>
      <c r="AE44">
        <v>21845142</v>
      </c>
      <c r="AF44">
        <v>21845142</v>
      </c>
      <c r="AG44" t="s">
        <v>183</v>
      </c>
      <c r="AH44" t="s">
        <v>411</v>
      </c>
      <c r="AI44" t="s">
        <v>412</v>
      </c>
      <c r="AJ44" t="s">
        <v>369</v>
      </c>
      <c r="AK44" t="s">
        <v>370</v>
      </c>
      <c r="AL44" t="s">
        <v>413</v>
      </c>
      <c r="AO44" t="s">
        <v>414</v>
      </c>
      <c r="AP44" t="s">
        <v>415</v>
      </c>
      <c r="AQ44" t="s">
        <v>416</v>
      </c>
      <c r="AR44" t="s">
        <v>467</v>
      </c>
      <c r="AS44">
        <v>755962922</v>
      </c>
      <c r="AT44" t="s">
        <v>417</v>
      </c>
      <c r="AU44" t="s">
        <v>10</v>
      </c>
      <c r="AV44" t="s">
        <v>418</v>
      </c>
      <c r="AW44" t="s">
        <v>418</v>
      </c>
      <c r="AX44" t="s">
        <v>419</v>
      </c>
      <c r="AY44" s="2" t="s">
        <v>420</v>
      </c>
      <c r="BA44" t="s">
        <v>371</v>
      </c>
      <c r="BB44" t="s">
        <v>192</v>
      </c>
      <c r="BC44" t="s">
        <v>188</v>
      </c>
      <c r="BD44">
        <v>523850</v>
      </c>
      <c r="BE44" t="s">
        <v>421</v>
      </c>
      <c r="BF44" t="s">
        <v>422</v>
      </c>
      <c r="BG44" t="b">
        <v>0</v>
      </c>
      <c r="BH44" s="6" t="s">
        <v>423</v>
      </c>
      <c r="BI44" t="s">
        <v>424</v>
      </c>
      <c r="BJ44">
        <v>4453163191</v>
      </c>
      <c r="BK44" t="s">
        <v>162</v>
      </c>
      <c r="BL44" t="s">
        <v>161</v>
      </c>
      <c r="BM44" s="2"/>
      <c r="BO44" t="s">
        <v>89</v>
      </c>
      <c r="BP44">
        <v>8504401990</v>
      </c>
      <c r="BR44" t="s">
        <v>189</v>
      </c>
      <c r="BS44" t="s">
        <v>103</v>
      </c>
      <c r="BU44">
        <v>0</v>
      </c>
      <c r="BV44">
        <v>104</v>
      </c>
      <c r="BW44">
        <v>0</v>
      </c>
      <c r="BX44">
        <v>0</v>
      </c>
      <c r="BY44">
        <v>0</v>
      </c>
      <c r="BZ44">
        <v>0</v>
      </c>
      <c r="CA44">
        <v>104</v>
      </c>
      <c r="CF44" s="2"/>
      <c r="CH44" s="2"/>
      <c r="CJ44">
        <v>5.3142019950122099E+17</v>
      </c>
      <c r="CK44" t="s">
        <v>165</v>
      </c>
      <c r="CL44">
        <v>43706.568807870368</v>
      </c>
      <c r="CO44" t="s">
        <v>11</v>
      </c>
      <c r="CP44">
        <v>800</v>
      </c>
      <c r="CQ44" t="s">
        <v>11</v>
      </c>
      <c r="CR44">
        <v>800</v>
      </c>
      <c r="CV44" t="s">
        <v>190</v>
      </c>
      <c r="CW44" t="s">
        <v>12</v>
      </c>
      <c r="CX44" t="s">
        <v>12</v>
      </c>
      <c r="CY44" t="s">
        <v>12</v>
      </c>
      <c r="DA44" t="s">
        <v>104</v>
      </c>
      <c r="DD44" t="s">
        <v>93</v>
      </c>
      <c r="DQ44" t="s">
        <v>94</v>
      </c>
      <c r="DR44" t="s">
        <v>94</v>
      </c>
      <c r="DS44" t="s">
        <v>94</v>
      </c>
      <c r="DT44" t="s">
        <v>94</v>
      </c>
      <c r="DU44" t="s">
        <v>94</v>
      </c>
      <c r="DV44" t="s">
        <v>94</v>
      </c>
      <c r="DW44" t="s">
        <v>94</v>
      </c>
      <c r="DX44" s="2" t="s">
        <v>94</v>
      </c>
      <c r="DY44" t="s">
        <v>94</v>
      </c>
      <c r="DZ44" t="s">
        <v>94</v>
      </c>
      <c r="EA44" t="s">
        <v>94</v>
      </c>
      <c r="EB44" t="s">
        <v>94</v>
      </c>
      <c r="EC44" t="s">
        <v>94</v>
      </c>
      <c r="ED44" t="s">
        <v>94</v>
      </c>
      <c r="EE44" t="s">
        <v>89</v>
      </c>
      <c r="EF44" t="s">
        <v>425</v>
      </c>
      <c r="EG44" t="s">
        <v>105</v>
      </c>
      <c r="EJ44" t="s">
        <v>166</v>
      </c>
      <c r="EK44" t="b">
        <v>0</v>
      </c>
      <c r="EL44" t="b">
        <v>0</v>
      </c>
      <c r="EM44" t="b">
        <v>0</v>
      </c>
      <c r="EO44" t="s">
        <v>177</v>
      </c>
      <c r="EP44" t="s">
        <v>478</v>
      </c>
    </row>
    <row r="45" spans="3:146" ht="15">
      <c r="C45" s="82">
        <v>2424</v>
      </c>
      <c r="D45" s="5"/>
      <c r="E45" s="4">
        <v>2</v>
      </c>
      <c r="F45" s="5">
        <v>24.4</v>
      </c>
      <c r="G45" s="5" t="s">
        <v>501</v>
      </c>
      <c r="H45" s="4" t="s">
        <v>502</v>
      </c>
      <c r="I45" s="81" t="s">
        <v>164</v>
      </c>
      <c r="J45" s="21"/>
      <c r="K45" s="22" t="s">
        <v>479</v>
      </c>
      <c r="L45" s="22">
        <v>1100271750672</v>
      </c>
      <c r="M45" s="23" t="s">
        <v>447</v>
      </c>
      <c r="N45" s="23">
        <v>43689</v>
      </c>
      <c r="O45" s="24" t="s">
        <v>102</v>
      </c>
      <c r="P45" s="24" t="s">
        <v>480</v>
      </c>
      <c r="Q45" s="24">
        <v>2</v>
      </c>
      <c r="R45" s="24">
        <v>24.4</v>
      </c>
      <c r="S45" t="s">
        <v>319</v>
      </c>
      <c r="T45">
        <v>1126.3599999999999</v>
      </c>
      <c r="U45" s="2"/>
      <c r="W45" s="2"/>
      <c r="AB45" t="s">
        <v>9</v>
      </c>
      <c r="AC45" t="s">
        <v>481</v>
      </c>
      <c r="AD45" t="s">
        <v>482</v>
      </c>
      <c r="AE45">
        <v>149964</v>
      </c>
      <c r="AF45">
        <v>149964</v>
      </c>
      <c r="AG45" t="s">
        <v>183</v>
      </c>
      <c r="AH45" t="s">
        <v>483</v>
      </c>
      <c r="AI45" t="s">
        <v>483</v>
      </c>
      <c r="AJ45" t="s">
        <v>484</v>
      </c>
      <c r="AK45" t="s">
        <v>485</v>
      </c>
      <c r="AL45" t="s">
        <v>486</v>
      </c>
      <c r="AO45" t="s">
        <v>487</v>
      </c>
      <c r="AP45" t="s">
        <v>488</v>
      </c>
      <c r="AQ45" t="s">
        <v>489</v>
      </c>
      <c r="AR45" t="s">
        <v>490</v>
      </c>
      <c r="AS45">
        <v>356568505</v>
      </c>
      <c r="AT45" t="s">
        <v>491</v>
      </c>
      <c r="AU45" t="s">
        <v>10</v>
      </c>
      <c r="AV45" t="s">
        <v>492</v>
      </c>
      <c r="AW45" t="s">
        <v>492</v>
      </c>
      <c r="AX45" t="s">
        <v>493</v>
      </c>
      <c r="AY45" s="2"/>
      <c r="BA45" t="s">
        <v>494</v>
      </c>
      <c r="BB45" t="s">
        <v>495</v>
      </c>
      <c r="BC45" t="s">
        <v>496</v>
      </c>
      <c r="BD45">
        <v>410214</v>
      </c>
      <c r="BE45" t="s">
        <v>497</v>
      </c>
      <c r="BG45" t="b">
        <v>0</v>
      </c>
      <c r="BH45" s="6" t="s">
        <v>498</v>
      </c>
      <c r="BI45" t="s">
        <v>499</v>
      </c>
      <c r="BJ45">
        <v>4453163191</v>
      </c>
      <c r="BK45" t="s">
        <v>162</v>
      </c>
      <c r="BL45" t="s">
        <v>161</v>
      </c>
      <c r="BM45" s="2"/>
      <c r="BR45" t="s">
        <v>189</v>
      </c>
      <c r="BS45" t="s">
        <v>103</v>
      </c>
      <c r="BU45">
        <v>0</v>
      </c>
      <c r="BV45">
        <v>0</v>
      </c>
      <c r="BW45">
        <v>0</v>
      </c>
      <c r="BX45">
        <v>0</v>
      </c>
      <c r="BY45">
        <v>0</v>
      </c>
      <c r="BZ45">
        <v>0</v>
      </c>
      <c r="CA45">
        <v>0</v>
      </c>
      <c r="CF45" s="2"/>
      <c r="CH45" s="2"/>
      <c r="CK45" t="s">
        <v>500</v>
      </c>
      <c r="CL45">
        <v>43689.37872685185</v>
      </c>
      <c r="CO45" t="s">
        <v>11</v>
      </c>
      <c r="CP45">
        <v>7919.66</v>
      </c>
      <c r="CQ45" t="s">
        <v>11</v>
      </c>
      <c r="CR45">
        <v>7919.66</v>
      </c>
      <c r="CV45" t="s">
        <v>190</v>
      </c>
      <c r="CW45" t="s">
        <v>12</v>
      </c>
      <c r="CX45" t="s">
        <v>12</v>
      </c>
      <c r="CY45" t="s">
        <v>12</v>
      </c>
      <c r="DA45" t="s">
        <v>104</v>
      </c>
      <c r="DD45" t="s">
        <v>93</v>
      </c>
      <c r="DQ45" t="s">
        <v>94</v>
      </c>
      <c r="DR45" t="s">
        <v>94</v>
      </c>
      <c r="DS45" t="s">
        <v>94</v>
      </c>
      <c r="DT45" t="s">
        <v>94</v>
      </c>
      <c r="DU45" t="s">
        <v>94</v>
      </c>
      <c r="DV45" t="s">
        <v>94</v>
      </c>
      <c r="DW45" t="s">
        <v>94</v>
      </c>
      <c r="DX45" s="2" t="s">
        <v>94</v>
      </c>
      <c r="DY45" t="s">
        <v>94</v>
      </c>
      <c r="DZ45" t="s">
        <v>94</v>
      </c>
      <c r="EA45" t="s">
        <v>94</v>
      </c>
      <c r="EB45" t="s">
        <v>94</v>
      </c>
      <c r="EC45" t="s">
        <v>94</v>
      </c>
      <c r="ED45" t="s">
        <v>94</v>
      </c>
      <c r="EE45" t="s">
        <v>89</v>
      </c>
      <c r="EF45" t="s">
        <v>94</v>
      </c>
      <c r="EG45" t="s">
        <v>105</v>
      </c>
      <c r="EJ45" t="s">
        <v>166</v>
      </c>
      <c r="EK45" t="b">
        <v>0</v>
      </c>
      <c r="EL45" t="b">
        <v>0</v>
      </c>
      <c r="EM45" t="b">
        <v>0</v>
      </c>
      <c r="EO45" t="s">
        <v>177</v>
      </c>
      <c r="EP45" t="s">
        <v>503</v>
      </c>
    </row>
    <row r="46" spans="3:146" ht="15">
      <c r="C46" s="82">
        <v>2424</v>
      </c>
      <c r="D46" s="5">
        <v>64</v>
      </c>
      <c r="E46" s="4">
        <v>2</v>
      </c>
      <c r="F46" s="5">
        <v>64</v>
      </c>
      <c r="G46" s="5" t="s">
        <v>501</v>
      </c>
      <c r="H46" s="4" t="s">
        <v>502</v>
      </c>
      <c r="I46" s="81" t="s">
        <v>164</v>
      </c>
      <c r="J46" s="21"/>
      <c r="K46" s="22" t="s">
        <v>479</v>
      </c>
      <c r="L46" s="22">
        <v>1100271750672</v>
      </c>
      <c r="M46" s="23" t="s">
        <v>447</v>
      </c>
      <c r="N46" s="23">
        <v>43689</v>
      </c>
      <c r="O46" s="24" t="s">
        <v>102</v>
      </c>
      <c r="P46" s="24" t="s">
        <v>480</v>
      </c>
      <c r="Q46" s="24">
        <v>2</v>
      </c>
      <c r="R46" s="24">
        <v>24.4</v>
      </c>
      <c r="S46" t="s">
        <v>319</v>
      </c>
      <c r="T46">
        <v>1126.3599999999999</v>
      </c>
      <c r="U46" s="2"/>
      <c r="W46" s="2"/>
      <c r="AB46" t="s">
        <v>9</v>
      </c>
      <c r="AC46" t="s">
        <v>481</v>
      </c>
      <c r="AD46" t="s">
        <v>482</v>
      </c>
      <c r="AE46">
        <v>149964</v>
      </c>
      <c r="AF46">
        <v>149964</v>
      </c>
      <c r="AG46" t="s">
        <v>183</v>
      </c>
      <c r="AH46" t="s">
        <v>483</v>
      </c>
      <c r="AI46" t="s">
        <v>483</v>
      </c>
      <c r="AJ46" t="s">
        <v>484</v>
      </c>
      <c r="AK46" t="s">
        <v>485</v>
      </c>
      <c r="AL46" t="s">
        <v>486</v>
      </c>
      <c r="AO46" t="s">
        <v>487</v>
      </c>
      <c r="AP46" t="s">
        <v>488</v>
      </c>
      <c r="AQ46" t="s">
        <v>489</v>
      </c>
      <c r="AR46" t="s">
        <v>490</v>
      </c>
      <c r="AS46">
        <v>356568505</v>
      </c>
      <c r="AT46" t="s">
        <v>491</v>
      </c>
      <c r="AU46" t="s">
        <v>10</v>
      </c>
      <c r="AV46" t="s">
        <v>492</v>
      </c>
      <c r="AW46" t="s">
        <v>492</v>
      </c>
      <c r="AX46" t="s">
        <v>493</v>
      </c>
      <c r="AY46" s="2"/>
      <c r="BA46" t="s">
        <v>494</v>
      </c>
      <c r="BB46" t="s">
        <v>495</v>
      </c>
      <c r="BC46" t="s">
        <v>496</v>
      </c>
      <c r="BD46">
        <v>410214</v>
      </c>
      <c r="BE46" t="s">
        <v>497</v>
      </c>
      <c r="BG46" t="b">
        <v>0</v>
      </c>
      <c r="BH46" s="6" t="s">
        <v>498</v>
      </c>
      <c r="BI46" t="s">
        <v>499</v>
      </c>
      <c r="BJ46">
        <v>4453163191</v>
      </c>
      <c r="BK46" t="s">
        <v>162</v>
      </c>
      <c r="BL46" t="s">
        <v>161</v>
      </c>
      <c r="BM46" s="2"/>
      <c r="BR46" t="s">
        <v>189</v>
      </c>
      <c r="BS46" t="s">
        <v>103</v>
      </c>
      <c r="BU46">
        <v>0</v>
      </c>
      <c r="BV46">
        <v>0</v>
      </c>
      <c r="BW46">
        <v>0</v>
      </c>
      <c r="BX46">
        <v>0</v>
      </c>
      <c r="BY46">
        <v>0</v>
      </c>
      <c r="BZ46">
        <v>0</v>
      </c>
      <c r="CA46">
        <v>0</v>
      </c>
      <c r="CF46" s="2"/>
      <c r="CH46" s="2"/>
      <c r="CK46" t="s">
        <v>500</v>
      </c>
      <c r="CL46">
        <v>43689.37872685185</v>
      </c>
      <c r="CO46" t="s">
        <v>11</v>
      </c>
      <c r="CP46">
        <v>7919.66</v>
      </c>
      <c r="CQ46" t="s">
        <v>11</v>
      </c>
      <c r="CR46">
        <v>7919.66</v>
      </c>
      <c r="CV46" t="s">
        <v>190</v>
      </c>
      <c r="CW46" t="s">
        <v>12</v>
      </c>
      <c r="CX46" t="s">
        <v>12</v>
      </c>
      <c r="CY46" t="s">
        <v>12</v>
      </c>
      <c r="DA46" t="s">
        <v>104</v>
      </c>
      <c r="DD46" t="s">
        <v>93</v>
      </c>
      <c r="DQ46" t="s">
        <v>94</v>
      </c>
      <c r="DR46" t="s">
        <v>94</v>
      </c>
      <c r="DS46" t="s">
        <v>94</v>
      </c>
      <c r="DT46" t="s">
        <v>94</v>
      </c>
      <c r="DU46" t="s">
        <v>94</v>
      </c>
      <c r="DV46" t="s">
        <v>94</v>
      </c>
      <c r="DW46" t="s">
        <v>94</v>
      </c>
      <c r="DX46" s="2" t="s">
        <v>94</v>
      </c>
      <c r="DY46" t="s">
        <v>94</v>
      </c>
      <c r="DZ46" t="s">
        <v>94</v>
      </c>
      <c r="EA46" t="s">
        <v>94</v>
      </c>
      <c r="EB46" t="s">
        <v>94</v>
      </c>
      <c r="EC46" t="s">
        <v>94</v>
      </c>
      <c r="ED46" t="s">
        <v>94</v>
      </c>
      <c r="EE46" t="s">
        <v>89</v>
      </c>
      <c r="EF46" t="s">
        <v>94</v>
      </c>
      <c r="EG46" t="s">
        <v>105</v>
      </c>
      <c r="EJ46" t="s">
        <v>166</v>
      </c>
      <c r="EK46" t="b">
        <v>0</v>
      </c>
      <c r="EL46" t="b">
        <v>0</v>
      </c>
      <c r="EM46" t="b">
        <v>0</v>
      </c>
      <c r="EO46" t="s">
        <v>178</v>
      </c>
      <c r="EP46" t="s">
        <v>504</v>
      </c>
    </row>
    <row r="47" spans="3:146" ht="15">
      <c r="C47" s="82">
        <v>23</v>
      </c>
      <c r="D47" s="5"/>
      <c r="E47" s="4">
        <v>1</v>
      </c>
      <c r="F47" s="5">
        <v>7.8</v>
      </c>
      <c r="G47" s="5" t="s">
        <v>564</v>
      </c>
      <c r="H47" s="4" t="s">
        <v>565</v>
      </c>
      <c r="I47" s="81" t="s">
        <v>164</v>
      </c>
      <c r="J47" s="21"/>
      <c r="K47" s="22" t="s">
        <v>505</v>
      </c>
      <c r="L47" s="22">
        <v>1100271750263</v>
      </c>
      <c r="M47" s="23" t="s">
        <v>164</v>
      </c>
      <c r="N47" s="23">
        <v>43712</v>
      </c>
      <c r="O47" s="24" t="s">
        <v>102</v>
      </c>
      <c r="P47" s="24" t="s">
        <v>181</v>
      </c>
      <c r="Q47" s="24">
        <v>1</v>
      </c>
      <c r="R47" s="24">
        <v>7.8</v>
      </c>
      <c r="S47" t="s">
        <v>11</v>
      </c>
      <c r="T47">
        <v>1700</v>
      </c>
      <c r="U47" s="2" t="s">
        <v>163</v>
      </c>
      <c r="V47">
        <v>43712.445856481485</v>
      </c>
      <c r="W47" s="2" t="s">
        <v>444</v>
      </c>
      <c r="X47">
        <v>43712.455000000002</v>
      </c>
      <c r="AB47" t="s">
        <v>9</v>
      </c>
      <c r="AC47" t="s">
        <v>506</v>
      </c>
      <c r="AD47" t="s">
        <v>209</v>
      </c>
      <c r="AE47">
        <v>1062753</v>
      </c>
      <c r="AF47">
        <v>1062753</v>
      </c>
      <c r="AG47" t="s">
        <v>566</v>
      </c>
      <c r="AH47" t="s">
        <v>507</v>
      </c>
      <c r="AI47" t="s">
        <v>507</v>
      </c>
      <c r="AJ47" t="s">
        <v>508</v>
      </c>
      <c r="AK47" t="s">
        <v>509</v>
      </c>
      <c r="AL47" t="s">
        <v>510</v>
      </c>
      <c r="AM47" t="s">
        <v>511</v>
      </c>
      <c r="AO47" t="s">
        <v>512</v>
      </c>
      <c r="AP47" t="s">
        <v>513</v>
      </c>
      <c r="AR47" t="s">
        <v>567</v>
      </c>
      <c r="AS47">
        <v>33555678777</v>
      </c>
      <c r="AT47" t="s">
        <v>514</v>
      </c>
      <c r="AU47" t="s">
        <v>10</v>
      </c>
      <c r="AV47" t="s">
        <v>515</v>
      </c>
      <c r="AW47" t="s">
        <v>516</v>
      </c>
      <c r="AX47" t="s">
        <v>517</v>
      </c>
      <c r="AY47" s="2" t="s">
        <v>518</v>
      </c>
      <c r="AZ47" t="s">
        <v>519</v>
      </c>
      <c r="BA47" t="s">
        <v>520</v>
      </c>
      <c r="BB47" t="s">
        <v>223</v>
      </c>
      <c r="BC47" t="s">
        <v>188</v>
      </c>
      <c r="BD47">
        <v>510080</v>
      </c>
      <c r="BE47" t="s">
        <v>521</v>
      </c>
      <c r="BF47" t="s">
        <v>522</v>
      </c>
      <c r="BG47" t="b">
        <v>0</v>
      </c>
      <c r="BH47" s="6" t="s">
        <v>523</v>
      </c>
      <c r="BI47" t="s">
        <v>524</v>
      </c>
      <c r="BJ47">
        <v>4453163191</v>
      </c>
      <c r="BK47" t="s">
        <v>162</v>
      </c>
      <c r="BL47" t="s">
        <v>161</v>
      </c>
      <c r="BM47" s="2"/>
      <c r="BN47" t="s">
        <v>568</v>
      </c>
      <c r="BO47" t="s">
        <v>89</v>
      </c>
      <c r="BP47">
        <v>3824999990</v>
      </c>
      <c r="BR47" t="s">
        <v>189</v>
      </c>
      <c r="BS47" t="s">
        <v>103</v>
      </c>
      <c r="BU47">
        <v>110.5</v>
      </c>
      <c r="BV47">
        <v>235.34</v>
      </c>
      <c r="BW47">
        <v>0</v>
      </c>
      <c r="BX47">
        <v>0</v>
      </c>
      <c r="BY47">
        <v>0</v>
      </c>
      <c r="BZ47">
        <v>0</v>
      </c>
      <c r="CA47">
        <v>345.84</v>
      </c>
      <c r="CF47" s="2"/>
      <c r="CH47" s="2"/>
      <c r="CJ47" t="s">
        <v>375</v>
      </c>
      <c r="CK47" t="s">
        <v>165</v>
      </c>
      <c r="CL47">
        <v>43707.376319444447</v>
      </c>
      <c r="CO47" t="s">
        <v>11</v>
      </c>
      <c r="CP47">
        <v>1700</v>
      </c>
      <c r="CQ47" t="s">
        <v>11</v>
      </c>
      <c r="CR47">
        <v>1700</v>
      </c>
      <c r="CV47" t="s">
        <v>525</v>
      </c>
      <c r="CW47" t="s">
        <v>12</v>
      </c>
      <c r="CX47" t="s">
        <v>12</v>
      </c>
      <c r="CY47" t="s">
        <v>12</v>
      </c>
      <c r="DA47" t="s">
        <v>104</v>
      </c>
      <c r="DD47" t="s">
        <v>93</v>
      </c>
      <c r="DQ47" t="s">
        <v>94</v>
      </c>
      <c r="DR47" t="s">
        <v>94</v>
      </c>
      <c r="DS47" t="s">
        <v>94</v>
      </c>
      <c r="DT47" t="s">
        <v>94</v>
      </c>
      <c r="DU47" t="s">
        <v>94</v>
      </c>
      <c r="DV47" t="s">
        <v>94</v>
      </c>
      <c r="DW47" t="s">
        <v>94</v>
      </c>
      <c r="DX47" s="2" t="s">
        <v>94</v>
      </c>
      <c r="DY47" t="s">
        <v>94</v>
      </c>
      <c r="DZ47" t="s">
        <v>94</v>
      </c>
      <c r="EA47" t="s">
        <v>94</v>
      </c>
      <c r="EB47" t="s">
        <v>94</v>
      </c>
      <c r="EC47" t="s">
        <v>94</v>
      </c>
      <c r="ED47" t="s">
        <v>94</v>
      </c>
      <c r="EE47" t="s">
        <v>89</v>
      </c>
      <c r="EF47" t="s">
        <v>425</v>
      </c>
      <c r="EG47" t="s">
        <v>105</v>
      </c>
      <c r="EJ47" t="s">
        <v>526</v>
      </c>
      <c r="EK47" t="b">
        <v>0</v>
      </c>
      <c r="EL47" t="b">
        <v>0</v>
      </c>
      <c r="EM47" t="b">
        <v>0</v>
      </c>
      <c r="EO47" t="s">
        <v>177</v>
      </c>
      <c r="EP47" t="s">
        <v>569</v>
      </c>
    </row>
    <row r="48" spans="3:146" ht="15">
      <c r="C48" s="82">
        <v>1313</v>
      </c>
      <c r="D48" s="5"/>
      <c r="E48" s="4">
        <v>1</v>
      </c>
      <c r="F48" s="5">
        <v>0.13</v>
      </c>
      <c r="G48" s="5" t="s">
        <v>570</v>
      </c>
      <c r="H48" s="4" t="s">
        <v>571</v>
      </c>
      <c r="I48" s="81" t="s">
        <v>164</v>
      </c>
      <c r="J48" s="21"/>
      <c r="K48" s="22" t="s">
        <v>527</v>
      </c>
      <c r="L48" s="22">
        <v>1100271750614</v>
      </c>
      <c r="M48" s="23" t="s">
        <v>164</v>
      </c>
      <c r="N48" s="23">
        <v>43683</v>
      </c>
      <c r="O48" s="24" t="s">
        <v>102</v>
      </c>
      <c r="P48" s="24" t="s">
        <v>181</v>
      </c>
      <c r="Q48" s="24">
        <v>1</v>
      </c>
      <c r="R48" s="24">
        <v>0.13</v>
      </c>
      <c r="S48" t="s">
        <v>11</v>
      </c>
      <c r="T48">
        <v>270</v>
      </c>
      <c r="U48" s="2" t="s">
        <v>163</v>
      </c>
      <c r="V48">
        <v>43689.418773148151</v>
      </c>
      <c r="W48" s="2" t="s">
        <v>444</v>
      </c>
      <c r="X48">
        <v>43712.609432870369</v>
      </c>
      <c r="AB48" t="s">
        <v>9</v>
      </c>
      <c r="AC48" t="s">
        <v>529</v>
      </c>
      <c r="AD48" t="s">
        <v>209</v>
      </c>
      <c r="AE48">
        <v>8973936</v>
      </c>
      <c r="AF48">
        <v>8973936</v>
      </c>
      <c r="AG48" t="s">
        <v>572</v>
      </c>
      <c r="AH48" t="s">
        <v>530</v>
      </c>
      <c r="AI48" t="s">
        <v>530</v>
      </c>
      <c r="AJ48" t="s">
        <v>508</v>
      </c>
      <c r="AK48" t="s">
        <v>509</v>
      </c>
      <c r="AL48" t="s">
        <v>531</v>
      </c>
      <c r="AO48" t="s">
        <v>532</v>
      </c>
      <c r="AP48" t="s">
        <v>533</v>
      </c>
      <c r="AR48" t="s">
        <v>573</v>
      </c>
      <c r="AS48">
        <v>130820164</v>
      </c>
      <c r="AT48" t="s">
        <v>534</v>
      </c>
      <c r="AU48" t="s">
        <v>10</v>
      </c>
      <c r="AV48" t="s">
        <v>535</v>
      </c>
      <c r="AW48" t="s">
        <v>544</v>
      </c>
      <c r="AX48" t="s">
        <v>536</v>
      </c>
      <c r="AY48" s="2" t="s">
        <v>537</v>
      </c>
      <c r="BA48" t="s">
        <v>538</v>
      </c>
      <c r="BB48" t="s">
        <v>223</v>
      </c>
      <c r="BC48" t="s">
        <v>188</v>
      </c>
      <c r="BD48">
        <v>510410</v>
      </c>
      <c r="BE48" t="s">
        <v>539</v>
      </c>
      <c r="BF48" t="s">
        <v>540</v>
      </c>
      <c r="BG48" t="b">
        <v>0</v>
      </c>
      <c r="BH48" s="6" t="s">
        <v>541</v>
      </c>
      <c r="BI48" t="s">
        <v>545</v>
      </c>
      <c r="BJ48">
        <v>4453163191</v>
      </c>
      <c r="BK48" t="s">
        <v>162</v>
      </c>
      <c r="BL48" t="s">
        <v>161</v>
      </c>
      <c r="BM48" s="2"/>
      <c r="BN48" t="s">
        <v>542</v>
      </c>
      <c r="BO48" t="s">
        <v>89</v>
      </c>
      <c r="BP48">
        <v>33079000</v>
      </c>
      <c r="BR48" t="s">
        <v>189</v>
      </c>
      <c r="BS48" t="s">
        <v>103</v>
      </c>
      <c r="BU48">
        <v>0</v>
      </c>
      <c r="BV48">
        <v>0</v>
      </c>
      <c r="BW48">
        <v>0</v>
      </c>
      <c r="BX48">
        <v>0</v>
      </c>
      <c r="BY48">
        <v>0</v>
      </c>
      <c r="BZ48">
        <v>0</v>
      </c>
      <c r="CA48">
        <v>0</v>
      </c>
      <c r="CF48" s="2"/>
      <c r="CH48" s="2"/>
      <c r="CJ48" t="s">
        <v>375</v>
      </c>
      <c r="CK48" t="s">
        <v>165</v>
      </c>
      <c r="CL48">
        <v>43683.559606481482</v>
      </c>
      <c r="CO48" t="s">
        <v>11</v>
      </c>
      <c r="CP48">
        <v>270</v>
      </c>
      <c r="CQ48" t="s">
        <v>11</v>
      </c>
      <c r="CR48">
        <v>270</v>
      </c>
      <c r="CV48" t="s">
        <v>525</v>
      </c>
      <c r="CW48" t="s">
        <v>12</v>
      </c>
      <c r="CX48" t="s">
        <v>12</v>
      </c>
      <c r="CY48" t="s">
        <v>12</v>
      </c>
      <c r="DA48" t="s">
        <v>104</v>
      </c>
      <c r="DD48" t="s">
        <v>93</v>
      </c>
      <c r="DQ48" t="s">
        <v>94</v>
      </c>
      <c r="DR48" t="s">
        <v>94</v>
      </c>
      <c r="DS48" t="s">
        <v>94</v>
      </c>
      <c r="DT48" t="s">
        <v>94</v>
      </c>
      <c r="DU48" t="s">
        <v>94</v>
      </c>
      <c r="DV48" t="s">
        <v>94</v>
      </c>
      <c r="DW48" t="s">
        <v>94</v>
      </c>
      <c r="DX48" s="2" t="s">
        <v>94</v>
      </c>
      <c r="DY48" t="s">
        <v>94</v>
      </c>
      <c r="DZ48" t="s">
        <v>94</v>
      </c>
      <c r="EA48" t="s">
        <v>94</v>
      </c>
      <c r="EB48" t="s">
        <v>94</v>
      </c>
      <c r="EC48" t="s">
        <v>94</v>
      </c>
      <c r="ED48" t="s">
        <v>94</v>
      </c>
      <c r="EE48" t="s">
        <v>89</v>
      </c>
      <c r="EF48" t="s">
        <v>425</v>
      </c>
      <c r="EG48" t="s">
        <v>543</v>
      </c>
      <c r="EJ48" t="s">
        <v>526</v>
      </c>
      <c r="EK48" t="b">
        <v>0</v>
      </c>
      <c r="EL48" t="b">
        <v>0</v>
      </c>
      <c r="EM48" t="b">
        <v>0</v>
      </c>
      <c r="EO48" t="s">
        <v>177</v>
      </c>
      <c r="EP48" t="s">
        <v>574</v>
      </c>
    </row>
    <row r="49" spans="3:146" ht="15">
      <c r="C49" s="82">
        <v>1213132</v>
      </c>
      <c r="D49" s="5"/>
      <c r="E49" s="4">
        <v>1</v>
      </c>
      <c r="F49" s="5">
        <v>0.35</v>
      </c>
      <c r="G49" s="5" t="s">
        <v>575</v>
      </c>
      <c r="H49" s="4" t="s">
        <v>576</v>
      </c>
      <c r="I49" s="81" t="s">
        <v>164</v>
      </c>
      <c r="J49" s="21"/>
      <c r="K49" s="22" t="s">
        <v>577</v>
      </c>
      <c r="L49" s="22">
        <v>1100271750792</v>
      </c>
      <c r="M49" s="23" t="s">
        <v>164</v>
      </c>
      <c r="N49" s="23">
        <v>43701</v>
      </c>
      <c r="O49" s="24" t="s">
        <v>102</v>
      </c>
      <c r="P49" s="24" t="s">
        <v>179</v>
      </c>
      <c r="Q49" s="24">
        <v>1</v>
      </c>
      <c r="R49" s="24">
        <v>0.35</v>
      </c>
      <c r="S49" t="s">
        <v>319</v>
      </c>
      <c r="T49">
        <v>25</v>
      </c>
      <c r="U49" s="2" t="s">
        <v>163</v>
      </c>
      <c r="V49">
        <v>43701.796354166669</v>
      </c>
      <c r="W49" s="2" t="s">
        <v>444</v>
      </c>
      <c r="X49">
        <v>43703.470578703702</v>
      </c>
      <c r="AB49" t="s">
        <v>9</v>
      </c>
      <c r="AC49" t="s">
        <v>546</v>
      </c>
      <c r="AD49" t="s">
        <v>200</v>
      </c>
      <c r="AE49">
        <v>314936</v>
      </c>
      <c r="AF49">
        <v>314936</v>
      </c>
      <c r="AG49" t="s">
        <v>183</v>
      </c>
      <c r="AH49" t="s">
        <v>547</v>
      </c>
      <c r="AI49" t="s">
        <v>547</v>
      </c>
      <c r="AJ49" t="s">
        <v>184</v>
      </c>
      <c r="AK49" t="s">
        <v>185</v>
      </c>
      <c r="AL49" t="s">
        <v>548</v>
      </c>
      <c r="AM49" t="s">
        <v>549</v>
      </c>
      <c r="AO49" t="s">
        <v>550</v>
      </c>
      <c r="AP49" t="s">
        <v>551</v>
      </c>
      <c r="AQ49" t="s">
        <v>552</v>
      </c>
      <c r="AR49" t="s">
        <v>553</v>
      </c>
      <c r="AS49">
        <v>1768483784</v>
      </c>
      <c r="AT49" t="s">
        <v>554</v>
      </c>
      <c r="AU49" t="s">
        <v>10</v>
      </c>
      <c r="AV49" t="s">
        <v>555</v>
      </c>
      <c r="AW49" t="s">
        <v>555</v>
      </c>
      <c r="AX49" t="s">
        <v>556</v>
      </c>
      <c r="AY49" s="2" t="s">
        <v>557</v>
      </c>
      <c r="AZ49" t="s">
        <v>558</v>
      </c>
      <c r="BA49" t="s">
        <v>559</v>
      </c>
      <c r="BB49" t="s">
        <v>560</v>
      </c>
      <c r="BC49" t="s">
        <v>188</v>
      </c>
      <c r="BD49">
        <v>528203</v>
      </c>
      <c r="BE49" t="s">
        <v>578</v>
      </c>
      <c r="BF49" t="s">
        <v>561</v>
      </c>
      <c r="BG49" t="b">
        <v>0</v>
      </c>
      <c r="BH49" s="6" t="s">
        <v>562</v>
      </c>
      <c r="BI49" t="s">
        <v>563</v>
      </c>
      <c r="BJ49">
        <v>4453163191</v>
      </c>
      <c r="BK49" t="s">
        <v>162</v>
      </c>
      <c r="BL49" t="s">
        <v>161</v>
      </c>
      <c r="BM49" s="2"/>
      <c r="BO49" t="s">
        <v>89</v>
      </c>
      <c r="BP49">
        <v>73199000</v>
      </c>
      <c r="BR49" t="s">
        <v>180</v>
      </c>
      <c r="BS49" t="s">
        <v>103</v>
      </c>
      <c r="BU49">
        <v>0</v>
      </c>
      <c r="BV49">
        <v>0</v>
      </c>
      <c r="BW49">
        <v>0</v>
      </c>
      <c r="BX49">
        <v>0</v>
      </c>
      <c r="BY49">
        <v>0</v>
      </c>
      <c r="BZ49">
        <v>0</v>
      </c>
      <c r="CA49">
        <v>0</v>
      </c>
      <c r="CF49" s="2"/>
      <c r="CH49" s="2"/>
      <c r="CJ49" t="s">
        <v>375</v>
      </c>
      <c r="CK49" t="s">
        <v>165</v>
      </c>
      <c r="CL49">
        <v>43701.369409722225</v>
      </c>
      <c r="CO49" t="s">
        <v>11</v>
      </c>
      <c r="CP49">
        <v>175.78</v>
      </c>
      <c r="CQ49" t="s">
        <v>11</v>
      </c>
      <c r="CR49">
        <v>175.78</v>
      </c>
      <c r="CV49" t="s">
        <v>190</v>
      </c>
      <c r="CW49" t="s">
        <v>12</v>
      </c>
      <c r="CX49" t="s">
        <v>12</v>
      </c>
      <c r="CY49" t="s">
        <v>12</v>
      </c>
      <c r="DA49" t="s">
        <v>104</v>
      </c>
      <c r="DD49" t="s">
        <v>93</v>
      </c>
      <c r="DQ49" t="s">
        <v>94</v>
      </c>
      <c r="DR49" t="s">
        <v>94</v>
      </c>
      <c r="DS49" t="s">
        <v>94</v>
      </c>
      <c r="DT49" t="s">
        <v>94</v>
      </c>
      <c r="DU49" t="s">
        <v>94</v>
      </c>
      <c r="DV49" t="s">
        <v>94</v>
      </c>
      <c r="DW49" t="s">
        <v>94</v>
      </c>
      <c r="DX49" s="2" t="s">
        <v>94</v>
      </c>
      <c r="DY49" t="s">
        <v>94</v>
      </c>
      <c r="DZ49" t="s">
        <v>94</v>
      </c>
      <c r="EA49" t="s">
        <v>94</v>
      </c>
      <c r="EB49" t="s">
        <v>94</v>
      </c>
      <c r="EC49" t="s">
        <v>94</v>
      </c>
      <c r="ED49" t="s">
        <v>94</v>
      </c>
      <c r="EE49" t="s">
        <v>89</v>
      </c>
      <c r="EF49" t="s">
        <v>425</v>
      </c>
      <c r="EG49" t="s">
        <v>105</v>
      </c>
      <c r="EJ49" t="s">
        <v>166</v>
      </c>
      <c r="EK49" t="b">
        <v>0</v>
      </c>
      <c r="EL49" t="b">
        <v>0</v>
      </c>
      <c r="EM49" t="b">
        <v>0</v>
      </c>
      <c r="EO49" t="s">
        <v>177</v>
      </c>
      <c r="EP49" t="s">
        <v>579</v>
      </c>
    </row>
    <row r="50" spans="3:146" ht="15">
      <c r="C50" s="82">
        <v>131</v>
      </c>
      <c r="D50" s="5"/>
      <c r="E50" s="4">
        <v>1</v>
      </c>
      <c r="F50" s="5">
        <v>6</v>
      </c>
      <c r="G50" s="5" t="s">
        <v>564</v>
      </c>
      <c r="H50" s="4" t="s">
        <v>662</v>
      </c>
      <c r="I50" s="81" t="s">
        <v>466</v>
      </c>
      <c r="J50" s="21"/>
      <c r="K50" s="22" t="s">
        <v>629</v>
      </c>
      <c r="L50" s="22">
        <v>1100271750312</v>
      </c>
      <c r="M50" s="23" t="s">
        <v>466</v>
      </c>
      <c r="N50" s="23">
        <v>43712</v>
      </c>
      <c r="O50" s="24" t="s">
        <v>102</v>
      </c>
      <c r="P50" s="24" t="s">
        <v>181</v>
      </c>
      <c r="Q50" s="24">
        <v>1</v>
      </c>
      <c r="R50" s="24">
        <v>6</v>
      </c>
      <c r="S50" t="s">
        <v>528</v>
      </c>
      <c r="T50">
        <v>390</v>
      </c>
      <c r="U50" s="2" t="s">
        <v>163</v>
      </c>
      <c r="V50">
        <v>43712.812025462961</v>
      </c>
      <c r="W50" s="2" t="s">
        <v>444</v>
      </c>
      <c r="X50">
        <v>43712.81391203704</v>
      </c>
      <c r="AB50" t="s">
        <v>9</v>
      </c>
      <c r="AC50" t="s">
        <v>599</v>
      </c>
      <c r="AD50" t="s">
        <v>182</v>
      </c>
      <c r="AE50" t="s">
        <v>663</v>
      </c>
      <c r="AF50" t="s">
        <v>663</v>
      </c>
      <c r="AG50" t="s">
        <v>664</v>
      </c>
      <c r="AH50" t="s">
        <v>630</v>
      </c>
      <c r="AI50" t="s">
        <v>630</v>
      </c>
      <c r="AJ50" t="s">
        <v>601</v>
      </c>
      <c r="AK50" t="s">
        <v>602</v>
      </c>
      <c r="AL50" t="s">
        <v>631</v>
      </c>
      <c r="AO50" t="s">
        <v>632</v>
      </c>
      <c r="AP50" t="s">
        <v>605</v>
      </c>
      <c r="AQ50" t="s">
        <v>606</v>
      </c>
      <c r="AR50" t="s">
        <v>665</v>
      </c>
      <c r="AS50" t="s">
        <v>666</v>
      </c>
      <c r="AT50" t="s">
        <v>633</v>
      </c>
      <c r="AU50" t="s">
        <v>10</v>
      </c>
      <c r="AV50" t="s">
        <v>634</v>
      </c>
      <c r="AW50" t="s">
        <v>634</v>
      </c>
      <c r="AX50" t="s">
        <v>635</v>
      </c>
      <c r="AY50" s="2" t="s">
        <v>636</v>
      </c>
      <c r="AZ50" t="s">
        <v>637</v>
      </c>
      <c r="BA50" t="s">
        <v>194</v>
      </c>
      <c r="BB50" t="s">
        <v>272</v>
      </c>
      <c r="BC50" t="s">
        <v>188</v>
      </c>
      <c r="BD50" t="s">
        <v>667</v>
      </c>
      <c r="BE50" t="s">
        <v>638</v>
      </c>
      <c r="BF50" t="s">
        <v>639</v>
      </c>
      <c r="BG50" t="b">
        <v>0</v>
      </c>
      <c r="BH50" s="6" t="s">
        <v>640</v>
      </c>
      <c r="BI50" t="s">
        <v>641</v>
      </c>
      <c r="BJ50" t="s">
        <v>668</v>
      </c>
      <c r="BK50" t="s">
        <v>162</v>
      </c>
      <c r="BL50" t="s">
        <v>161</v>
      </c>
      <c r="BM50" s="2"/>
      <c r="BN50">
        <v>9.1440300570008294E+17</v>
      </c>
      <c r="BO50" t="s">
        <v>89</v>
      </c>
      <c r="BP50">
        <v>90321000</v>
      </c>
      <c r="BR50" t="s">
        <v>180</v>
      </c>
      <c r="BS50" t="s">
        <v>103</v>
      </c>
      <c r="BU50">
        <v>215.12</v>
      </c>
      <c r="BV50">
        <v>427.47</v>
      </c>
      <c r="BW50">
        <v>0</v>
      </c>
      <c r="BX50">
        <v>0</v>
      </c>
      <c r="BY50">
        <v>0</v>
      </c>
      <c r="BZ50">
        <v>0</v>
      </c>
      <c r="CA50">
        <v>642.59</v>
      </c>
      <c r="CF50" s="2"/>
      <c r="CH50" s="2"/>
      <c r="CJ50" t="s">
        <v>375</v>
      </c>
      <c r="CK50" t="s">
        <v>500</v>
      </c>
      <c r="CL50">
        <v>43712.381956018522</v>
      </c>
      <c r="CO50" t="s">
        <v>11</v>
      </c>
      <c r="CP50">
        <v>3073.08</v>
      </c>
      <c r="CQ50" t="s">
        <v>11</v>
      </c>
      <c r="CR50">
        <v>3073.08</v>
      </c>
      <c r="CV50" t="s">
        <v>525</v>
      </c>
      <c r="CW50" t="s">
        <v>12</v>
      </c>
      <c r="CX50" t="s">
        <v>12</v>
      </c>
      <c r="CY50" t="s">
        <v>12</v>
      </c>
      <c r="DA50" t="s">
        <v>104</v>
      </c>
      <c r="DD50" t="s">
        <v>93</v>
      </c>
      <c r="DQ50" t="s">
        <v>94</v>
      </c>
      <c r="DR50" t="s">
        <v>94</v>
      </c>
      <c r="DS50" t="s">
        <v>94</v>
      </c>
      <c r="DT50" t="s">
        <v>94</v>
      </c>
      <c r="DU50" t="s">
        <v>94</v>
      </c>
      <c r="DV50" t="s">
        <v>94</v>
      </c>
      <c r="DW50" t="s">
        <v>94</v>
      </c>
      <c r="DX50" s="2" t="s">
        <v>94</v>
      </c>
      <c r="DY50" t="s">
        <v>94</v>
      </c>
      <c r="DZ50" t="s">
        <v>94</v>
      </c>
      <c r="EA50" t="s">
        <v>94</v>
      </c>
      <c r="EB50" t="s">
        <v>94</v>
      </c>
      <c r="EC50" t="s">
        <v>94</v>
      </c>
      <c r="ED50" t="s">
        <v>94</v>
      </c>
      <c r="EE50" t="s">
        <v>89</v>
      </c>
      <c r="EF50" t="s">
        <v>425</v>
      </c>
      <c r="EG50" t="s">
        <v>105</v>
      </c>
      <c r="EJ50" t="s">
        <v>166</v>
      </c>
      <c r="EK50" t="b">
        <v>0</v>
      </c>
      <c r="EL50" t="b">
        <v>0</v>
      </c>
      <c r="EM50" t="b">
        <v>0</v>
      </c>
      <c r="EO50" t="s">
        <v>177</v>
      </c>
      <c r="EP50" t="s">
        <v>669</v>
      </c>
    </row>
    <row r="51" spans="3:146" ht="15">
      <c r="C51" s="82">
        <v>13213</v>
      </c>
      <c r="D51" s="5"/>
      <c r="E51" s="4">
        <v>1</v>
      </c>
      <c r="F51" s="5">
        <v>1</v>
      </c>
      <c r="G51" s="5" t="s">
        <v>575</v>
      </c>
      <c r="H51" s="4" t="s">
        <v>670</v>
      </c>
      <c r="I51" s="81" t="s">
        <v>164</v>
      </c>
      <c r="J51" s="21"/>
      <c r="K51" s="22" t="s">
        <v>598</v>
      </c>
      <c r="L51" s="22">
        <v>1100271750792</v>
      </c>
      <c r="M51" s="23" t="s">
        <v>164</v>
      </c>
      <c r="N51" s="23">
        <v>43701</v>
      </c>
      <c r="O51" s="24" t="s">
        <v>102</v>
      </c>
      <c r="P51" s="24" t="s">
        <v>181</v>
      </c>
      <c r="Q51" s="24">
        <v>1</v>
      </c>
      <c r="R51" s="24">
        <v>1</v>
      </c>
      <c r="S51" t="s">
        <v>319</v>
      </c>
      <c r="T51">
        <v>200</v>
      </c>
      <c r="U51" s="2" t="s">
        <v>163</v>
      </c>
      <c r="V51">
        <v>43701.796226851853</v>
      </c>
      <c r="W51" s="2" t="s">
        <v>444</v>
      </c>
      <c r="X51">
        <v>43712.650370370371</v>
      </c>
      <c r="AB51" t="s">
        <v>9</v>
      </c>
      <c r="AC51" t="s">
        <v>599</v>
      </c>
      <c r="AD51" t="s">
        <v>209</v>
      </c>
      <c r="AE51" t="s">
        <v>671</v>
      </c>
      <c r="AF51" t="s">
        <v>671</v>
      </c>
      <c r="AG51" t="s">
        <v>183</v>
      </c>
      <c r="AH51" t="s">
        <v>600</v>
      </c>
      <c r="AI51" t="s">
        <v>600</v>
      </c>
      <c r="AJ51" t="s">
        <v>601</v>
      </c>
      <c r="AK51" t="s">
        <v>602</v>
      </c>
      <c r="AL51" t="s">
        <v>603</v>
      </c>
      <c r="AO51" t="s">
        <v>604</v>
      </c>
      <c r="AP51" t="s">
        <v>605</v>
      </c>
      <c r="AQ51" t="s">
        <v>606</v>
      </c>
      <c r="AR51" t="s">
        <v>672</v>
      </c>
      <c r="AS51" t="s">
        <v>673</v>
      </c>
      <c r="AT51" t="s">
        <v>607</v>
      </c>
      <c r="AU51" t="s">
        <v>10</v>
      </c>
      <c r="AV51" t="s">
        <v>608</v>
      </c>
      <c r="AW51" t="s">
        <v>608</v>
      </c>
      <c r="AX51" t="s">
        <v>609</v>
      </c>
      <c r="AY51" s="2" t="s">
        <v>610</v>
      </c>
      <c r="AZ51" t="s">
        <v>611</v>
      </c>
      <c r="BA51" t="s">
        <v>230</v>
      </c>
      <c r="BB51" t="s">
        <v>223</v>
      </c>
      <c r="BC51" t="s">
        <v>188</v>
      </c>
      <c r="BD51" t="s">
        <v>674</v>
      </c>
      <c r="BE51" t="s">
        <v>675</v>
      </c>
      <c r="BF51" t="s">
        <v>612</v>
      </c>
      <c r="BG51" t="b">
        <v>0</v>
      </c>
      <c r="BH51" s="6" t="s">
        <v>613</v>
      </c>
      <c r="BI51" t="s">
        <v>614</v>
      </c>
      <c r="BJ51" t="s">
        <v>668</v>
      </c>
      <c r="BK51" t="s">
        <v>162</v>
      </c>
      <c r="BL51" t="s">
        <v>161</v>
      </c>
      <c r="BM51" s="2"/>
      <c r="BO51" t="s">
        <v>89</v>
      </c>
      <c r="BP51">
        <v>85256090</v>
      </c>
      <c r="BR51" t="s">
        <v>180</v>
      </c>
      <c r="BS51" t="s">
        <v>103</v>
      </c>
      <c r="BU51">
        <v>0</v>
      </c>
      <c r="BV51">
        <v>178.95</v>
      </c>
      <c r="BW51">
        <v>0</v>
      </c>
      <c r="BX51">
        <v>0</v>
      </c>
      <c r="BY51">
        <v>0</v>
      </c>
      <c r="BZ51">
        <v>0</v>
      </c>
      <c r="CA51">
        <v>178.95</v>
      </c>
      <c r="CF51" s="2"/>
      <c r="CH51" s="2"/>
      <c r="CJ51" t="s">
        <v>375</v>
      </c>
      <c r="CK51" t="s">
        <v>165</v>
      </c>
      <c r="CL51">
        <v>43701.369942129626</v>
      </c>
      <c r="CO51" t="s">
        <v>11</v>
      </c>
      <c r="CP51">
        <v>1406.24</v>
      </c>
      <c r="CQ51" t="s">
        <v>11</v>
      </c>
      <c r="CR51">
        <v>1406.24</v>
      </c>
      <c r="CV51" t="s">
        <v>190</v>
      </c>
      <c r="CW51" t="s">
        <v>12</v>
      </c>
      <c r="CX51" t="s">
        <v>12</v>
      </c>
      <c r="CY51" t="s">
        <v>12</v>
      </c>
      <c r="DA51" t="s">
        <v>104</v>
      </c>
      <c r="DD51" t="s">
        <v>93</v>
      </c>
      <c r="DQ51" t="s">
        <v>94</v>
      </c>
      <c r="DR51" t="s">
        <v>94</v>
      </c>
      <c r="DS51" t="s">
        <v>94</v>
      </c>
      <c r="DT51" t="s">
        <v>94</v>
      </c>
      <c r="DU51" t="s">
        <v>94</v>
      </c>
      <c r="DV51" t="s">
        <v>94</v>
      </c>
      <c r="DW51" t="s">
        <v>94</v>
      </c>
      <c r="DX51" s="2" t="s">
        <v>94</v>
      </c>
      <c r="DY51" t="s">
        <v>94</v>
      </c>
      <c r="DZ51" t="s">
        <v>94</v>
      </c>
      <c r="EA51" t="s">
        <v>94</v>
      </c>
      <c r="EB51" t="s">
        <v>94</v>
      </c>
      <c r="EC51" t="s">
        <v>94</v>
      </c>
      <c r="ED51" t="s">
        <v>94</v>
      </c>
      <c r="EE51" t="s">
        <v>89</v>
      </c>
      <c r="EF51" t="s">
        <v>425</v>
      </c>
      <c r="EG51" t="s">
        <v>105</v>
      </c>
      <c r="EJ51" t="s">
        <v>166</v>
      </c>
      <c r="EK51" t="b">
        <v>0</v>
      </c>
      <c r="EL51" t="b">
        <v>0</v>
      </c>
      <c r="EM51" t="b">
        <v>0</v>
      </c>
      <c r="EO51" t="s">
        <v>177</v>
      </c>
      <c r="EP51" t="s">
        <v>676</v>
      </c>
    </row>
    <row r="52" spans="3:146" ht="15">
      <c r="C52" s="82">
        <v>233</v>
      </c>
      <c r="D52" s="5"/>
      <c r="E52" s="4">
        <v>1</v>
      </c>
      <c r="F52" s="5">
        <v>2.35</v>
      </c>
      <c r="G52" s="5" t="s">
        <v>677</v>
      </c>
      <c r="H52" s="4" t="s">
        <v>678</v>
      </c>
      <c r="I52" s="81" t="s">
        <v>466</v>
      </c>
      <c r="J52" s="21"/>
      <c r="K52" s="22" t="s">
        <v>679</v>
      </c>
      <c r="L52" s="22">
        <v>1100271750763</v>
      </c>
      <c r="M52" s="23" t="s">
        <v>466</v>
      </c>
      <c r="N52" s="23">
        <v>43700</v>
      </c>
      <c r="O52" s="24" t="s">
        <v>102</v>
      </c>
      <c r="P52" s="24" t="s">
        <v>179</v>
      </c>
      <c r="Q52" s="24">
        <v>1</v>
      </c>
      <c r="R52" s="24">
        <v>2.35</v>
      </c>
      <c r="S52" t="s">
        <v>11</v>
      </c>
      <c r="T52">
        <v>344</v>
      </c>
      <c r="U52" s="2" t="s">
        <v>163</v>
      </c>
      <c r="V52">
        <v>43700.458333333336</v>
      </c>
      <c r="W52" s="2" t="s">
        <v>444</v>
      </c>
      <c r="X52">
        <v>43702.438611111109</v>
      </c>
      <c r="AB52" t="s">
        <v>9</v>
      </c>
      <c r="AC52" t="s">
        <v>642</v>
      </c>
      <c r="AD52" t="s">
        <v>200</v>
      </c>
      <c r="AE52" t="s">
        <v>680</v>
      </c>
      <c r="AF52" t="s">
        <v>680</v>
      </c>
      <c r="AG52" t="s">
        <v>183</v>
      </c>
      <c r="AH52" t="s">
        <v>643</v>
      </c>
      <c r="AI52" t="s">
        <v>643</v>
      </c>
      <c r="AJ52" t="s">
        <v>644</v>
      </c>
      <c r="AK52" t="s">
        <v>645</v>
      </c>
      <c r="AL52" t="s">
        <v>646</v>
      </c>
      <c r="AM52" t="s">
        <v>647</v>
      </c>
      <c r="AO52" t="s">
        <v>648</v>
      </c>
      <c r="AP52" t="s">
        <v>649</v>
      </c>
      <c r="AR52" t="s">
        <v>681</v>
      </c>
      <c r="AS52" t="s">
        <v>682</v>
      </c>
      <c r="AT52" t="s">
        <v>650</v>
      </c>
      <c r="AU52" t="s">
        <v>10</v>
      </c>
      <c r="AV52" t="s">
        <v>651</v>
      </c>
      <c r="AW52" t="s">
        <v>652</v>
      </c>
      <c r="AX52" t="s">
        <v>653</v>
      </c>
      <c r="AY52" s="2" t="s">
        <v>654</v>
      </c>
      <c r="AZ52" t="s">
        <v>655</v>
      </c>
      <c r="BA52" t="s">
        <v>656</v>
      </c>
      <c r="BB52" t="s">
        <v>657</v>
      </c>
      <c r="BC52" t="s">
        <v>188</v>
      </c>
      <c r="BD52" t="s">
        <v>683</v>
      </c>
      <c r="BE52" t="s">
        <v>658</v>
      </c>
      <c r="BF52" t="s">
        <v>659</v>
      </c>
      <c r="BG52" t="b">
        <v>0</v>
      </c>
      <c r="BH52" s="6" t="s">
        <v>660</v>
      </c>
      <c r="BI52" t="s">
        <v>661</v>
      </c>
      <c r="BJ52" t="s">
        <v>668</v>
      </c>
      <c r="BK52" t="s">
        <v>162</v>
      </c>
      <c r="BL52" t="s">
        <v>161</v>
      </c>
      <c r="BM52" s="2"/>
      <c r="BO52" t="s">
        <v>89</v>
      </c>
      <c r="BP52">
        <v>3826000090</v>
      </c>
      <c r="BR52" t="s">
        <v>180</v>
      </c>
      <c r="BS52" t="s">
        <v>103</v>
      </c>
      <c r="BU52">
        <v>0</v>
      </c>
      <c r="BV52">
        <v>0</v>
      </c>
      <c r="BW52">
        <v>0</v>
      </c>
      <c r="BX52">
        <v>0</v>
      </c>
      <c r="BY52">
        <v>0</v>
      </c>
      <c r="BZ52">
        <v>0</v>
      </c>
      <c r="CA52">
        <v>0</v>
      </c>
      <c r="CF52" s="2"/>
      <c r="CH52" s="2"/>
      <c r="CJ52" t="s">
        <v>375</v>
      </c>
      <c r="CK52" t="s">
        <v>165</v>
      </c>
      <c r="CL52">
        <v>43698.372395833336</v>
      </c>
      <c r="CO52" t="s">
        <v>11</v>
      </c>
      <c r="CP52">
        <v>344</v>
      </c>
      <c r="CQ52" t="s">
        <v>11</v>
      </c>
      <c r="CR52">
        <v>344</v>
      </c>
      <c r="CV52" t="s">
        <v>190</v>
      </c>
      <c r="CW52" t="s">
        <v>12</v>
      </c>
      <c r="CX52" t="s">
        <v>12</v>
      </c>
      <c r="CY52" t="s">
        <v>12</v>
      </c>
      <c r="DA52" t="s">
        <v>104</v>
      </c>
      <c r="DD52" t="s">
        <v>93</v>
      </c>
      <c r="DQ52" t="s">
        <v>94</v>
      </c>
      <c r="DR52" t="s">
        <v>94</v>
      </c>
      <c r="DS52" t="s">
        <v>94</v>
      </c>
      <c r="DT52" t="s">
        <v>94</v>
      </c>
      <c r="DU52" t="s">
        <v>94</v>
      </c>
      <c r="DV52" t="s">
        <v>94</v>
      </c>
      <c r="DW52" t="s">
        <v>94</v>
      </c>
      <c r="DX52" s="2" t="s">
        <v>94</v>
      </c>
      <c r="DY52" t="s">
        <v>94</v>
      </c>
      <c r="DZ52" t="s">
        <v>94</v>
      </c>
      <c r="EA52" t="s">
        <v>94</v>
      </c>
      <c r="EB52" t="s">
        <v>94</v>
      </c>
      <c r="EC52" t="s">
        <v>94</v>
      </c>
      <c r="ED52" t="s">
        <v>94</v>
      </c>
      <c r="EE52" t="s">
        <v>89</v>
      </c>
      <c r="EF52" t="s">
        <v>94</v>
      </c>
      <c r="EG52" t="s">
        <v>105</v>
      </c>
      <c r="EJ52" t="s">
        <v>526</v>
      </c>
      <c r="EK52" t="b">
        <v>0</v>
      </c>
      <c r="EL52" t="b">
        <v>0</v>
      </c>
      <c r="EM52" t="b">
        <v>0</v>
      </c>
      <c r="EO52" t="s">
        <v>177</v>
      </c>
      <c r="EP52" t="s">
        <v>684</v>
      </c>
    </row>
    <row r="53" spans="3:146" ht="15">
      <c r="C53" s="82">
        <v>1312</v>
      </c>
      <c r="D53" s="5">
        <v>16</v>
      </c>
      <c r="E53" s="4">
        <v>2</v>
      </c>
      <c r="F53" s="5">
        <v>16</v>
      </c>
      <c r="G53" s="5" t="s">
        <v>685</v>
      </c>
      <c r="H53" s="4" t="s">
        <v>686</v>
      </c>
      <c r="I53" s="81" t="s">
        <v>466</v>
      </c>
      <c r="J53" s="21"/>
      <c r="K53" s="22" t="s">
        <v>580</v>
      </c>
      <c r="L53" s="22">
        <v>1100271750325</v>
      </c>
      <c r="M53" s="23" t="s">
        <v>615</v>
      </c>
      <c r="N53" s="23">
        <v>43713</v>
      </c>
      <c r="O53" s="24" t="s">
        <v>102</v>
      </c>
      <c r="P53" s="24" t="s">
        <v>480</v>
      </c>
      <c r="Q53" s="24">
        <v>2</v>
      </c>
      <c r="R53" s="24">
        <v>30</v>
      </c>
      <c r="S53" t="s">
        <v>372</v>
      </c>
      <c r="T53">
        <v>253.44</v>
      </c>
      <c r="U53" s="2"/>
      <c r="W53" s="2"/>
      <c r="AB53" t="s">
        <v>9</v>
      </c>
      <c r="AC53" t="s">
        <v>616</v>
      </c>
      <c r="AD53" t="s">
        <v>482</v>
      </c>
      <c r="AE53" t="s">
        <v>687</v>
      </c>
      <c r="AF53" t="s">
        <v>687</v>
      </c>
      <c r="AG53" t="s">
        <v>687</v>
      </c>
      <c r="AH53" t="s">
        <v>617</v>
      </c>
      <c r="AI53" t="s">
        <v>618</v>
      </c>
      <c r="AJ53" t="s">
        <v>184</v>
      </c>
      <c r="AK53" t="s">
        <v>185</v>
      </c>
      <c r="AL53" t="s">
        <v>619</v>
      </c>
      <c r="AM53" t="s">
        <v>620</v>
      </c>
      <c r="AN53" t="s">
        <v>621</v>
      </c>
      <c r="AO53" t="s">
        <v>622</v>
      </c>
      <c r="AP53" t="s">
        <v>495</v>
      </c>
      <c r="AQ53" t="s">
        <v>496</v>
      </c>
      <c r="AR53" t="s">
        <v>688</v>
      </c>
      <c r="AS53" t="s">
        <v>623</v>
      </c>
      <c r="AT53" t="s">
        <v>624</v>
      </c>
      <c r="AU53" t="s">
        <v>10</v>
      </c>
      <c r="AV53" t="s">
        <v>625</v>
      </c>
      <c r="AW53" t="s">
        <v>625</v>
      </c>
      <c r="AX53" t="s">
        <v>619</v>
      </c>
      <c r="AY53" s="2" t="s">
        <v>620</v>
      </c>
      <c r="AZ53" t="s">
        <v>621</v>
      </c>
      <c r="BA53" t="s">
        <v>622</v>
      </c>
      <c r="BB53" t="s">
        <v>626</v>
      </c>
      <c r="BC53" t="s">
        <v>496</v>
      </c>
      <c r="BD53" t="s">
        <v>688</v>
      </c>
      <c r="BE53" t="s">
        <v>689</v>
      </c>
      <c r="BF53" t="s">
        <v>624</v>
      </c>
      <c r="BG53" t="b">
        <v>0</v>
      </c>
      <c r="BH53" s="6" t="s">
        <v>627</v>
      </c>
      <c r="BI53" t="s">
        <v>628</v>
      </c>
      <c r="BJ53" t="s">
        <v>668</v>
      </c>
      <c r="BK53" t="s">
        <v>162</v>
      </c>
      <c r="BL53" t="s">
        <v>161</v>
      </c>
      <c r="BM53" s="2">
        <v>9.1430100772268595E+17</v>
      </c>
      <c r="BR53" t="s">
        <v>189</v>
      </c>
      <c r="BS53" t="s">
        <v>103</v>
      </c>
      <c r="BU53">
        <v>0</v>
      </c>
      <c r="BV53">
        <v>0</v>
      </c>
      <c r="BW53">
        <v>0</v>
      </c>
      <c r="BX53">
        <v>0</v>
      </c>
      <c r="BY53">
        <v>0</v>
      </c>
      <c r="BZ53">
        <v>0</v>
      </c>
      <c r="CA53">
        <v>0</v>
      </c>
      <c r="CF53" s="2"/>
      <c r="CH53" s="2"/>
      <c r="CK53" t="s">
        <v>500</v>
      </c>
      <c r="CL53">
        <v>43713.431168981479</v>
      </c>
      <c r="CO53" t="s">
        <v>11</v>
      </c>
      <c r="CP53">
        <v>2156.5</v>
      </c>
      <c r="CQ53" t="s">
        <v>11</v>
      </c>
      <c r="CR53">
        <v>2156.5</v>
      </c>
      <c r="CV53" t="s">
        <v>525</v>
      </c>
      <c r="CW53" t="s">
        <v>12</v>
      </c>
      <c r="CX53" t="s">
        <v>12</v>
      </c>
      <c r="CY53" t="s">
        <v>12</v>
      </c>
      <c r="DA53" t="s">
        <v>104</v>
      </c>
      <c r="DD53" t="s">
        <v>93</v>
      </c>
      <c r="DQ53" t="s">
        <v>94</v>
      </c>
      <c r="DR53" t="s">
        <v>94</v>
      </c>
      <c r="DS53" t="s">
        <v>94</v>
      </c>
      <c r="DT53" t="s">
        <v>94</v>
      </c>
      <c r="DU53" t="s">
        <v>94</v>
      </c>
      <c r="DV53" t="s">
        <v>94</v>
      </c>
      <c r="DW53" t="s">
        <v>94</v>
      </c>
      <c r="DX53" s="2" t="s">
        <v>94</v>
      </c>
      <c r="DY53" t="s">
        <v>94</v>
      </c>
      <c r="DZ53" t="s">
        <v>94</v>
      </c>
      <c r="EA53" t="s">
        <v>94</v>
      </c>
      <c r="EB53" t="s">
        <v>94</v>
      </c>
      <c r="EC53" t="s">
        <v>94</v>
      </c>
      <c r="ED53" t="s">
        <v>94</v>
      </c>
      <c r="EE53" t="s">
        <v>89</v>
      </c>
      <c r="EF53" t="s">
        <v>94</v>
      </c>
      <c r="EG53" t="s">
        <v>543</v>
      </c>
      <c r="EJ53" t="s">
        <v>166</v>
      </c>
      <c r="EK53" t="b">
        <v>0</v>
      </c>
      <c r="EL53" t="b">
        <v>0</v>
      </c>
      <c r="EM53" t="b">
        <v>0</v>
      </c>
      <c r="EO53" t="s">
        <v>178</v>
      </c>
      <c r="EP53" t="s">
        <v>690</v>
      </c>
    </row>
    <row r="54" spans="3:146" ht="15">
      <c r="C54" s="82">
        <v>1321</v>
      </c>
      <c r="D54" s="5">
        <v>161</v>
      </c>
      <c r="E54" s="4">
        <v>1</v>
      </c>
      <c r="F54" s="5">
        <v>161</v>
      </c>
      <c r="G54" s="5" t="s">
        <v>575</v>
      </c>
      <c r="H54" s="4" t="s">
        <v>691</v>
      </c>
      <c r="I54" s="81" t="s">
        <v>164</v>
      </c>
      <c r="J54" s="21"/>
      <c r="K54" s="22" t="s">
        <v>581</v>
      </c>
      <c r="L54" s="22">
        <v>1100271750792</v>
      </c>
      <c r="M54" s="23" t="s">
        <v>164</v>
      </c>
      <c r="N54" s="23">
        <v>43701</v>
      </c>
      <c r="O54" s="24" t="s">
        <v>102</v>
      </c>
      <c r="P54" s="24" t="s">
        <v>480</v>
      </c>
      <c r="Q54" s="24">
        <v>1</v>
      </c>
      <c r="R54" s="24">
        <v>200</v>
      </c>
      <c r="S54" t="s">
        <v>528</v>
      </c>
      <c r="T54">
        <v>175</v>
      </c>
      <c r="U54" s="2"/>
      <c r="W54" s="2"/>
      <c r="AB54" t="s">
        <v>9</v>
      </c>
      <c r="AC54" t="s">
        <v>582</v>
      </c>
      <c r="AD54" t="s">
        <v>182</v>
      </c>
      <c r="AE54" t="s">
        <v>692</v>
      </c>
      <c r="AF54" t="s">
        <v>692</v>
      </c>
      <c r="AG54" t="s">
        <v>183</v>
      </c>
      <c r="AH54" t="s">
        <v>583</v>
      </c>
      <c r="AI54" t="s">
        <v>583</v>
      </c>
      <c r="AJ54" t="s">
        <v>584</v>
      </c>
      <c r="AK54" t="s">
        <v>585</v>
      </c>
      <c r="AL54" t="s">
        <v>586</v>
      </c>
      <c r="AO54" t="s">
        <v>587</v>
      </c>
      <c r="AP54" t="s">
        <v>588</v>
      </c>
      <c r="AR54" t="s">
        <v>589</v>
      </c>
      <c r="AS54" t="s">
        <v>693</v>
      </c>
      <c r="AT54" t="s">
        <v>590</v>
      </c>
      <c r="AU54" t="s">
        <v>10</v>
      </c>
      <c r="AV54" t="s">
        <v>591</v>
      </c>
      <c r="AW54" t="s">
        <v>591</v>
      </c>
      <c r="AX54" t="s">
        <v>592</v>
      </c>
      <c r="AY54" s="2" t="s">
        <v>593</v>
      </c>
      <c r="BA54" t="s">
        <v>186</v>
      </c>
      <c r="BB54" t="s">
        <v>187</v>
      </c>
      <c r="BC54" t="s">
        <v>188</v>
      </c>
      <c r="BD54" t="s">
        <v>694</v>
      </c>
      <c r="BE54" t="s">
        <v>695</v>
      </c>
      <c r="BF54" t="s">
        <v>594</v>
      </c>
      <c r="BG54" t="b">
        <v>0</v>
      </c>
      <c r="BH54" s="6" t="s">
        <v>595</v>
      </c>
      <c r="BI54" t="s">
        <v>596</v>
      </c>
      <c r="BJ54" t="s">
        <v>668</v>
      </c>
      <c r="BK54" t="s">
        <v>162</v>
      </c>
      <c r="BL54" t="s">
        <v>161</v>
      </c>
      <c r="BM54" s="2"/>
      <c r="BR54" t="s">
        <v>597</v>
      </c>
      <c r="BS54" t="s">
        <v>103</v>
      </c>
      <c r="BU54">
        <v>0</v>
      </c>
      <c r="BV54">
        <v>0</v>
      </c>
      <c r="BW54">
        <v>0</v>
      </c>
      <c r="BX54">
        <v>0</v>
      </c>
      <c r="BY54">
        <v>0</v>
      </c>
      <c r="BZ54">
        <v>0</v>
      </c>
      <c r="CA54">
        <v>0</v>
      </c>
      <c r="CF54" s="2"/>
      <c r="CH54" s="2"/>
      <c r="CK54" t="s">
        <v>165</v>
      </c>
      <c r="CL54">
        <v>43701.570150462961</v>
      </c>
      <c r="CO54" t="s">
        <v>11</v>
      </c>
      <c r="CP54">
        <v>1378.95</v>
      </c>
      <c r="CQ54" t="s">
        <v>11</v>
      </c>
      <c r="CR54">
        <v>1378.95</v>
      </c>
      <c r="CV54" t="s">
        <v>190</v>
      </c>
      <c r="CW54" t="s">
        <v>12</v>
      </c>
      <c r="CX54" t="s">
        <v>12</v>
      </c>
      <c r="CY54" t="s">
        <v>12</v>
      </c>
      <c r="DA54" t="s">
        <v>104</v>
      </c>
      <c r="DD54" t="s">
        <v>93</v>
      </c>
      <c r="DQ54" t="s">
        <v>94</v>
      </c>
      <c r="DR54" t="s">
        <v>94</v>
      </c>
      <c r="DS54" t="s">
        <v>94</v>
      </c>
      <c r="DT54" t="s">
        <v>94</v>
      </c>
      <c r="DU54" t="s">
        <v>94</v>
      </c>
      <c r="DV54" t="s">
        <v>94</v>
      </c>
      <c r="DW54" t="s">
        <v>94</v>
      </c>
      <c r="DX54" s="2" t="s">
        <v>94</v>
      </c>
      <c r="DY54" t="s">
        <v>94</v>
      </c>
      <c r="DZ54" t="s">
        <v>94</v>
      </c>
      <c r="EA54" t="s">
        <v>94</v>
      </c>
      <c r="EB54" t="s">
        <v>94</v>
      </c>
      <c r="EC54" t="s">
        <v>94</v>
      </c>
      <c r="ED54" t="s">
        <v>94</v>
      </c>
      <c r="EE54" t="s">
        <v>89</v>
      </c>
      <c r="EF54" t="s">
        <v>94</v>
      </c>
      <c r="EG54" t="s">
        <v>105</v>
      </c>
      <c r="EJ54" t="s">
        <v>166</v>
      </c>
      <c r="EK54" t="b">
        <v>0</v>
      </c>
      <c r="EL54" t="b">
        <v>0</v>
      </c>
      <c r="EM54" t="b">
        <v>0</v>
      </c>
      <c r="EO54" t="s">
        <v>178</v>
      </c>
      <c r="EP54" t="s">
        <v>696</v>
      </c>
    </row>
    <row r="55" spans="3:146" ht="15">
      <c r="C55" s="82">
        <v>1321</v>
      </c>
      <c r="D55" s="5">
        <v>6</v>
      </c>
      <c r="E55" s="4">
        <v>2</v>
      </c>
      <c r="F55" s="5">
        <v>6</v>
      </c>
      <c r="G55" s="5" t="s">
        <v>685</v>
      </c>
      <c r="H55" s="4" t="s">
        <v>711</v>
      </c>
      <c r="I55" s="81" t="s">
        <v>466</v>
      </c>
      <c r="J55" s="21"/>
      <c r="K55" s="22" t="s">
        <v>697</v>
      </c>
      <c r="L55" s="22">
        <v>1100271750325</v>
      </c>
      <c r="M55" s="23" t="s">
        <v>615</v>
      </c>
      <c r="N55" s="23">
        <v>43713</v>
      </c>
      <c r="O55" s="24" t="s">
        <v>102</v>
      </c>
      <c r="P55" s="24" t="s">
        <v>480</v>
      </c>
      <c r="Q55" s="24">
        <v>2</v>
      </c>
      <c r="R55" s="24">
        <v>3.1</v>
      </c>
      <c r="S55" t="s">
        <v>528</v>
      </c>
      <c r="T55">
        <v>3</v>
      </c>
      <c r="U55" s="2"/>
      <c r="W55" s="2"/>
      <c r="AB55" t="s">
        <v>9</v>
      </c>
      <c r="AC55" t="s">
        <v>698</v>
      </c>
      <c r="AD55" t="s">
        <v>209</v>
      </c>
      <c r="AE55">
        <v>362532</v>
      </c>
      <c r="AF55">
        <v>362532</v>
      </c>
      <c r="AG55" t="s">
        <v>183</v>
      </c>
      <c r="AH55" t="s">
        <v>699</v>
      </c>
      <c r="AI55" t="s">
        <v>699</v>
      </c>
      <c r="AJ55" t="s">
        <v>601</v>
      </c>
      <c r="AK55" t="s">
        <v>602</v>
      </c>
      <c r="AL55" t="s">
        <v>700</v>
      </c>
      <c r="AO55" t="s">
        <v>701</v>
      </c>
      <c r="AP55" t="s">
        <v>702</v>
      </c>
      <c r="AQ55" t="s">
        <v>703</v>
      </c>
      <c r="AR55">
        <v>35013</v>
      </c>
      <c r="AS55">
        <v>495971677</v>
      </c>
      <c r="AT55" t="s">
        <v>704</v>
      </c>
      <c r="AU55" t="s">
        <v>10</v>
      </c>
      <c r="AV55" t="s">
        <v>705</v>
      </c>
      <c r="AW55" t="s">
        <v>705</v>
      </c>
      <c r="AX55" t="s">
        <v>706</v>
      </c>
      <c r="AY55" s="2" t="s">
        <v>707</v>
      </c>
      <c r="BA55" t="s">
        <v>222</v>
      </c>
      <c r="BB55" t="s">
        <v>223</v>
      </c>
      <c r="BC55" t="s">
        <v>188</v>
      </c>
      <c r="BD55">
        <v>510000</v>
      </c>
      <c r="BE55">
        <v>862083552577</v>
      </c>
      <c r="BF55" t="s">
        <v>708</v>
      </c>
      <c r="BG55" t="b">
        <v>0</v>
      </c>
      <c r="BH55" s="6" t="s">
        <v>709</v>
      </c>
      <c r="BI55" t="s">
        <v>710</v>
      </c>
      <c r="BJ55">
        <v>4453163191</v>
      </c>
      <c r="BK55" t="s">
        <v>162</v>
      </c>
      <c r="BL55" t="s">
        <v>161</v>
      </c>
      <c r="BM55" s="2"/>
      <c r="BR55" t="s">
        <v>180</v>
      </c>
      <c r="BS55" t="s">
        <v>103</v>
      </c>
      <c r="BU55">
        <v>0</v>
      </c>
      <c r="BV55">
        <v>0</v>
      </c>
      <c r="BW55">
        <v>0</v>
      </c>
      <c r="BX55">
        <v>0</v>
      </c>
      <c r="BY55">
        <v>0</v>
      </c>
      <c r="BZ55">
        <v>0</v>
      </c>
      <c r="CA55">
        <v>0</v>
      </c>
      <c r="CF55" s="2"/>
      <c r="CH55" s="2"/>
      <c r="CK55" t="s">
        <v>500</v>
      </c>
      <c r="CL55">
        <v>43713.431192129632</v>
      </c>
      <c r="CO55" t="s">
        <v>11</v>
      </c>
      <c r="CP55">
        <v>23.64</v>
      </c>
      <c r="CQ55" t="s">
        <v>11</v>
      </c>
      <c r="CR55">
        <v>23.64</v>
      </c>
      <c r="CV55" t="s">
        <v>190</v>
      </c>
      <c r="CW55" t="s">
        <v>12</v>
      </c>
      <c r="CX55" t="s">
        <v>12</v>
      </c>
      <c r="CY55" t="s">
        <v>12</v>
      </c>
      <c r="DA55" t="s">
        <v>104</v>
      </c>
      <c r="DD55" t="s">
        <v>93</v>
      </c>
      <c r="DQ55" t="s">
        <v>94</v>
      </c>
      <c r="DR55" t="s">
        <v>94</v>
      </c>
      <c r="DS55" t="s">
        <v>94</v>
      </c>
      <c r="DT55" t="s">
        <v>94</v>
      </c>
      <c r="DU55" t="s">
        <v>94</v>
      </c>
      <c r="DV55" t="s">
        <v>94</v>
      </c>
      <c r="DW55" t="s">
        <v>94</v>
      </c>
      <c r="DX55" s="2" t="s">
        <v>94</v>
      </c>
      <c r="DY55" t="s">
        <v>94</v>
      </c>
      <c r="DZ55" t="s">
        <v>94</v>
      </c>
      <c r="EA55" t="s">
        <v>94</v>
      </c>
      <c r="EB55" t="s">
        <v>94</v>
      </c>
      <c r="EC55" t="s">
        <v>94</v>
      </c>
      <c r="ED55" t="s">
        <v>94</v>
      </c>
      <c r="EE55" t="s">
        <v>89</v>
      </c>
      <c r="EF55" t="s">
        <v>94</v>
      </c>
      <c r="EG55" t="s">
        <v>543</v>
      </c>
      <c r="EJ55" t="s">
        <v>166</v>
      </c>
      <c r="EK55" t="b">
        <v>0</v>
      </c>
      <c r="EL55" t="b">
        <v>0</v>
      </c>
      <c r="EM55" t="b">
        <v>0</v>
      </c>
      <c r="EO55" t="s">
        <v>178</v>
      </c>
      <c r="EP55" t="s">
        <v>712</v>
      </c>
    </row>
    <row r="56" spans="3:146" ht="15">
      <c r="C56" s="82">
        <v>3143</v>
      </c>
      <c r="D56" s="5"/>
      <c r="E56" s="4">
        <v>1</v>
      </c>
      <c r="F56" s="5">
        <v>2.7</v>
      </c>
      <c r="G56" s="5" t="s">
        <v>730</v>
      </c>
      <c r="H56" s="4" t="s">
        <v>731</v>
      </c>
      <c r="I56" s="81" t="s">
        <v>164</v>
      </c>
      <c r="J56" s="21"/>
      <c r="K56" s="22" t="s">
        <v>713</v>
      </c>
      <c r="L56" s="22">
        <v>1100271750338</v>
      </c>
      <c r="M56" s="23" t="s">
        <v>164</v>
      </c>
      <c r="N56" s="23">
        <v>43714</v>
      </c>
      <c r="O56" s="24" t="s">
        <v>102</v>
      </c>
      <c r="P56" s="24" t="s">
        <v>179</v>
      </c>
      <c r="Q56" s="24">
        <v>1</v>
      </c>
      <c r="R56" s="24">
        <v>2.7</v>
      </c>
      <c r="S56" t="s">
        <v>319</v>
      </c>
      <c r="T56">
        <v>30</v>
      </c>
      <c r="U56" s="2" t="s">
        <v>163</v>
      </c>
      <c r="V56">
        <v>43714.817997685182</v>
      </c>
      <c r="W56" s="2" t="s">
        <v>444</v>
      </c>
      <c r="X56">
        <v>43716.398425925923</v>
      </c>
      <c r="AB56" t="s">
        <v>9</v>
      </c>
      <c r="AC56" t="s">
        <v>714</v>
      </c>
      <c r="AD56" t="s">
        <v>191</v>
      </c>
      <c r="AE56">
        <v>160021</v>
      </c>
      <c r="AF56">
        <v>160021</v>
      </c>
      <c r="AG56" t="s">
        <v>183</v>
      </c>
      <c r="AH56" t="s">
        <v>715</v>
      </c>
      <c r="AI56" t="s">
        <v>715</v>
      </c>
      <c r="AJ56" t="s">
        <v>716</v>
      </c>
      <c r="AK56" t="s">
        <v>717</v>
      </c>
      <c r="AL56" t="s">
        <v>718</v>
      </c>
      <c r="AO56" t="s">
        <v>719</v>
      </c>
      <c r="AP56" t="s">
        <v>720</v>
      </c>
      <c r="AQ56" t="s">
        <v>719</v>
      </c>
      <c r="AR56">
        <v>115201</v>
      </c>
      <c r="AS56">
        <v>89165596808</v>
      </c>
      <c r="AT56" t="s">
        <v>721</v>
      </c>
      <c r="AU56" t="s">
        <v>10</v>
      </c>
      <c r="AV56" t="s">
        <v>722</v>
      </c>
      <c r="AW56" t="s">
        <v>722</v>
      </c>
      <c r="AX56" t="s">
        <v>723</v>
      </c>
      <c r="AY56" s="2" t="s">
        <v>724</v>
      </c>
      <c r="AZ56" t="s">
        <v>725</v>
      </c>
      <c r="BA56" t="s">
        <v>726</v>
      </c>
      <c r="BB56" t="s">
        <v>192</v>
      </c>
      <c r="BC56" t="s">
        <v>188</v>
      </c>
      <c r="BD56">
        <v>523825</v>
      </c>
      <c r="BE56">
        <v>8607685303739</v>
      </c>
      <c r="BF56" t="s">
        <v>727</v>
      </c>
      <c r="BG56" t="b">
        <v>0</v>
      </c>
      <c r="BH56" s="6" t="s">
        <v>728</v>
      </c>
      <c r="BI56" t="s">
        <v>729</v>
      </c>
      <c r="BJ56">
        <v>4453163191</v>
      </c>
      <c r="BK56" t="s">
        <v>162</v>
      </c>
      <c r="BL56" t="s">
        <v>161</v>
      </c>
      <c r="BM56" s="2"/>
      <c r="BO56" t="s">
        <v>89</v>
      </c>
      <c r="BP56">
        <v>85340090</v>
      </c>
      <c r="BR56" t="s">
        <v>189</v>
      </c>
      <c r="BS56" t="s">
        <v>103</v>
      </c>
      <c r="BU56">
        <v>0</v>
      </c>
      <c r="BV56">
        <v>0</v>
      </c>
      <c r="BW56">
        <v>0</v>
      </c>
      <c r="BX56">
        <v>0</v>
      </c>
      <c r="BY56">
        <v>0</v>
      </c>
      <c r="BZ56">
        <v>0</v>
      </c>
      <c r="CA56">
        <v>0</v>
      </c>
      <c r="CF56" s="2"/>
      <c r="CH56" s="2"/>
      <c r="CJ56">
        <v>5.3142019950126701E+17</v>
      </c>
      <c r="CK56" t="s">
        <v>500</v>
      </c>
      <c r="CL56">
        <v>43714.374074074076</v>
      </c>
      <c r="CO56" t="s">
        <v>11</v>
      </c>
      <c r="CP56">
        <v>210.94</v>
      </c>
      <c r="CQ56" t="s">
        <v>11</v>
      </c>
      <c r="CR56">
        <v>210.94</v>
      </c>
      <c r="CV56" t="s">
        <v>190</v>
      </c>
      <c r="CW56" t="s">
        <v>12</v>
      </c>
      <c r="CX56" t="s">
        <v>12</v>
      </c>
      <c r="CY56" t="s">
        <v>12</v>
      </c>
      <c r="DA56" t="s">
        <v>104</v>
      </c>
      <c r="DD56" t="s">
        <v>93</v>
      </c>
      <c r="DQ56" t="s">
        <v>94</v>
      </c>
      <c r="DR56" t="s">
        <v>94</v>
      </c>
      <c r="DS56" t="s">
        <v>94</v>
      </c>
      <c r="DT56" t="s">
        <v>94</v>
      </c>
      <c r="DU56" t="s">
        <v>94</v>
      </c>
      <c r="DV56" t="s">
        <v>94</v>
      </c>
      <c r="DW56" t="s">
        <v>94</v>
      </c>
      <c r="DX56" s="2" t="s">
        <v>94</v>
      </c>
      <c r="DY56" t="s">
        <v>94</v>
      </c>
      <c r="DZ56" t="s">
        <v>94</v>
      </c>
      <c r="EA56" t="s">
        <v>94</v>
      </c>
      <c r="EB56" t="s">
        <v>94</v>
      </c>
      <c r="EC56" t="s">
        <v>94</v>
      </c>
      <c r="ED56" t="s">
        <v>94</v>
      </c>
      <c r="EE56" t="s">
        <v>89</v>
      </c>
      <c r="EF56" t="s">
        <v>425</v>
      </c>
      <c r="EG56" t="s">
        <v>105</v>
      </c>
      <c r="EJ56" t="s">
        <v>166</v>
      </c>
      <c r="EK56" t="b">
        <v>0</v>
      </c>
      <c r="EL56" t="b">
        <v>0</v>
      </c>
      <c r="EM56" t="b">
        <v>0</v>
      </c>
      <c r="EO56" t="s">
        <v>177</v>
      </c>
      <c r="EP56" t="s">
        <v>732</v>
      </c>
    </row>
    <row r="57" spans="3:146" ht="15">
      <c r="C57" s="82">
        <v>3143</v>
      </c>
      <c r="D57" s="5">
        <v>11.6</v>
      </c>
      <c r="E57" s="4">
        <v>1</v>
      </c>
      <c r="F57" s="5">
        <v>11.6</v>
      </c>
      <c r="G57" s="5" t="s">
        <v>751</v>
      </c>
      <c r="H57" s="4" t="s">
        <v>752</v>
      </c>
      <c r="I57" s="81" t="s">
        <v>466</v>
      </c>
      <c r="J57" s="21"/>
      <c r="K57" s="22" t="s">
        <v>733</v>
      </c>
      <c r="L57" s="22">
        <v>1100271750341</v>
      </c>
      <c r="M57" s="23" t="s">
        <v>466</v>
      </c>
      <c r="N57" s="23">
        <v>43716</v>
      </c>
      <c r="O57" s="24" t="s">
        <v>102</v>
      </c>
      <c r="P57" s="24" t="s">
        <v>181</v>
      </c>
      <c r="Q57" s="24">
        <v>1</v>
      </c>
      <c r="R57" s="24">
        <v>3</v>
      </c>
      <c r="S57" t="s">
        <v>319</v>
      </c>
      <c r="T57">
        <v>225</v>
      </c>
      <c r="U57" s="2" t="s">
        <v>163</v>
      </c>
      <c r="V57">
        <v>43716.711030092592</v>
      </c>
      <c r="W57" s="2" t="s">
        <v>444</v>
      </c>
      <c r="X57">
        <v>43718.600370370368</v>
      </c>
      <c r="AB57" t="s">
        <v>9</v>
      </c>
      <c r="AC57" t="s">
        <v>734</v>
      </c>
      <c r="AD57" t="s">
        <v>182</v>
      </c>
      <c r="AE57">
        <v>943</v>
      </c>
      <c r="AF57">
        <v>943</v>
      </c>
      <c r="AG57">
        <v>3086493</v>
      </c>
      <c r="AH57" t="s">
        <v>735</v>
      </c>
      <c r="AI57" t="s">
        <v>735</v>
      </c>
      <c r="AJ57" t="s">
        <v>736</v>
      </c>
      <c r="AK57" t="s">
        <v>737</v>
      </c>
      <c r="AL57" t="s">
        <v>738</v>
      </c>
      <c r="AM57" t="s">
        <v>739</v>
      </c>
      <c r="AO57" t="s">
        <v>740</v>
      </c>
      <c r="AP57" t="s">
        <v>741</v>
      </c>
      <c r="AR57">
        <v>99905</v>
      </c>
      <c r="AS57">
        <v>22230955</v>
      </c>
      <c r="AT57" t="s">
        <v>742</v>
      </c>
      <c r="AU57" t="s">
        <v>10</v>
      </c>
      <c r="AV57" t="s">
        <v>743</v>
      </c>
      <c r="AW57" t="s">
        <v>743</v>
      </c>
      <c r="AX57" t="s">
        <v>744</v>
      </c>
      <c r="AY57" s="2" t="s">
        <v>745</v>
      </c>
      <c r="BA57" t="s">
        <v>186</v>
      </c>
      <c r="BB57" t="s">
        <v>187</v>
      </c>
      <c r="BC57" t="s">
        <v>188</v>
      </c>
      <c r="BD57">
        <v>518103</v>
      </c>
      <c r="BE57" t="s">
        <v>746</v>
      </c>
      <c r="BF57" t="s">
        <v>747</v>
      </c>
      <c r="BG57" t="b">
        <v>0</v>
      </c>
      <c r="BH57" s="6" t="s">
        <v>748</v>
      </c>
      <c r="BI57" t="s">
        <v>749</v>
      </c>
      <c r="BJ57">
        <v>4453163191</v>
      </c>
      <c r="BK57" t="s">
        <v>162</v>
      </c>
      <c r="BL57" t="s">
        <v>161</v>
      </c>
      <c r="BM57" s="2"/>
      <c r="BN57" t="s">
        <v>750</v>
      </c>
      <c r="BO57" t="s">
        <v>89</v>
      </c>
      <c r="BP57">
        <v>73269090</v>
      </c>
      <c r="BR57" t="s">
        <v>180</v>
      </c>
      <c r="BS57" t="s">
        <v>103</v>
      </c>
      <c r="BU57">
        <v>126.56</v>
      </c>
      <c r="BV57">
        <v>222.12</v>
      </c>
      <c r="BW57">
        <v>0</v>
      </c>
      <c r="BX57">
        <v>0</v>
      </c>
      <c r="BY57">
        <v>0</v>
      </c>
      <c r="BZ57">
        <v>0</v>
      </c>
      <c r="CA57">
        <v>348.68</v>
      </c>
      <c r="CF57" s="2"/>
      <c r="CH57" s="2"/>
      <c r="CJ57">
        <v>5.3142019950127699E+17</v>
      </c>
      <c r="CK57" t="s">
        <v>165</v>
      </c>
      <c r="CL57">
        <v>43715.567187499997</v>
      </c>
      <c r="CO57" t="s">
        <v>11</v>
      </c>
      <c r="CP57">
        <v>1582.02</v>
      </c>
      <c r="CQ57" t="s">
        <v>11</v>
      </c>
      <c r="CR57">
        <v>1582.02</v>
      </c>
      <c r="CV57" t="s">
        <v>525</v>
      </c>
      <c r="CW57" t="s">
        <v>12</v>
      </c>
      <c r="CX57" t="s">
        <v>12</v>
      </c>
      <c r="CY57" t="s">
        <v>12</v>
      </c>
      <c r="DA57" t="s">
        <v>104</v>
      </c>
      <c r="DD57" t="s">
        <v>93</v>
      </c>
      <c r="DQ57" t="s">
        <v>94</v>
      </c>
      <c r="DR57" t="s">
        <v>94</v>
      </c>
      <c r="DS57" t="s">
        <v>94</v>
      </c>
      <c r="DT57" t="s">
        <v>94</v>
      </c>
      <c r="DU57" t="s">
        <v>94</v>
      </c>
      <c r="DV57" t="s">
        <v>94</v>
      </c>
      <c r="DW57" t="s">
        <v>94</v>
      </c>
      <c r="DX57" s="2" t="s">
        <v>94</v>
      </c>
      <c r="DY57" t="s">
        <v>94</v>
      </c>
      <c r="DZ57" t="s">
        <v>94</v>
      </c>
      <c r="EA57" t="s">
        <v>94</v>
      </c>
      <c r="EB57" t="s">
        <v>94</v>
      </c>
      <c r="EC57" t="s">
        <v>94</v>
      </c>
      <c r="ED57" t="s">
        <v>94</v>
      </c>
      <c r="EE57" t="s">
        <v>89</v>
      </c>
      <c r="EF57" t="s">
        <v>425</v>
      </c>
      <c r="EG57" t="s">
        <v>105</v>
      </c>
      <c r="EJ57" t="s">
        <v>166</v>
      </c>
      <c r="EK57" t="b">
        <v>0</v>
      </c>
      <c r="EL57" t="b">
        <v>0</v>
      </c>
      <c r="EM57" t="b">
        <v>0</v>
      </c>
      <c r="EO57" t="s">
        <v>178</v>
      </c>
      <c r="EP57" t="s">
        <v>753</v>
      </c>
    </row>
    <row r="58" spans="3:146" ht="15">
      <c r="C58" s="82">
        <v>3143</v>
      </c>
      <c r="D58" s="5"/>
      <c r="E58" s="4">
        <v>1</v>
      </c>
      <c r="F58" s="5">
        <v>2.5</v>
      </c>
      <c r="G58" s="5" t="s">
        <v>374</v>
      </c>
      <c r="H58" s="4" t="s">
        <v>770</v>
      </c>
      <c r="I58" s="81" t="s">
        <v>164</v>
      </c>
      <c r="J58" s="21"/>
      <c r="K58" s="22" t="s">
        <v>754</v>
      </c>
      <c r="L58" s="22">
        <v>1100271750292</v>
      </c>
      <c r="M58" s="23" t="s">
        <v>164</v>
      </c>
      <c r="N58" s="23">
        <v>43710</v>
      </c>
      <c r="O58" s="24" t="s">
        <v>102</v>
      </c>
      <c r="P58" s="24" t="s">
        <v>181</v>
      </c>
      <c r="Q58" s="24">
        <v>1</v>
      </c>
      <c r="R58" s="24">
        <v>2.5</v>
      </c>
      <c r="S58" t="s">
        <v>11</v>
      </c>
      <c r="T58">
        <v>4800</v>
      </c>
      <c r="U58" s="2" t="s">
        <v>163</v>
      </c>
      <c r="V58">
        <v>43710.460439814815</v>
      </c>
      <c r="W58" s="2" t="s">
        <v>444</v>
      </c>
      <c r="X58">
        <v>43712.428287037037</v>
      </c>
      <c r="AB58" t="s">
        <v>9</v>
      </c>
      <c r="AC58" t="s">
        <v>755</v>
      </c>
      <c r="AD58" t="s">
        <v>756</v>
      </c>
      <c r="AE58">
        <v>106071</v>
      </c>
      <c r="AF58">
        <v>106071</v>
      </c>
      <c r="AG58" t="s">
        <v>183</v>
      </c>
      <c r="AH58" t="s">
        <v>757</v>
      </c>
      <c r="AI58" t="s">
        <v>757</v>
      </c>
      <c r="AJ58" t="s">
        <v>584</v>
      </c>
      <c r="AK58" t="s">
        <v>585</v>
      </c>
      <c r="AL58" t="s">
        <v>758</v>
      </c>
      <c r="AO58" t="s">
        <v>587</v>
      </c>
      <c r="AP58" t="s">
        <v>759</v>
      </c>
      <c r="AR58" t="s">
        <v>760</v>
      </c>
      <c r="AS58">
        <v>-420235097920</v>
      </c>
      <c r="AT58" t="s">
        <v>761</v>
      </c>
      <c r="AU58" t="s">
        <v>10</v>
      </c>
      <c r="AV58" t="s">
        <v>762</v>
      </c>
      <c r="AW58" t="s">
        <v>763</v>
      </c>
      <c r="AX58" t="s">
        <v>764</v>
      </c>
      <c r="AY58" s="2"/>
      <c r="BA58" t="s">
        <v>765</v>
      </c>
      <c r="BB58" t="s">
        <v>766</v>
      </c>
      <c r="BC58" t="s">
        <v>765</v>
      </c>
      <c r="BD58">
        <v>400016</v>
      </c>
      <c r="BE58">
        <v>-8614</v>
      </c>
      <c r="BF58" t="s">
        <v>767</v>
      </c>
      <c r="BG58" t="b">
        <v>0</v>
      </c>
      <c r="BH58" s="6" t="s">
        <v>768</v>
      </c>
      <c r="BI58" t="s">
        <v>769</v>
      </c>
      <c r="BJ58">
        <v>4453163191</v>
      </c>
      <c r="BK58" t="s">
        <v>162</v>
      </c>
      <c r="BL58" t="s">
        <v>161</v>
      </c>
      <c r="BM58" s="2"/>
      <c r="BO58" t="s">
        <v>89</v>
      </c>
      <c r="BP58">
        <v>84715020</v>
      </c>
      <c r="BR58" t="s">
        <v>180</v>
      </c>
      <c r="BS58" t="s">
        <v>103</v>
      </c>
      <c r="BU58">
        <v>0</v>
      </c>
      <c r="BV58">
        <v>624</v>
      </c>
      <c r="BW58">
        <v>0</v>
      </c>
      <c r="BX58">
        <v>0</v>
      </c>
      <c r="BY58">
        <v>0</v>
      </c>
      <c r="BZ58">
        <v>0</v>
      </c>
      <c r="CA58">
        <v>624</v>
      </c>
      <c r="CF58" s="2"/>
      <c r="CH58" s="2"/>
      <c r="CJ58">
        <v>5.3142019950123898E+17</v>
      </c>
      <c r="CK58" t="s">
        <v>165</v>
      </c>
      <c r="CL58">
        <v>43698.372349537036</v>
      </c>
      <c r="CO58" t="s">
        <v>11</v>
      </c>
      <c r="CP58">
        <v>4800</v>
      </c>
      <c r="CQ58" t="s">
        <v>11</v>
      </c>
      <c r="CR58">
        <v>4800</v>
      </c>
      <c r="CV58" t="s">
        <v>190</v>
      </c>
      <c r="CW58" t="s">
        <v>12</v>
      </c>
      <c r="CX58" t="s">
        <v>12</v>
      </c>
      <c r="CY58" t="s">
        <v>12</v>
      </c>
      <c r="DA58" t="s">
        <v>104</v>
      </c>
      <c r="DD58" t="s">
        <v>93</v>
      </c>
      <c r="DQ58" t="s">
        <v>94</v>
      </c>
      <c r="DR58" t="s">
        <v>94</v>
      </c>
      <c r="DS58" t="s">
        <v>94</v>
      </c>
      <c r="DT58" t="s">
        <v>94</v>
      </c>
      <c r="DU58" t="s">
        <v>94</v>
      </c>
      <c r="DV58" t="s">
        <v>94</v>
      </c>
      <c r="DW58" t="s">
        <v>94</v>
      </c>
      <c r="DX58" s="2" t="s">
        <v>94</v>
      </c>
      <c r="DY58" t="s">
        <v>94</v>
      </c>
      <c r="DZ58" t="s">
        <v>94</v>
      </c>
      <c r="EA58" t="s">
        <v>94</v>
      </c>
      <c r="EB58" t="s">
        <v>94</v>
      </c>
      <c r="EC58" t="s">
        <v>94</v>
      </c>
      <c r="ED58" t="s">
        <v>94</v>
      </c>
      <c r="EE58" t="s">
        <v>89</v>
      </c>
      <c r="EF58" t="s">
        <v>94</v>
      </c>
      <c r="EG58" t="s">
        <v>105</v>
      </c>
      <c r="EJ58" t="s">
        <v>526</v>
      </c>
      <c r="EK58" t="b">
        <v>0</v>
      </c>
      <c r="EL58" t="b">
        <v>0</v>
      </c>
      <c r="EM58" t="b">
        <v>0</v>
      </c>
      <c r="EO58" t="s">
        <v>177</v>
      </c>
      <c r="EP58" t="s">
        <v>771</v>
      </c>
    </row>
    <row r="59" spans="3:146" ht="15">
      <c r="C59" s="82">
        <v>3143</v>
      </c>
      <c r="D59" s="5"/>
      <c r="E59" s="4">
        <v>2</v>
      </c>
      <c r="F59" s="5">
        <v>32.5</v>
      </c>
      <c r="G59" s="5" t="s">
        <v>808</v>
      </c>
      <c r="H59" s="4" t="s">
        <v>809</v>
      </c>
      <c r="I59" s="81" t="s">
        <v>164</v>
      </c>
      <c r="J59" s="21"/>
      <c r="K59" s="22" t="s">
        <v>772</v>
      </c>
      <c r="L59" s="22">
        <v>1100271750396</v>
      </c>
      <c r="M59" s="23" t="s">
        <v>447</v>
      </c>
      <c r="N59" s="23">
        <v>43725</v>
      </c>
      <c r="O59" s="24" t="s">
        <v>102</v>
      </c>
      <c r="P59" s="24" t="s">
        <v>181</v>
      </c>
      <c r="Q59" s="24">
        <v>2</v>
      </c>
      <c r="R59" s="24">
        <v>32.5</v>
      </c>
      <c r="S59" t="s">
        <v>319</v>
      </c>
      <c r="T59">
        <v>648</v>
      </c>
      <c r="U59" s="2" t="s">
        <v>163</v>
      </c>
      <c r="V59">
        <v>43725.785798611112</v>
      </c>
      <c r="W59" s="2" t="s">
        <v>427</v>
      </c>
      <c r="X59">
        <v>43725.868981481479</v>
      </c>
      <c r="AB59" t="s">
        <v>9</v>
      </c>
      <c r="AC59" t="s">
        <v>773</v>
      </c>
      <c r="AD59" t="s">
        <v>182</v>
      </c>
      <c r="AE59" t="s">
        <v>183</v>
      </c>
      <c r="AF59" t="s">
        <v>183</v>
      </c>
      <c r="AG59" t="s">
        <v>810</v>
      </c>
      <c r="AH59" t="s">
        <v>774</v>
      </c>
      <c r="AI59" t="s">
        <v>775</v>
      </c>
      <c r="AJ59" t="s">
        <v>776</v>
      </c>
      <c r="AK59" t="s">
        <v>777</v>
      </c>
      <c r="AL59" t="s">
        <v>778</v>
      </c>
      <c r="AM59" t="s">
        <v>779</v>
      </c>
      <c r="AO59" t="s">
        <v>780</v>
      </c>
      <c r="AP59" t="s">
        <v>781</v>
      </c>
      <c r="AQ59" t="s">
        <v>782</v>
      </c>
      <c r="AR59">
        <v>42897</v>
      </c>
      <c r="AS59">
        <v>49021738555339</v>
      </c>
      <c r="AT59" t="s">
        <v>783</v>
      </c>
      <c r="AU59" t="s">
        <v>10</v>
      </c>
      <c r="AV59" t="s">
        <v>784</v>
      </c>
      <c r="AW59" t="s">
        <v>784</v>
      </c>
      <c r="AX59" t="s">
        <v>785</v>
      </c>
      <c r="AY59" s="2" t="s">
        <v>786</v>
      </c>
      <c r="BA59" t="s">
        <v>186</v>
      </c>
      <c r="BB59" t="s">
        <v>187</v>
      </c>
      <c r="BC59" t="s">
        <v>188</v>
      </c>
      <c r="BD59">
        <v>518102</v>
      </c>
      <c r="BE59" t="s">
        <v>787</v>
      </c>
      <c r="BF59" t="s">
        <v>788</v>
      </c>
      <c r="BG59" t="b">
        <v>0</v>
      </c>
      <c r="BH59" s="6" t="s">
        <v>789</v>
      </c>
      <c r="BI59" t="s">
        <v>790</v>
      </c>
      <c r="BJ59">
        <v>4453163191</v>
      </c>
      <c r="BK59" t="s">
        <v>162</v>
      </c>
      <c r="BL59" t="s">
        <v>161</v>
      </c>
      <c r="BM59" s="2"/>
      <c r="BN59" t="s">
        <v>791</v>
      </c>
      <c r="BO59" t="s">
        <v>89</v>
      </c>
      <c r="BP59">
        <v>90049090</v>
      </c>
      <c r="BR59" t="s">
        <v>189</v>
      </c>
      <c r="BS59" t="s">
        <v>103</v>
      </c>
      <c r="BU59">
        <v>318.94</v>
      </c>
      <c r="BV59">
        <v>633.77</v>
      </c>
      <c r="BW59">
        <v>0</v>
      </c>
      <c r="BX59">
        <v>0</v>
      </c>
      <c r="BY59">
        <v>0</v>
      </c>
      <c r="BZ59">
        <v>0</v>
      </c>
      <c r="CA59">
        <v>952.71</v>
      </c>
      <c r="CB59" t="s">
        <v>444</v>
      </c>
      <c r="CF59" s="2"/>
      <c r="CH59" s="2"/>
      <c r="CJ59">
        <v>5.3142019950132102E+17</v>
      </c>
      <c r="CK59" t="s">
        <v>500</v>
      </c>
      <c r="CL59">
        <v>43725.373530092591</v>
      </c>
      <c r="CO59" t="s">
        <v>11</v>
      </c>
      <c r="CP59">
        <v>4556.22</v>
      </c>
      <c r="CQ59" t="s">
        <v>11</v>
      </c>
      <c r="CR59">
        <v>4556.22</v>
      </c>
      <c r="CV59" t="s">
        <v>525</v>
      </c>
      <c r="CW59" t="s">
        <v>12</v>
      </c>
      <c r="CX59" t="s">
        <v>12</v>
      </c>
      <c r="CY59" t="s">
        <v>12</v>
      </c>
      <c r="DA59" t="s">
        <v>104</v>
      </c>
      <c r="DD59" t="s">
        <v>93</v>
      </c>
      <c r="DQ59" t="s">
        <v>94</v>
      </c>
      <c r="DR59" t="s">
        <v>94</v>
      </c>
      <c r="DS59" t="s">
        <v>94</v>
      </c>
      <c r="DT59" t="s">
        <v>94</v>
      </c>
      <c r="DU59" t="s">
        <v>94</v>
      </c>
      <c r="DV59" t="s">
        <v>94</v>
      </c>
      <c r="DW59" t="s">
        <v>94</v>
      </c>
      <c r="DX59" s="2" t="s">
        <v>94</v>
      </c>
      <c r="DY59" t="s">
        <v>94</v>
      </c>
      <c r="DZ59" t="s">
        <v>94</v>
      </c>
      <c r="EA59" t="s">
        <v>94</v>
      </c>
      <c r="EB59" t="s">
        <v>94</v>
      </c>
      <c r="EC59" t="s">
        <v>94</v>
      </c>
      <c r="ED59" t="s">
        <v>94</v>
      </c>
      <c r="EE59" t="s">
        <v>89</v>
      </c>
      <c r="EF59" t="s">
        <v>425</v>
      </c>
      <c r="EG59" t="s">
        <v>105</v>
      </c>
      <c r="EJ59" t="s">
        <v>166</v>
      </c>
      <c r="EK59" t="b">
        <v>0</v>
      </c>
      <c r="EL59" t="b">
        <v>0</v>
      </c>
      <c r="EM59" t="b">
        <v>0</v>
      </c>
      <c r="EO59" t="s">
        <v>177</v>
      </c>
      <c r="EP59" t="s">
        <v>811</v>
      </c>
    </row>
    <row r="60" spans="3:146" ht="15">
      <c r="C60" s="82">
        <v>4215</v>
      </c>
      <c r="D60" s="5"/>
      <c r="E60" s="4">
        <v>1</v>
      </c>
      <c r="F60" s="5">
        <v>8.0500000000000007</v>
      </c>
      <c r="G60" s="5" t="s">
        <v>469</v>
      </c>
      <c r="H60" s="4" t="s">
        <v>812</v>
      </c>
      <c r="I60" s="81" t="s">
        <v>164</v>
      </c>
      <c r="J60" s="21"/>
      <c r="K60" s="22" t="s">
        <v>792</v>
      </c>
      <c r="L60" s="22">
        <v>1100271750276</v>
      </c>
      <c r="M60" s="23" t="s">
        <v>164</v>
      </c>
      <c r="N60" s="23">
        <v>43708</v>
      </c>
      <c r="O60" s="24" t="s">
        <v>102</v>
      </c>
      <c r="P60" s="24" t="s">
        <v>181</v>
      </c>
      <c r="Q60" s="24">
        <v>1</v>
      </c>
      <c r="R60" s="24">
        <v>8.0500000000000007</v>
      </c>
      <c r="S60" t="s">
        <v>11</v>
      </c>
      <c r="T60">
        <v>4712</v>
      </c>
      <c r="U60" s="2" t="s">
        <v>163</v>
      </c>
      <c r="V60">
        <v>43708.863935185182</v>
      </c>
      <c r="W60" s="2" t="s">
        <v>427</v>
      </c>
      <c r="X60">
        <v>43708.873541666668</v>
      </c>
      <c r="AB60" t="s">
        <v>9</v>
      </c>
      <c r="AC60" t="s">
        <v>793</v>
      </c>
      <c r="AD60" t="s">
        <v>209</v>
      </c>
      <c r="AE60" t="s">
        <v>813</v>
      </c>
      <c r="AF60" t="s">
        <v>813</v>
      </c>
      <c r="AG60" t="s">
        <v>183</v>
      </c>
      <c r="AH60" t="s">
        <v>794</v>
      </c>
      <c r="AI60" t="s">
        <v>794</v>
      </c>
      <c r="AJ60" t="s">
        <v>795</v>
      </c>
      <c r="AK60" t="s">
        <v>796</v>
      </c>
      <c r="AL60" t="s">
        <v>797</v>
      </c>
      <c r="AO60" t="s">
        <v>798</v>
      </c>
      <c r="AP60" t="s">
        <v>799</v>
      </c>
      <c r="AQ60" t="s">
        <v>798</v>
      </c>
      <c r="AR60">
        <v>18005</v>
      </c>
      <c r="AS60">
        <v>958536811</v>
      </c>
      <c r="AT60" t="s">
        <v>800</v>
      </c>
      <c r="AU60" t="s">
        <v>10</v>
      </c>
      <c r="AV60" t="s">
        <v>801</v>
      </c>
      <c r="AW60" t="s">
        <v>801</v>
      </c>
      <c r="AX60" t="s">
        <v>802</v>
      </c>
      <c r="AY60" s="2" t="s">
        <v>803</v>
      </c>
      <c r="BA60" t="s">
        <v>804</v>
      </c>
      <c r="BB60" t="s">
        <v>223</v>
      </c>
      <c r="BC60" t="s">
        <v>188</v>
      </c>
      <c r="BD60">
        <v>510240</v>
      </c>
      <c r="BE60" t="s">
        <v>814</v>
      </c>
      <c r="BF60" t="s">
        <v>805</v>
      </c>
      <c r="BG60" t="b">
        <v>0</v>
      </c>
      <c r="BH60" s="6" t="s">
        <v>806</v>
      </c>
      <c r="BI60" t="s">
        <v>807</v>
      </c>
      <c r="BJ60">
        <v>4453163191</v>
      </c>
      <c r="BK60" t="s">
        <v>162</v>
      </c>
      <c r="BL60" t="s">
        <v>161</v>
      </c>
      <c r="BM60" s="2"/>
      <c r="BO60" t="s">
        <v>89</v>
      </c>
      <c r="BP60">
        <v>85312000</v>
      </c>
      <c r="BR60" t="s">
        <v>189</v>
      </c>
      <c r="BS60" t="s">
        <v>103</v>
      </c>
      <c r="BU60">
        <v>0</v>
      </c>
      <c r="BV60">
        <v>612.55999999999995</v>
      </c>
      <c r="BW60">
        <v>0</v>
      </c>
      <c r="BX60">
        <v>0</v>
      </c>
      <c r="BY60">
        <v>0</v>
      </c>
      <c r="BZ60">
        <v>0</v>
      </c>
      <c r="CA60">
        <v>612.55999999999995</v>
      </c>
      <c r="CB60" t="s">
        <v>444</v>
      </c>
      <c r="CF60" s="2"/>
      <c r="CH60" s="2"/>
      <c r="CJ60">
        <v>5.3142019950123597E+17</v>
      </c>
      <c r="CK60" t="s">
        <v>445</v>
      </c>
      <c r="CL60">
        <v>43708.383645833332</v>
      </c>
      <c r="CO60" t="s">
        <v>11</v>
      </c>
      <c r="CP60">
        <v>4712</v>
      </c>
      <c r="CQ60" t="s">
        <v>11</v>
      </c>
      <c r="CR60">
        <v>4712</v>
      </c>
      <c r="CV60" t="s">
        <v>190</v>
      </c>
      <c r="CW60" t="s">
        <v>12</v>
      </c>
      <c r="CX60" t="s">
        <v>12</v>
      </c>
      <c r="CY60" t="s">
        <v>12</v>
      </c>
      <c r="DA60" t="s">
        <v>104</v>
      </c>
      <c r="DD60" t="s">
        <v>93</v>
      </c>
      <c r="DQ60" t="s">
        <v>94</v>
      </c>
      <c r="DR60" t="s">
        <v>94</v>
      </c>
      <c r="DS60" t="s">
        <v>94</v>
      </c>
      <c r="DT60" t="s">
        <v>94</v>
      </c>
      <c r="DU60" t="s">
        <v>94</v>
      </c>
      <c r="DV60" t="s">
        <v>94</v>
      </c>
      <c r="DW60" t="s">
        <v>94</v>
      </c>
      <c r="DX60" s="2" t="s">
        <v>94</v>
      </c>
      <c r="DY60" t="s">
        <v>94</v>
      </c>
      <c r="DZ60" t="s">
        <v>94</v>
      </c>
      <c r="EA60" t="s">
        <v>94</v>
      </c>
      <c r="EB60" t="s">
        <v>94</v>
      </c>
      <c r="EC60" t="s">
        <v>94</v>
      </c>
      <c r="ED60" t="s">
        <v>94</v>
      </c>
      <c r="EE60" t="s">
        <v>89</v>
      </c>
      <c r="EF60" t="s">
        <v>425</v>
      </c>
      <c r="EG60" t="s">
        <v>105</v>
      </c>
      <c r="EJ60" t="s">
        <v>166</v>
      </c>
      <c r="EK60" t="b">
        <v>0</v>
      </c>
      <c r="EL60" t="b">
        <v>0</v>
      </c>
      <c r="EM60" t="b">
        <v>0</v>
      </c>
      <c r="EO60" t="s">
        <v>177</v>
      </c>
      <c r="EP60" t="s">
        <v>815</v>
      </c>
    </row>
    <row r="61" spans="3:146" ht="15">
      <c r="C61" s="82">
        <v>222</v>
      </c>
      <c r="D61" s="5"/>
      <c r="E61" s="4">
        <v>1</v>
      </c>
      <c r="F61" s="5">
        <v>4.2</v>
      </c>
      <c r="G61" s="5" t="s">
        <v>751</v>
      </c>
      <c r="H61" s="4" t="s">
        <v>836</v>
      </c>
      <c r="I61" s="81" t="s">
        <v>817</v>
      </c>
      <c r="J61" s="21"/>
      <c r="K61" s="22" t="s">
        <v>816</v>
      </c>
      <c r="L61" s="22">
        <v>1100271750354</v>
      </c>
      <c r="M61" s="23" t="s">
        <v>817</v>
      </c>
      <c r="N61" s="23">
        <v>43716</v>
      </c>
      <c r="O61" s="24" t="s">
        <v>102</v>
      </c>
      <c r="P61" s="24" t="s">
        <v>181</v>
      </c>
      <c r="Q61" s="24">
        <v>1</v>
      </c>
      <c r="R61" s="24">
        <v>4.2</v>
      </c>
      <c r="S61" t="s">
        <v>11</v>
      </c>
      <c r="T61">
        <v>500</v>
      </c>
      <c r="U61" s="2" t="s">
        <v>163</v>
      </c>
      <c r="V61">
        <v>43725.480543981481</v>
      </c>
      <c r="W61" s="2" t="s">
        <v>444</v>
      </c>
      <c r="X61">
        <v>43725.603379629632</v>
      </c>
      <c r="AB61" t="s">
        <v>9</v>
      </c>
      <c r="AC61" t="s">
        <v>818</v>
      </c>
      <c r="AD61" t="s">
        <v>819</v>
      </c>
      <c r="AE61">
        <v>43246</v>
      </c>
      <c r="AF61">
        <v>43246</v>
      </c>
      <c r="AG61" t="s">
        <v>183</v>
      </c>
      <c r="AH61" t="s">
        <v>820</v>
      </c>
      <c r="AI61" t="s">
        <v>820</v>
      </c>
      <c r="AJ61" t="s">
        <v>821</v>
      </c>
      <c r="AK61" t="s">
        <v>822</v>
      </c>
      <c r="AL61" t="s">
        <v>823</v>
      </c>
      <c r="AO61" t="s">
        <v>824</v>
      </c>
      <c r="AP61" t="s">
        <v>825</v>
      </c>
      <c r="AR61">
        <v>3530</v>
      </c>
      <c r="AS61">
        <v>-3319</v>
      </c>
      <c r="AT61" t="s">
        <v>826</v>
      </c>
      <c r="AU61" t="s">
        <v>10</v>
      </c>
      <c r="AV61" t="s">
        <v>827</v>
      </c>
      <c r="AW61" t="s">
        <v>827</v>
      </c>
      <c r="AX61" t="s">
        <v>828</v>
      </c>
      <c r="AY61" s="2" t="s">
        <v>829</v>
      </c>
      <c r="AZ61" t="s">
        <v>830</v>
      </c>
      <c r="BA61" t="s">
        <v>831</v>
      </c>
      <c r="BB61" t="s">
        <v>832</v>
      </c>
      <c r="BC61" t="s">
        <v>188</v>
      </c>
      <c r="BD61">
        <v>519050</v>
      </c>
      <c r="BE61">
        <v>-765427</v>
      </c>
      <c r="BF61" t="s">
        <v>833</v>
      </c>
      <c r="BG61" t="b">
        <v>0</v>
      </c>
      <c r="BH61" s="6" t="s">
        <v>834</v>
      </c>
      <c r="BI61" t="s">
        <v>835</v>
      </c>
      <c r="BJ61">
        <v>4453163191</v>
      </c>
      <c r="BK61" t="s">
        <v>162</v>
      </c>
      <c r="BL61" t="s">
        <v>161</v>
      </c>
      <c r="BM61" s="2"/>
      <c r="BO61" t="s">
        <v>89</v>
      </c>
      <c r="BP61">
        <v>3215190090</v>
      </c>
      <c r="BR61" t="s">
        <v>180</v>
      </c>
      <c r="BS61" t="s">
        <v>103</v>
      </c>
      <c r="BU61">
        <v>0</v>
      </c>
      <c r="BV61">
        <v>69.22</v>
      </c>
      <c r="BW61">
        <v>0</v>
      </c>
      <c r="BX61">
        <v>0</v>
      </c>
      <c r="BY61">
        <v>0</v>
      </c>
      <c r="BZ61">
        <v>0</v>
      </c>
      <c r="CA61">
        <v>69.22</v>
      </c>
      <c r="CF61" s="2"/>
      <c r="CH61" s="2"/>
      <c r="CJ61">
        <v>5.3142019950127802E+17</v>
      </c>
      <c r="CK61" t="s">
        <v>165</v>
      </c>
      <c r="CL61">
        <v>43716.38113425926</v>
      </c>
      <c r="CO61" t="s">
        <v>11</v>
      </c>
      <c r="CP61">
        <v>500</v>
      </c>
      <c r="CQ61" t="s">
        <v>11</v>
      </c>
      <c r="CR61">
        <v>500</v>
      </c>
      <c r="CV61" t="s">
        <v>190</v>
      </c>
      <c r="CW61" t="s">
        <v>12</v>
      </c>
      <c r="CX61" t="s">
        <v>12</v>
      </c>
      <c r="CY61" t="s">
        <v>12</v>
      </c>
      <c r="DA61" t="s">
        <v>104</v>
      </c>
      <c r="DD61" t="s">
        <v>93</v>
      </c>
      <c r="DQ61" t="s">
        <v>94</v>
      </c>
      <c r="DR61" t="s">
        <v>94</v>
      </c>
      <c r="DS61" t="s">
        <v>94</v>
      </c>
      <c r="DT61" t="s">
        <v>94</v>
      </c>
      <c r="DU61" t="s">
        <v>94</v>
      </c>
      <c r="DV61" t="s">
        <v>94</v>
      </c>
      <c r="DW61" t="s">
        <v>94</v>
      </c>
      <c r="DX61" s="2" t="s">
        <v>94</v>
      </c>
      <c r="DY61" t="s">
        <v>94</v>
      </c>
      <c r="DZ61" t="s">
        <v>94</v>
      </c>
      <c r="EA61" t="s">
        <v>94</v>
      </c>
      <c r="EB61" t="s">
        <v>94</v>
      </c>
      <c r="EC61" t="s">
        <v>94</v>
      </c>
      <c r="ED61" t="s">
        <v>94</v>
      </c>
      <c r="EE61" t="s">
        <v>89</v>
      </c>
      <c r="EF61" t="s">
        <v>425</v>
      </c>
      <c r="EG61" t="s">
        <v>105</v>
      </c>
      <c r="EJ61" t="s">
        <v>526</v>
      </c>
      <c r="EK61" t="b">
        <v>0</v>
      </c>
      <c r="EL61" t="b">
        <v>0</v>
      </c>
      <c r="EM61" t="b">
        <v>0</v>
      </c>
      <c r="EO61" t="s">
        <v>177</v>
      </c>
      <c r="EP61" t="s">
        <v>837</v>
      </c>
    </row>
    <row r="62" spans="3:146" ht="15">
      <c r="C62" s="82">
        <v>222</v>
      </c>
      <c r="D62" s="5"/>
      <c r="E62" s="4">
        <v>1</v>
      </c>
      <c r="F62" s="5">
        <v>1.5</v>
      </c>
      <c r="G62" s="5" t="s">
        <v>857</v>
      </c>
      <c r="H62" s="4" t="s">
        <v>858</v>
      </c>
      <c r="I62" s="81" t="s">
        <v>164</v>
      </c>
      <c r="J62" s="21"/>
      <c r="K62" s="22" t="s">
        <v>838</v>
      </c>
      <c r="L62" s="22">
        <v>1100272684971</v>
      </c>
      <c r="M62" s="23" t="s">
        <v>447</v>
      </c>
      <c r="N62" s="23">
        <v>43718</v>
      </c>
      <c r="O62" s="24" t="s">
        <v>102</v>
      </c>
      <c r="P62" s="24" t="s">
        <v>179</v>
      </c>
      <c r="Q62" s="24">
        <v>1</v>
      </c>
      <c r="R62" s="24">
        <v>1.5</v>
      </c>
      <c r="S62" t="s">
        <v>528</v>
      </c>
      <c r="T62">
        <v>23</v>
      </c>
      <c r="U62" s="2" t="s">
        <v>163</v>
      </c>
      <c r="V62">
        <v>43718.791400462964</v>
      </c>
      <c r="W62" s="2" t="s">
        <v>444</v>
      </c>
      <c r="X62">
        <v>43720.479791666665</v>
      </c>
      <c r="AB62" t="s">
        <v>9</v>
      </c>
      <c r="AC62" t="s">
        <v>839</v>
      </c>
      <c r="AD62" t="s">
        <v>209</v>
      </c>
      <c r="AE62">
        <v>1043</v>
      </c>
      <c r="AF62">
        <v>1043</v>
      </c>
      <c r="AG62" t="s">
        <v>183</v>
      </c>
      <c r="AH62" t="s">
        <v>840</v>
      </c>
      <c r="AI62" t="s">
        <v>840</v>
      </c>
      <c r="AJ62" t="s">
        <v>841</v>
      </c>
      <c r="AK62" t="s">
        <v>842</v>
      </c>
      <c r="AL62" t="s">
        <v>843</v>
      </c>
      <c r="AM62" t="s">
        <v>844</v>
      </c>
      <c r="AO62" t="s">
        <v>845</v>
      </c>
      <c r="AP62" t="s">
        <v>846</v>
      </c>
      <c r="AR62" t="s">
        <v>847</v>
      </c>
      <c r="AS62">
        <v>35625584810</v>
      </c>
      <c r="AT62" t="s">
        <v>848</v>
      </c>
      <c r="AU62" t="s">
        <v>10</v>
      </c>
      <c r="AV62" t="s">
        <v>849</v>
      </c>
      <c r="AW62" t="s">
        <v>850</v>
      </c>
      <c r="AX62" t="s">
        <v>851</v>
      </c>
      <c r="AY62" s="2" t="s">
        <v>852</v>
      </c>
      <c r="AZ62" t="s">
        <v>853</v>
      </c>
      <c r="BA62" t="s">
        <v>299</v>
      </c>
      <c r="BB62" t="s">
        <v>300</v>
      </c>
      <c r="BC62" t="s">
        <v>188</v>
      </c>
      <c r="BD62">
        <v>511400</v>
      </c>
      <c r="BE62">
        <v>8615902093110</v>
      </c>
      <c r="BF62" t="s">
        <v>854</v>
      </c>
      <c r="BG62" t="b">
        <v>0</v>
      </c>
      <c r="BH62" s="6" t="s">
        <v>855</v>
      </c>
      <c r="BI62" t="s">
        <v>856</v>
      </c>
      <c r="BJ62">
        <v>4453163191</v>
      </c>
      <c r="BK62" t="s">
        <v>162</v>
      </c>
      <c r="BL62" t="s">
        <v>161</v>
      </c>
      <c r="BM62" s="2"/>
      <c r="BO62" t="s">
        <v>89</v>
      </c>
      <c r="BP62">
        <v>70139900</v>
      </c>
      <c r="BR62" t="s">
        <v>189</v>
      </c>
      <c r="BS62" t="s">
        <v>103</v>
      </c>
      <c r="BU62">
        <v>0</v>
      </c>
      <c r="BV62">
        <v>0</v>
      </c>
      <c r="BW62">
        <v>0</v>
      </c>
      <c r="BX62">
        <v>0</v>
      </c>
      <c r="BY62">
        <v>0</v>
      </c>
      <c r="BZ62">
        <v>0</v>
      </c>
      <c r="CA62">
        <v>0</v>
      </c>
      <c r="CF62" s="2"/>
      <c r="CH62" s="2"/>
      <c r="CJ62">
        <v>5.3142019950128499E+17</v>
      </c>
      <c r="CK62" t="s">
        <v>500</v>
      </c>
      <c r="CL62">
        <v>43718.371701388889</v>
      </c>
      <c r="CO62" t="s">
        <v>11</v>
      </c>
      <c r="CP62">
        <v>181.23</v>
      </c>
      <c r="CQ62" t="s">
        <v>11</v>
      </c>
      <c r="CR62">
        <v>181.23</v>
      </c>
      <c r="CV62" t="s">
        <v>190</v>
      </c>
      <c r="CW62" t="s">
        <v>12</v>
      </c>
      <c r="CX62" t="s">
        <v>12</v>
      </c>
      <c r="CY62" t="s">
        <v>12</v>
      </c>
      <c r="DA62" t="s">
        <v>104</v>
      </c>
      <c r="DD62" t="s">
        <v>93</v>
      </c>
      <c r="DQ62" t="s">
        <v>94</v>
      </c>
      <c r="DR62" t="s">
        <v>94</v>
      </c>
      <c r="DS62" t="s">
        <v>94</v>
      </c>
      <c r="DT62" t="s">
        <v>94</v>
      </c>
      <c r="DU62" t="s">
        <v>94</v>
      </c>
      <c r="DV62" t="s">
        <v>94</v>
      </c>
      <c r="DW62" t="s">
        <v>94</v>
      </c>
      <c r="DX62" s="2" t="s">
        <v>94</v>
      </c>
      <c r="DY62" t="s">
        <v>94</v>
      </c>
      <c r="DZ62" t="s">
        <v>94</v>
      </c>
      <c r="EA62" t="s">
        <v>94</v>
      </c>
      <c r="EB62" t="s">
        <v>94</v>
      </c>
      <c r="EC62" t="s">
        <v>94</v>
      </c>
      <c r="ED62" t="s">
        <v>94</v>
      </c>
      <c r="EE62" t="s">
        <v>89</v>
      </c>
      <c r="EF62" t="s">
        <v>94</v>
      </c>
      <c r="EG62" t="s">
        <v>543</v>
      </c>
      <c r="EJ62" t="s">
        <v>166</v>
      </c>
      <c r="EK62" t="b">
        <v>0</v>
      </c>
      <c r="EL62" t="b">
        <v>0</v>
      </c>
      <c r="EM62" t="b">
        <v>0</v>
      </c>
      <c r="EO62" t="s">
        <v>177</v>
      </c>
      <c r="EP62" t="s">
        <v>859</v>
      </c>
    </row>
    <row r="63" spans="3:146" ht="15">
      <c r="C63" s="82">
        <v>222</v>
      </c>
      <c r="D63" s="5"/>
      <c r="E63" s="4">
        <v>1</v>
      </c>
      <c r="F63" s="5">
        <v>4.5999999999999996</v>
      </c>
      <c r="G63" s="5" t="s">
        <v>685</v>
      </c>
      <c r="H63" s="4" t="s">
        <v>878</v>
      </c>
      <c r="I63" s="81" t="s">
        <v>466</v>
      </c>
      <c r="J63" s="21"/>
      <c r="K63" s="22" t="s">
        <v>860</v>
      </c>
      <c r="L63" s="22">
        <v>1100271750325</v>
      </c>
      <c r="M63" s="23" t="s">
        <v>466</v>
      </c>
      <c r="N63" s="23">
        <v>43713</v>
      </c>
      <c r="O63" s="24" t="s">
        <v>102</v>
      </c>
      <c r="P63" s="24" t="s">
        <v>181</v>
      </c>
      <c r="Q63" s="24">
        <v>1</v>
      </c>
      <c r="R63" s="24">
        <v>4.5999999999999996</v>
      </c>
      <c r="S63" t="s">
        <v>11</v>
      </c>
      <c r="T63">
        <v>500</v>
      </c>
      <c r="U63" s="2" t="s">
        <v>163</v>
      </c>
      <c r="V63">
        <v>43713.81212962963</v>
      </c>
      <c r="W63" s="2" t="s">
        <v>444</v>
      </c>
      <c r="X63">
        <v>43727.418182870373</v>
      </c>
      <c r="AB63" t="s">
        <v>9</v>
      </c>
      <c r="AC63" t="s">
        <v>861</v>
      </c>
      <c r="AD63" t="s">
        <v>182</v>
      </c>
      <c r="AE63">
        <v>100605</v>
      </c>
      <c r="AF63">
        <v>100605</v>
      </c>
      <c r="AG63" t="s">
        <v>183</v>
      </c>
      <c r="AH63" t="s">
        <v>862</v>
      </c>
      <c r="AI63" t="s">
        <v>862</v>
      </c>
      <c r="AJ63" t="s">
        <v>863</v>
      </c>
      <c r="AK63" t="s">
        <v>864</v>
      </c>
      <c r="AL63" t="s">
        <v>865</v>
      </c>
      <c r="AM63" t="s">
        <v>866</v>
      </c>
      <c r="AN63" t="s">
        <v>867</v>
      </c>
      <c r="AO63" t="s">
        <v>868</v>
      </c>
      <c r="AP63" t="s">
        <v>869</v>
      </c>
      <c r="AQ63" t="s">
        <v>868</v>
      </c>
      <c r="AR63">
        <v>600323</v>
      </c>
      <c r="AS63">
        <v>-40743114113</v>
      </c>
      <c r="AT63" t="s">
        <v>870</v>
      </c>
      <c r="AU63" t="s">
        <v>10</v>
      </c>
      <c r="AV63" t="s">
        <v>871</v>
      </c>
      <c r="AW63" t="s">
        <v>871</v>
      </c>
      <c r="AX63" t="s">
        <v>872</v>
      </c>
      <c r="AY63" s="2" t="s">
        <v>873</v>
      </c>
      <c r="AZ63" t="s">
        <v>874</v>
      </c>
      <c r="BA63" t="s">
        <v>186</v>
      </c>
      <c r="BB63" t="s">
        <v>187</v>
      </c>
      <c r="BC63" t="s">
        <v>188</v>
      </c>
      <c r="BD63">
        <v>518100</v>
      </c>
      <c r="BE63">
        <v>-8613407237872</v>
      </c>
      <c r="BF63" t="s">
        <v>875</v>
      </c>
      <c r="BG63" t="b">
        <v>0</v>
      </c>
      <c r="BH63" s="6" t="s">
        <v>876</v>
      </c>
      <c r="BI63" t="s">
        <v>877</v>
      </c>
      <c r="BJ63">
        <v>4453163191</v>
      </c>
      <c r="BK63" t="s">
        <v>162</v>
      </c>
      <c r="BL63" t="s">
        <v>161</v>
      </c>
      <c r="BM63" s="2"/>
      <c r="BO63" t="s">
        <v>89</v>
      </c>
      <c r="BP63">
        <v>85176299</v>
      </c>
      <c r="BR63" t="s">
        <v>189</v>
      </c>
      <c r="BS63" t="s">
        <v>103</v>
      </c>
      <c r="BU63">
        <v>0</v>
      </c>
      <c r="BV63">
        <v>65</v>
      </c>
      <c r="BW63">
        <v>0</v>
      </c>
      <c r="BX63">
        <v>0</v>
      </c>
      <c r="BY63">
        <v>0</v>
      </c>
      <c r="BZ63">
        <v>0</v>
      </c>
      <c r="CA63">
        <v>65</v>
      </c>
      <c r="CF63" s="2"/>
      <c r="CH63" s="2"/>
      <c r="CJ63">
        <v>5.3142019950125901E+17</v>
      </c>
      <c r="CK63" t="s">
        <v>500</v>
      </c>
      <c r="CL63">
        <v>43713.380624999998</v>
      </c>
      <c r="CO63" t="s">
        <v>11</v>
      </c>
      <c r="CP63">
        <v>500</v>
      </c>
      <c r="CQ63" t="s">
        <v>11</v>
      </c>
      <c r="CR63">
        <v>500</v>
      </c>
      <c r="CV63" t="s">
        <v>190</v>
      </c>
      <c r="CW63" t="s">
        <v>12</v>
      </c>
      <c r="CX63" t="s">
        <v>12</v>
      </c>
      <c r="CY63" t="s">
        <v>12</v>
      </c>
      <c r="DA63" t="s">
        <v>104</v>
      </c>
      <c r="DD63" t="s">
        <v>93</v>
      </c>
      <c r="DQ63" t="s">
        <v>94</v>
      </c>
      <c r="DR63" t="s">
        <v>94</v>
      </c>
      <c r="DS63" t="s">
        <v>94</v>
      </c>
      <c r="DT63" t="s">
        <v>94</v>
      </c>
      <c r="DU63" t="s">
        <v>94</v>
      </c>
      <c r="DV63" t="s">
        <v>94</v>
      </c>
      <c r="DW63" t="s">
        <v>94</v>
      </c>
      <c r="DX63" s="2" t="s">
        <v>94</v>
      </c>
      <c r="DY63" t="s">
        <v>94</v>
      </c>
      <c r="DZ63" t="s">
        <v>94</v>
      </c>
      <c r="EA63" t="s">
        <v>94</v>
      </c>
      <c r="EB63" t="s">
        <v>94</v>
      </c>
      <c r="EC63" t="s">
        <v>94</v>
      </c>
      <c r="ED63" t="s">
        <v>94</v>
      </c>
      <c r="EE63" t="s">
        <v>89</v>
      </c>
      <c r="EF63" t="s">
        <v>425</v>
      </c>
      <c r="EG63" t="s">
        <v>105</v>
      </c>
      <c r="EJ63" t="s">
        <v>166</v>
      </c>
      <c r="EK63" t="b">
        <v>0</v>
      </c>
      <c r="EL63" t="b">
        <v>0</v>
      </c>
      <c r="EM63" t="b">
        <v>0</v>
      </c>
      <c r="EO63" t="s">
        <v>177</v>
      </c>
      <c r="EP63" t="s">
        <v>879</v>
      </c>
    </row>
    <row r="64" spans="3:146" ht="15">
      <c r="C64" s="82">
        <v>222</v>
      </c>
      <c r="D64" s="5"/>
      <c r="E64" s="4">
        <v>1</v>
      </c>
      <c r="F64" s="5">
        <v>4.5999999999999996</v>
      </c>
      <c r="G64" s="5" t="s">
        <v>685</v>
      </c>
      <c r="H64" s="4" t="s">
        <v>878</v>
      </c>
      <c r="I64" s="81" t="s">
        <v>466</v>
      </c>
      <c r="J64" s="21"/>
      <c r="K64" s="22" t="s">
        <v>860</v>
      </c>
      <c r="L64" s="22">
        <v>1100271750325</v>
      </c>
      <c r="M64" s="23" t="s">
        <v>466</v>
      </c>
      <c r="N64" s="23">
        <v>43713</v>
      </c>
      <c r="O64" s="24" t="s">
        <v>102</v>
      </c>
      <c r="P64" s="24" t="s">
        <v>181</v>
      </c>
      <c r="Q64" s="24">
        <v>1</v>
      </c>
      <c r="R64" s="24">
        <v>4.5999999999999996</v>
      </c>
      <c r="S64" t="s">
        <v>11</v>
      </c>
      <c r="T64">
        <v>500</v>
      </c>
      <c r="U64" s="2" t="s">
        <v>163</v>
      </c>
      <c r="V64">
        <v>43713.81212962963</v>
      </c>
      <c r="W64" s="2" t="s">
        <v>444</v>
      </c>
      <c r="X64">
        <v>43727.418182870373</v>
      </c>
      <c r="AB64" t="s">
        <v>9</v>
      </c>
      <c r="AC64" t="s">
        <v>861</v>
      </c>
      <c r="AD64" t="s">
        <v>182</v>
      </c>
      <c r="AE64">
        <v>100605</v>
      </c>
      <c r="AF64">
        <v>100605</v>
      </c>
      <c r="AG64" t="s">
        <v>183</v>
      </c>
      <c r="AH64" t="s">
        <v>862</v>
      </c>
      <c r="AI64" t="s">
        <v>862</v>
      </c>
      <c r="AJ64" t="s">
        <v>863</v>
      </c>
      <c r="AK64" t="s">
        <v>864</v>
      </c>
      <c r="AL64" t="s">
        <v>865</v>
      </c>
      <c r="AM64" t="s">
        <v>866</v>
      </c>
      <c r="AN64" t="s">
        <v>867</v>
      </c>
      <c r="AO64" t="s">
        <v>868</v>
      </c>
      <c r="AP64" t="s">
        <v>869</v>
      </c>
      <c r="AQ64" t="s">
        <v>868</v>
      </c>
      <c r="AR64">
        <v>600323</v>
      </c>
      <c r="AS64">
        <v>-40743114113</v>
      </c>
      <c r="AT64" t="s">
        <v>870</v>
      </c>
      <c r="AU64" t="s">
        <v>10</v>
      </c>
      <c r="AV64" t="s">
        <v>871</v>
      </c>
      <c r="AW64" t="s">
        <v>871</v>
      </c>
      <c r="AX64" t="s">
        <v>872</v>
      </c>
      <c r="AY64" s="2" t="s">
        <v>873</v>
      </c>
      <c r="AZ64" t="s">
        <v>874</v>
      </c>
      <c r="BA64" t="s">
        <v>186</v>
      </c>
      <c r="BB64" t="s">
        <v>187</v>
      </c>
      <c r="BC64" t="s">
        <v>188</v>
      </c>
      <c r="BD64">
        <v>518100</v>
      </c>
      <c r="BE64">
        <v>-8613407237872</v>
      </c>
      <c r="BF64" t="s">
        <v>875</v>
      </c>
      <c r="BG64" t="b">
        <v>0</v>
      </c>
      <c r="BH64" s="6" t="s">
        <v>876</v>
      </c>
      <c r="BI64" t="s">
        <v>877</v>
      </c>
      <c r="BJ64">
        <v>4453163191</v>
      </c>
      <c r="BK64" t="s">
        <v>162</v>
      </c>
      <c r="BL64" t="s">
        <v>161</v>
      </c>
      <c r="BM64" s="2"/>
      <c r="BO64" t="s">
        <v>89</v>
      </c>
      <c r="BP64">
        <v>85176299</v>
      </c>
      <c r="BR64" t="s">
        <v>189</v>
      </c>
      <c r="BS64" t="s">
        <v>103</v>
      </c>
      <c r="BU64">
        <v>0</v>
      </c>
      <c r="BV64">
        <v>65</v>
      </c>
      <c r="BW64">
        <v>0</v>
      </c>
      <c r="BX64">
        <v>0</v>
      </c>
      <c r="BY64">
        <v>0</v>
      </c>
      <c r="BZ64">
        <v>0</v>
      </c>
      <c r="CA64">
        <v>65</v>
      </c>
      <c r="CF64" s="2"/>
      <c r="CH64" s="2"/>
      <c r="CJ64">
        <v>5.3142019950125901E+17</v>
      </c>
      <c r="CK64" t="s">
        <v>500</v>
      </c>
      <c r="CL64">
        <v>43713.380624999998</v>
      </c>
      <c r="CO64" t="s">
        <v>11</v>
      </c>
      <c r="CP64">
        <v>500</v>
      </c>
      <c r="CQ64" t="s">
        <v>11</v>
      </c>
      <c r="CR64">
        <v>500</v>
      </c>
      <c r="CV64" t="s">
        <v>190</v>
      </c>
      <c r="CW64" t="s">
        <v>12</v>
      </c>
      <c r="CX64" t="s">
        <v>12</v>
      </c>
      <c r="CY64" t="s">
        <v>12</v>
      </c>
      <c r="DA64" t="s">
        <v>104</v>
      </c>
      <c r="DD64" t="s">
        <v>93</v>
      </c>
      <c r="DQ64" t="s">
        <v>94</v>
      </c>
      <c r="DR64" t="s">
        <v>94</v>
      </c>
      <c r="DS64" t="s">
        <v>94</v>
      </c>
      <c r="DT64" t="s">
        <v>94</v>
      </c>
      <c r="DU64" t="s">
        <v>94</v>
      </c>
      <c r="DV64" t="s">
        <v>94</v>
      </c>
      <c r="DW64" t="s">
        <v>94</v>
      </c>
      <c r="DX64" s="2" t="s">
        <v>94</v>
      </c>
      <c r="DY64" t="s">
        <v>94</v>
      </c>
      <c r="DZ64" t="s">
        <v>94</v>
      </c>
      <c r="EA64" t="s">
        <v>94</v>
      </c>
      <c r="EB64" t="s">
        <v>94</v>
      </c>
      <c r="EC64" t="s">
        <v>94</v>
      </c>
      <c r="ED64" t="s">
        <v>94</v>
      </c>
      <c r="EE64" t="s">
        <v>89</v>
      </c>
      <c r="EF64" t="s">
        <v>425</v>
      </c>
      <c r="EG64" t="s">
        <v>105</v>
      </c>
      <c r="EJ64" t="s">
        <v>166</v>
      </c>
      <c r="EK64" t="b">
        <v>0</v>
      </c>
      <c r="EL64" t="b">
        <v>0</v>
      </c>
      <c r="EM64" t="b">
        <v>0</v>
      </c>
      <c r="EO64" t="s">
        <v>177</v>
      </c>
      <c r="EP64" t="s">
        <v>881</v>
      </c>
    </row>
    <row r="65" spans="3:146" ht="15">
      <c r="C65" s="82">
        <v>222</v>
      </c>
      <c r="D65" s="5"/>
      <c r="E65" s="4">
        <v>3</v>
      </c>
      <c r="F65" s="5">
        <v>14.8</v>
      </c>
      <c r="G65" s="5" t="s">
        <v>901</v>
      </c>
      <c r="H65" s="4" t="s">
        <v>902</v>
      </c>
      <c r="I65" s="81" t="s">
        <v>164</v>
      </c>
      <c r="J65" s="21"/>
      <c r="K65" s="22" t="s">
        <v>882</v>
      </c>
      <c r="L65" s="22">
        <v>1100271750367</v>
      </c>
      <c r="M65" s="23" t="s">
        <v>164</v>
      </c>
      <c r="N65" s="23">
        <v>43722</v>
      </c>
      <c r="O65" s="24" t="s">
        <v>102</v>
      </c>
      <c r="P65" s="24" t="s">
        <v>181</v>
      </c>
      <c r="Q65" s="24">
        <v>3</v>
      </c>
      <c r="R65" s="24">
        <v>14.8</v>
      </c>
      <c r="S65" t="s">
        <v>319</v>
      </c>
      <c r="T65">
        <v>300</v>
      </c>
      <c r="U65" s="2" t="s">
        <v>163</v>
      </c>
      <c r="V65">
        <v>43722.779861111114</v>
      </c>
      <c r="W65" s="2" t="s">
        <v>444</v>
      </c>
      <c r="X65">
        <v>43722.804849537039</v>
      </c>
      <c r="AB65" t="s">
        <v>9</v>
      </c>
      <c r="AC65" t="s">
        <v>883</v>
      </c>
      <c r="AD65" t="s">
        <v>756</v>
      </c>
      <c r="AE65" t="s">
        <v>183</v>
      </c>
      <c r="AF65" t="s">
        <v>183</v>
      </c>
      <c r="AG65">
        <v>3054875</v>
      </c>
      <c r="AH65" t="s">
        <v>884</v>
      </c>
      <c r="AI65" t="s">
        <v>884</v>
      </c>
      <c r="AJ65" t="s">
        <v>776</v>
      </c>
      <c r="AK65" t="s">
        <v>777</v>
      </c>
      <c r="AL65" t="s">
        <v>885</v>
      </c>
      <c r="AM65" t="s">
        <v>886</v>
      </c>
      <c r="AO65" t="s">
        <v>887</v>
      </c>
      <c r="AP65" t="s">
        <v>888</v>
      </c>
      <c r="AQ65" t="s">
        <v>889</v>
      </c>
      <c r="AR65">
        <v>9113</v>
      </c>
      <c r="AS65" t="s">
        <v>890</v>
      </c>
      <c r="AT65" t="s">
        <v>891</v>
      </c>
      <c r="AU65" t="s">
        <v>10</v>
      </c>
      <c r="AV65" t="s">
        <v>892</v>
      </c>
      <c r="AW65" t="s">
        <v>892</v>
      </c>
      <c r="AX65" t="s">
        <v>893</v>
      </c>
      <c r="AY65" s="2" t="s">
        <v>894</v>
      </c>
      <c r="BA65" t="s">
        <v>895</v>
      </c>
      <c r="BB65" t="s">
        <v>766</v>
      </c>
      <c r="BC65" t="s">
        <v>765</v>
      </c>
      <c r="BD65">
        <v>400030</v>
      </c>
      <c r="BE65" t="s">
        <v>896</v>
      </c>
      <c r="BF65" t="s">
        <v>897</v>
      </c>
      <c r="BG65" t="b">
        <v>0</v>
      </c>
      <c r="BH65" s="6" t="s">
        <v>898</v>
      </c>
      <c r="BI65" t="s">
        <v>899</v>
      </c>
      <c r="BJ65">
        <v>4453163191</v>
      </c>
      <c r="BK65" t="s">
        <v>162</v>
      </c>
      <c r="BL65" t="s">
        <v>161</v>
      </c>
      <c r="BM65" s="2"/>
      <c r="BN65" t="s">
        <v>900</v>
      </c>
      <c r="BO65" t="s">
        <v>89</v>
      </c>
      <c r="BP65">
        <v>90051000</v>
      </c>
      <c r="BR65" t="s">
        <v>189</v>
      </c>
      <c r="BS65" t="s">
        <v>103</v>
      </c>
      <c r="BU65">
        <v>210.94</v>
      </c>
      <c r="BV65">
        <v>301.64</v>
      </c>
      <c r="BW65">
        <v>0</v>
      </c>
      <c r="BX65">
        <v>0</v>
      </c>
      <c r="BY65">
        <v>0</v>
      </c>
      <c r="BZ65">
        <v>0</v>
      </c>
      <c r="CA65">
        <v>512.58000000000004</v>
      </c>
      <c r="CF65" s="2"/>
      <c r="CH65" s="2"/>
      <c r="CJ65">
        <v>5.3142019950131002E+17</v>
      </c>
      <c r="CK65" t="s">
        <v>500</v>
      </c>
      <c r="CL65">
        <v>43722.37568287037</v>
      </c>
      <c r="CO65" t="s">
        <v>11</v>
      </c>
      <c r="CP65">
        <v>2109.36</v>
      </c>
      <c r="CQ65" t="s">
        <v>11</v>
      </c>
      <c r="CR65">
        <v>2109.36</v>
      </c>
      <c r="CV65" t="s">
        <v>525</v>
      </c>
      <c r="CW65" t="s">
        <v>12</v>
      </c>
      <c r="CX65" t="s">
        <v>12</v>
      </c>
      <c r="CY65" t="s">
        <v>12</v>
      </c>
      <c r="DA65" t="s">
        <v>104</v>
      </c>
      <c r="DD65" t="s">
        <v>93</v>
      </c>
      <c r="DQ65" t="s">
        <v>94</v>
      </c>
      <c r="DR65" t="s">
        <v>94</v>
      </c>
      <c r="DS65" t="s">
        <v>94</v>
      </c>
      <c r="DT65" t="s">
        <v>94</v>
      </c>
      <c r="DU65" t="s">
        <v>94</v>
      </c>
      <c r="DV65" t="s">
        <v>94</v>
      </c>
      <c r="DW65" t="s">
        <v>94</v>
      </c>
      <c r="DX65" s="2" t="s">
        <v>94</v>
      </c>
      <c r="DY65" t="s">
        <v>94</v>
      </c>
      <c r="DZ65" t="s">
        <v>94</v>
      </c>
      <c r="EA65" t="s">
        <v>94</v>
      </c>
      <c r="EB65" t="s">
        <v>94</v>
      </c>
      <c r="EC65" t="s">
        <v>94</v>
      </c>
      <c r="ED65" t="s">
        <v>94</v>
      </c>
      <c r="EE65" t="s">
        <v>89</v>
      </c>
      <c r="EF65" t="s">
        <v>425</v>
      </c>
      <c r="EG65" t="s">
        <v>105</v>
      </c>
      <c r="EJ65" t="s">
        <v>166</v>
      </c>
      <c r="EK65" t="b">
        <v>0</v>
      </c>
      <c r="EL65" t="b">
        <v>0</v>
      </c>
      <c r="EM65" t="b">
        <v>0</v>
      </c>
      <c r="EO65" t="s">
        <v>177</v>
      </c>
      <c r="EP65" t="s">
        <v>903</v>
      </c>
    </row>
    <row r="66" spans="3:146" ht="15">
      <c r="C66" s="82">
        <v>222</v>
      </c>
      <c r="D66" s="5"/>
      <c r="E66" s="4">
        <v>3</v>
      </c>
      <c r="F66" s="5">
        <v>26.34</v>
      </c>
      <c r="G66" s="5" t="s">
        <v>959</v>
      </c>
      <c r="H66" s="4" t="s">
        <v>960</v>
      </c>
      <c r="I66" s="81" t="s">
        <v>920</v>
      </c>
      <c r="J66" s="21"/>
      <c r="K66" s="22" t="s">
        <v>904</v>
      </c>
      <c r="L66" s="22">
        <v>1100271750023</v>
      </c>
      <c r="M66" s="23" t="s">
        <v>905</v>
      </c>
      <c r="N66" s="23">
        <v>43728</v>
      </c>
      <c r="O66" s="24" t="s">
        <v>102</v>
      </c>
      <c r="P66" s="24" t="s">
        <v>181</v>
      </c>
      <c r="Q66" s="24">
        <v>3</v>
      </c>
      <c r="R66" s="24">
        <v>26.34</v>
      </c>
      <c r="S66" t="s">
        <v>319</v>
      </c>
      <c r="T66">
        <v>699</v>
      </c>
      <c r="U66" s="2" t="s">
        <v>163</v>
      </c>
      <c r="V66">
        <v>43728.840069444443</v>
      </c>
      <c r="W66" s="2" t="s">
        <v>444</v>
      </c>
      <c r="X66">
        <v>43728.856388888889</v>
      </c>
      <c r="AB66" t="s">
        <v>9</v>
      </c>
      <c r="AC66" t="s">
        <v>906</v>
      </c>
      <c r="AD66" t="s">
        <v>182</v>
      </c>
      <c r="AE66">
        <v>73455</v>
      </c>
      <c r="AF66">
        <v>73455</v>
      </c>
      <c r="AG66" t="s">
        <v>183</v>
      </c>
      <c r="AH66" t="s">
        <v>907</v>
      </c>
      <c r="AI66" t="s">
        <v>907</v>
      </c>
      <c r="AJ66" t="s">
        <v>863</v>
      </c>
      <c r="AK66" t="s">
        <v>864</v>
      </c>
      <c r="AL66" t="s">
        <v>908</v>
      </c>
      <c r="AN66" t="s">
        <v>909</v>
      </c>
      <c r="AO66" t="s">
        <v>910</v>
      </c>
      <c r="AP66" t="s">
        <v>911</v>
      </c>
      <c r="AQ66" t="s">
        <v>912</v>
      </c>
      <c r="AR66">
        <v>300057</v>
      </c>
      <c r="AS66">
        <v>-40744576569</v>
      </c>
      <c r="AT66" t="s">
        <v>913</v>
      </c>
      <c r="AU66" t="s">
        <v>10</v>
      </c>
      <c r="AV66" t="s">
        <v>914</v>
      </c>
      <c r="AW66" t="s">
        <v>914</v>
      </c>
      <c r="AX66" t="s">
        <v>915</v>
      </c>
      <c r="AY66" s="2" t="s">
        <v>916</v>
      </c>
      <c r="AZ66" t="s">
        <v>459</v>
      </c>
      <c r="BA66" t="s">
        <v>186</v>
      </c>
      <c r="BB66" t="s">
        <v>187</v>
      </c>
      <c r="BC66" t="s">
        <v>188</v>
      </c>
      <c r="BD66">
        <v>518105</v>
      </c>
      <c r="BE66">
        <v>-8618688960934</v>
      </c>
      <c r="BF66" t="s">
        <v>917</v>
      </c>
      <c r="BG66" t="b">
        <v>0</v>
      </c>
      <c r="BH66" s="6" t="s">
        <v>918</v>
      </c>
      <c r="BI66" t="s">
        <v>919</v>
      </c>
      <c r="BJ66">
        <v>4453163191</v>
      </c>
      <c r="BK66" t="s">
        <v>162</v>
      </c>
      <c r="BL66" t="s">
        <v>161</v>
      </c>
      <c r="BM66" s="2"/>
      <c r="BO66" t="s">
        <v>89</v>
      </c>
      <c r="BP66">
        <v>8504401990</v>
      </c>
      <c r="BR66" t="s">
        <v>189</v>
      </c>
      <c r="BS66" t="s">
        <v>103</v>
      </c>
      <c r="BU66">
        <v>0</v>
      </c>
      <c r="BV66">
        <v>638.92999999999995</v>
      </c>
      <c r="BW66">
        <v>0</v>
      </c>
      <c r="BX66">
        <v>0</v>
      </c>
      <c r="BY66">
        <v>0</v>
      </c>
      <c r="BZ66">
        <v>0</v>
      </c>
      <c r="CA66">
        <v>638.92999999999995</v>
      </c>
      <c r="CF66" s="2"/>
      <c r="CH66" s="2"/>
      <c r="CJ66">
        <v>5.3142019950134598E+17</v>
      </c>
      <c r="CK66" t="s">
        <v>500</v>
      </c>
      <c r="CL66">
        <v>43728.564375000002</v>
      </c>
      <c r="CO66" t="s">
        <v>11</v>
      </c>
      <c r="CP66">
        <v>4914.8100000000004</v>
      </c>
      <c r="CQ66" t="s">
        <v>11</v>
      </c>
      <c r="CR66">
        <v>4914.8100000000004</v>
      </c>
      <c r="CV66" t="s">
        <v>190</v>
      </c>
      <c r="CW66" t="s">
        <v>12</v>
      </c>
      <c r="CX66" t="s">
        <v>12</v>
      </c>
      <c r="CY66" t="s">
        <v>12</v>
      </c>
      <c r="DA66" t="s">
        <v>104</v>
      </c>
      <c r="DD66" t="s">
        <v>93</v>
      </c>
      <c r="DQ66" t="s">
        <v>94</v>
      </c>
      <c r="DR66" t="s">
        <v>94</v>
      </c>
      <c r="DS66" t="s">
        <v>94</v>
      </c>
      <c r="DT66" t="s">
        <v>94</v>
      </c>
      <c r="DU66" t="s">
        <v>94</v>
      </c>
      <c r="DV66" t="s">
        <v>94</v>
      </c>
      <c r="DW66" t="s">
        <v>94</v>
      </c>
      <c r="DX66" s="2" t="s">
        <v>94</v>
      </c>
      <c r="DY66" t="s">
        <v>94</v>
      </c>
      <c r="DZ66" t="s">
        <v>94</v>
      </c>
      <c r="EA66" t="s">
        <v>94</v>
      </c>
      <c r="EB66" t="s">
        <v>94</v>
      </c>
      <c r="EC66" t="s">
        <v>94</v>
      </c>
      <c r="ED66" t="s">
        <v>94</v>
      </c>
      <c r="EE66" t="s">
        <v>89</v>
      </c>
      <c r="EF66" t="s">
        <v>425</v>
      </c>
      <c r="EG66" t="s">
        <v>105</v>
      </c>
      <c r="EJ66" t="s">
        <v>166</v>
      </c>
      <c r="EK66" t="b">
        <v>0</v>
      </c>
      <c r="EL66" t="b">
        <v>0</v>
      </c>
      <c r="EM66" t="b">
        <v>0</v>
      </c>
      <c r="EO66" t="s">
        <v>177</v>
      </c>
      <c r="EP66" t="s">
        <v>961</v>
      </c>
    </row>
    <row r="67" spans="3:146" ht="15">
      <c r="C67" s="82">
        <v>12313</v>
      </c>
      <c r="D67" s="5"/>
      <c r="E67" s="4">
        <v>1</v>
      </c>
      <c r="F67" s="5">
        <v>26</v>
      </c>
      <c r="G67" s="5" t="s">
        <v>959</v>
      </c>
      <c r="H67" s="4" t="s">
        <v>1020</v>
      </c>
      <c r="I67" s="81" t="s">
        <v>920</v>
      </c>
      <c r="J67" s="21"/>
      <c r="K67" s="22" t="s">
        <v>977</v>
      </c>
      <c r="L67" s="22">
        <v>1100271750023</v>
      </c>
      <c r="M67" s="23" t="s">
        <v>905</v>
      </c>
      <c r="N67" s="23">
        <v>43728</v>
      </c>
      <c r="O67" s="24" t="s">
        <v>102</v>
      </c>
      <c r="P67" s="24" t="s">
        <v>181</v>
      </c>
      <c r="Q67" s="24">
        <v>1</v>
      </c>
      <c r="R67" s="24">
        <v>26</v>
      </c>
      <c r="S67" t="s">
        <v>528</v>
      </c>
      <c r="T67">
        <v>306.88</v>
      </c>
      <c r="U67" s="2" t="s">
        <v>163</v>
      </c>
      <c r="V67">
        <v>43728.84002314815</v>
      </c>
      <c r="W67" s="2" t="s">
        <v>444</v>
      </c>
      <c r="X67">
        <v>43728.840243055558</v>
      </c>
      <c r="AB67" t="s">
        <v>9</v>
      </c>
      <c r="AC67" t="s">
        <v>883</v>
      </c>
      <c r="AD67" t="s">
        <v>209</v>
      </c>
      <c r="AE67" t="s">
        <v>1021</v>
      </c>
      <c r="AF67" t="s">
        <v>1021</v>
      </c>
      <c r="AG67" t="s">
        <v>183</v>
      </c>
      <c r="AH67" t="s">
        <v>978</v>
      </c>
      <c r="AI67" t="s">
        <v>978</v>
      </c>
      <c r="AJ67" t="s">
        <v>776</v>
      </c>
      <c r="AK67" t="s">
        <v>777</v>
      </c>
      <c r="AL67" t="s">
        <v>979</v>
      </c>
      <c r="AO67" t="s">
        <v>980</v>
      </c>
      <c r="AP67" t="s">
        <v>888</v>
      </c>
      <c r="AQ67" t="s">
        <v>889</v>
      </c>
      <c r="AR67">
        <v>1109</v>
      </c>
      <c r="AS67">
        <v>35179598428</v>
      </c>
      <c r="AT67" t="s">
        <v>981</v>
      </c>
      <c r="AU67" t="s">
        <v>10</v>
      </c>
      <c r="AV67" t="s">
        <v>982</v>
      </c>
      <c r="AW67" t="s">
        <v>982</v>
      </c>
      <c r="AX67" t="s">
        <v>983</v>
      </c>
      <c r="AY67" s="2" t="s">
        <v>984</v>
      </c>
      <c r="BA67" t="s">
        <v>985</v>
      </c>
      <c r="BB67" t="s">
        <v>657</v>
      </c>
      <c r="BC67" t="s">
        <v>188</v>
      </c>
      <c r="BD67">
        <v>526061</v>
      </c>
      <c r="BE67" t="s">
        <v>1022</v>
      </c>
      <c r="BF67" t="s">
        <v>986</v>
      </c>
      <c r="BG67" t="b">
        <v>0</v>
      </c>
      <c r="BH67" s="6" t="s">
        <v>987</v>
      </c>
      <c r="BI67" t="s">
        <v>988</v>
      </c>
      <c r="BJ67">
        <v>4453163191</v>
      </c>
      <c r="BK67" t="s">
        <v>162</v>
      </c>
      <c r="BL67" t="s">
        <v>161</v>
      </c>
      <c r="BM67" s="2"/>
      <c r="BO67" t="s">
        <v>89</v>
      </c>
      <c r="BP67">
        <v>9505100010</v>
      </c>
      <c r="BR67" t="s">
        <v>189</v>
      </c>
      <c r="BS67" t="s">
        <v>103</v>
      </c>
      <c r="BU67">
        <v>0</v>
      </c>
      <c r="BV67">
        <v>0</v>
      </c>
      <c r="BW67">
        <v>0</v>
      </c>
      <c r="BX67">
        <v>0</v>
      </c>
      <c r="BY67">
        <v>0</v>
      </c>
      <c r="BZ67">
        <v>0</v>
      </c>
      <c r="CA67">
        <v>0</v>
      </c>
      <c r="CF67" s="2"/>
      <c r="CH67" s="2"/>
      <c r="CJ67" t="s">
        <v>1023</v>
      </c>
      <c r="CK67" t="s">
        <v>500</v>
      </c>
      <c r="CL67">
        <v>43728.564687500002</v>
      </c>
      <c r="CO67" t="s">
        <v>11</v>
      </c>
      <c r="CP67">
        <v>2418.12</v>
      </c>
      <c r="CQ67" t="s">
        <v>11</v>
      </c>
      <c r="CR67">
        <v>2418.12</v>
      </c>
      <c r="CV67" t="s">
        <v>190</v>
      </c>
      <c r="CW67" t="s">
        <v>12</v>
      </c>
      <c r="CX67" t="s">
        <v>12</v>
      </c>
      <c r="CY67" t="s">
        <v>12</v>
      </c>
      <c r="DA67" t="s">
        <v>104</v>
      </c>
      <c r="DD67" t="s">
        <v>93</v>
      </c>
      <c r="DQ67" t="s">
        <v>94</v>
      </c>
      <c r="DR67" t="s">
        <v>94</v>
      </c>
      <c r="DS67" t="s">
        <v>94</v>
      </c>
      <c r="DT67" t="s">
        <v>94</v>
      </c>
      <c r="DU67" t="s">
        <v>94</v>
      </c>
      <c r="DV67" t="s">
        <v>94</v>
      </c>
      <c r="DW67" t="s">
        <v>94</v>
      </c>
      <c r="DX67" s="2" t="s">
        <v>94</v>
      </c>
      <c r="DY67" t="s">
        <v>94</v>
      </c>
      <c r="DZ67" t="s">
        <v>94</v>
      </c>
      <c r="EA67" t="s">
        <v>94</v>
      </c>
      <c r="EB67" t="s">
        <v>94</v>
      </c>
      <c r="EC67" t="s">
        <v>94</v>
      </c>
      <c r="ED67" t="s">
        <v>94</v>
      </c>
      <c r="EE67" t="s">
        <v>89</v>
      </c>
      <c r="EF67" t="s">
        <v>425</v>
      </c>
      <c r="EG67" t="s">
        <v>105</v>
      </c>
      <c r="EJ67" t="s">
        <v>166</v>
      </c>
      <c r="EK67" t="b">
        <v>0</v>
      </c>
      <c r="EL67" t="b">
        <v>0</v>
      </c>
      <c r="EM67" t="b">
        <v>0</v>
      </c>
      <c r="EO67" t="s">
        <v>177</v>
      </c>
      <c r="EP67" t="s">
        <v>1024</v>
      </c>
    </row>
    <row r="68" spans="3:146">
      <c r="C68" s="4">
        <v>23</v>
      </c>
      <c r="D68" s="4"/>
      <c r="E68" s="4">
        <v>1</v>
      </c>
      <c r="F68" s="4">
        <v>25.95</v>
      </c>
      <c r="G68" s="5" t="s">
        <v>959</v>
      </c>
      <c r="H68" s="4" t="s">
        <v>1025</v>
      </c>
      <c r="I68" s="4" t="s">
        <v>920</v>
      </c>
      <c r="J68" s="5"/>
      <c r="K68" s="22" t="s">
        <v>1026</v>
      </c>
      <c r="L68" s="22">
        <v>1100271750023</v>
      </c>
      <c r="M68" s="23" t="s">
        <v>905</v>
      </c>
      <c r="N68" s="23">
        <v>43728</v>
      </c>
      <c r="O68" s="24" t="s">
        <v>102</v>
      </c>
      <c r="P68" s="24" t="s">
        <v>181</v>
      </c>
      <c r="Q68" s="24">
        <v>1</v>
      </c>
      <c r="R68" s="24">
        <v>25.95</v>
      </c>
      <c r="S68" t="s">
        <v>11</v>
      </c>
      <c r="T68">
        <v>1000</v>
      </c>
      <c r="U68" s="2" t="s">
        <v>163</v>
      </c>
      <c r="V68">
        <v>43728.840358796297</v>
      </c>
      <c r="W68" s="2" t="s">
        <v>444</v>
      </c>
      <c r="X68">
        <v>43728.887546296297</v>
      </c>
      <c r="AB68" t="s">
        <v>9</v>
      </c>
      <c r="AC68" t="s">
        <v>1007</v>
      </c>
      <c r="AD68" t="s">
        <v>182</v>
      </c>
      <c r="AE68" t="s">
        <v>1027</v>
      </c>
      <c r="AF68" t="s">
        <v>1027</v>
      </c>
      <c r="AG68" t="s">
        <v>183</v>
      </c>
      <c r="AH68" t="s">
        <v>1008</v>
      </c>
      <c r="AI68" t="s">
        <v>1008</v>
      </c>
      <c r="AJ68" t="s">
        <v>776</v>
      </c>
      <c r="AK68" t="s">
        <v>777</v>
      </c>
      <c r="AL68" t="s">
        <v>1009</v>
      </c>
      <c r="AO68" t="s">
        <v>1010</v>
      </c>
      <c r="AP68" t="s">
        <v>1011</v>
      </c>
      <c r="AQ68" t="s">
        <v>1012</v>
      </c>
      <c r="AR68">
        <v>65451</v>
      </c>
      <c r="AS68">
        <v>6990506780</v>
      </c>
      <c r="AT68" t="s">
        <v>1013</v>
      </c>
      <c r="AU68" t="s">
        <v>10</v>
      </c>
      <c r="AV68" t="s">
        <v>1014</v>
      </c>
      <c r="AW68" t="s">
        <v>1014</v>
      </c>
      <c r="AX68" t="s">
        <v>1015</v>
      </c>
      <c r="AY68" t="s">
        <v>1016</v>
      </c>
      <c r="BA68" t="s">
        <v>186</v>
      </c>
      <c r="BB68" t="s">
        <v>187</v>
      </c>
      <c r="BC68" t="s">
        <v>188</v>
      </c>
      <c r="BD68">
        <v>518101</v>
      </c>
      <c r="BE68" t="s">
        <v>1028</v>
      </c>
      <c r="BF68" t="s">
        <v>1017</v>
      </c>
      <c r="BG68" t="b">
        <v>0</v>
      </c>
      <c r="BH68" s="6" t="s">
        <v>1018</v>
      </c>
      <c r="BI68" t="s">
        <v>1019</v>
      </c>
      <c r="BJ68">
        <v>4453163191</v>
      </c>
      <c r="BK68" t="s">
        <v>162</v>
      </c>
      <c r="BL68" t="s">
        <v>161</v>
      </c>
      <c r="BM68" s="2"/>
      <c r="BO68" t="s">
        <v>89</v>
      </c>
      <c r="BP68">
        <v>3907999990</v>
      </c>
      <c r="BR68" t="s">
        <v>189</v>
      </c>
      <c r="BS68" t="s">
        <v>103</v>
      </c>
      <c r="BU68">
        <v>65</v>
      </c>
      <c r="BV68">
        <v>138.44999999999999</v>
      </c>
      <c r="BW68">
        <v>0</v>
      </c>
      <c r="BX68">
        <v>0</v>
      </c>
      <c r="BY68">
        <v>0</v>
      </c>
      <c r="BZ68">
        <v>0</v>
      </c>
      <c r="CA68">
        <v>203.45</v>
      </c>
      <c r="CF68" s="2"/>
      <c r="CH68" s="2"/>
      <c r="CJ68" t="s">
        <v>1023</v>
      </c>
      <c r="CK68" t="s">
        <v>500</v>
      </c>
      <c r="CL68">
        <v>43728.374155092592</v>
      </c>
      <c r="CO68" t="s">
        <v>11</v>
      </c>
      <c r="CP68">
        <v>1000</v>
      </c>
      <c r="CQ68" t="s">
        <v>11</v>
      </c>
      <c r="CR68">
        <v>1000</v>
      </c>
      <c r="CV68" t="s">
        <v>190</v>
      </c>
      <c r="CW68" t="s">
        <v>12</v>
      </c>
      <c r="CX68" t="s">
        <v>12</v>
      </c>
      <c r="CY68" t="s">
        <v>12</v>
      </c>
      <c r="DA68" t="s">
        <v>104</v>
      </c>
      <c r="DD68" t="s">
        <v>93</v>
      </c>
      <c r="DQ68" t="s">
        <v>94</v>
      </c>
      <c r="DR68" t="s">
        <v>94</v>
      </c>
      <c r="DS68" t="s">
        <v>94</v>
      </c>
      <c r="DT68" t="s">
        <v>94</v>
      </c>
      <c r="DU68" t="s">
        <v>94</v>
      </c>
      <c r="DV68" t="s">
        <v>94</v>
      </c>
      <c r="DW68" t="s">
        <v>94</v>
      </c>
      <c r="DX68" s="2" t="s">
        <v>94</v>
      </c>
      <c r="DY68" t="s">
        <v>94</v>
      </c>
      <c r="DZ68" t="s">
        <v>94</v>
      </c>
      <c r="EA68" t="s">
        <v>94</v>
      </c>
      <c r="EB68" t="s">
        <v>94</v>
      </c>
      <c r="EC68" t="s">
        <v>94</v>
      </c>
      <c r="ED68" t="s">
        <v>94</v>
      </c>
      <c r="EE68" t="s">
        <v>89</v>
      </c>
      <c r="EF68" t="s">
        <v>425</v>
      </c>
      <c r="EG68" t="s">
        <v>105</v>
      </c>
      <c r="EJ68" t="s">
        <v>166</v>
      </c>
      <c r="EK68" t="b">
        <v>0</v>
      </c>
      <c r="EL68" t="b">
        <v>0</v>
      </c>
      <c r="EM68" t="b">
        <v>0</v>
      </c>
      <c r="EO68" t="s">
        <v>177</v>
      </c>
      <c r="EP68" t="s">
        <v>1024</v>
      </c>
    </row>
    <row r="69" spans="3:146" ht="15">
      <c r="C69" s="82">
        <v>1313</v>
      </c>
      <c r="D69" s="5"/>
      <c r="E69" s="4">
        <v>1</v>
      </c>
      <c r="F69" s="5">
        <v>0.65</v>
      </c>
      <c r="G69" s="5" t="s">
        <v>959</v>
      </c>
      <c r="H69" s="4" t="s">
        <v>1029</v>
      </c>
      <c r="I69" s="81" t="s">
        <v>920</v>
      </c>
      <c r="J69" s="21"/>
      <c r="K69" s="22" t="s">
        <v>989</v>
      </c>
      <c r="L69" s="22">
        <v>1100271750023</v>
      </c>
      <c r="M69" s="23" t="s">
        <v>905</v>
      </c>
      <c r="N69" s="23">
        <v>43728</v>
      </c>
      <c r="O69" s="24" t="s">
        <v>102</v>
      </c>
      <c r="P69" s="24" t="s">
        <v>480</v>
      </c>
      <c r="Q69" s="24">
        <v>1</v>
      </c>
      <c r="R69" s="24">
        <v>0.65</v>
      </c>
      <c r="S69" t="s">
        <v>990</v>
      </c>
      <c r="T69">
        <v>2850</v>
      </c>
      <c r="U69" s="2"/>
      <c r="W69" s="2"/>
      <c r="AB69" t="s">
        <v>9</v>
      </c>
      <c r="AC69" t="s">
        <v>991</v>
      </c>
      <c r="AD69" t="s">
        <v>182</v>
      </c>
      <c r="AE69" t="s">
        <v>183</v>
      </c>
      <c r="AF69" t="s">
        <v>183</v>
      </c>
      <c r="AG69">
        <v>3004776</v>
      </c>
      <c r="AH69" t="s">
        <v>992</v>
      </c>
      <c r="AI69" t="s">
        <v>992</v>
      </c>
      <c r="AJ69" t="s">
        <v>369</v>
      </c>
      <c r="AK69" t="s">
        <v>370</v>
      </c>
      <c r="AL69" t="s">
        <v>993</v>
      </c>
      <c r="AO69" t="s">
        <v>994</v>
      </c>
      <c r="AP69" t="s">
        <v>995</v>
      </c>
      <c r="AQ69" t="s">
        <v>996</v>
      </c>
      <c r="AR69">
        <v>2148</v>
      </c>
      <c r="AS69">
        <v>288220742</v>
      </c>
      <c r="AT69" t="s">
        <v>997</v>
      </c>
      <c r="AU69" t="s">
        <v>10</v>
      </c>
      <c r="AV69" t="s">
        <v>998</v>
      </c>
      <c r="AW69" t="s">
        <v>998</v>
      </c>
      <c r="AX69" t="s">
        <v>999</v>
      </c>
      <c r="AY69" s="2" t="s">
        <v>1000</v>
      </c>
      <c r="AZ69" t="s">
        <v>1001</v>
      </c>
      <c r="BA69" t="s">
        <v>1002</v>
      </c>
      <c r="BB69" t="s">
        <v>187</v>
      </c>
      <c r="BC69" t="s">
        <v>188</v>
      </c>
      <c r="BD69">
        <v>518172</v>
      </c>
      <c r="BE69" t="s">
        <v>1003</v>
      </c>
      <c r="BF69" t="s">
        <v>1004</v>
      </c>
      <c r="BG69" t="b">
        <v>0</v>
      </c>
      <c r="BH69" s="6" t="s">
        <v>1005</v>
      </c>
      <c r="BI69" t="s">
        <v>1006</v>
      </c>
      <c r="BJ69">
        <v>4453163191</v>
      </c>
      <c r="BK69" t="s">
        <v>162</v>
      </c>
      <c r="BL69" t="s">
        <v>161</v>
      </c>
      <c r="BM69" s="2"/>
      <c r="BN69" t="s">
        <v>1030</v>
      </c>
      <c r="BR69" t="s">
        <v>189</v>
      </c>
      <c r="BS69" t="s">
        <v>103</v>
      </c>
      <c r="BU69">
        <v>0</v>
      </c>
      <c r="BV69">
        <v>0</v>
      </c>
      <c r="BW69">
        <v>0</v>
      </c>
      <c r="BX69">
        <v>0</v>
      </c>
      <c r="BY69">
        <v>0</v>
      </c>
      <c r="BZ69">
        <v>0</v>
      </c>
      <c r="CA69">
        <v>0</v>
      </c>
      <c r="CF69" s="2"/>
      <c r="CH69" s="2"/>
      <c r="CK69" t="s">
        <v>500</v>
      </c>
      <c r="CL69">
        <v>43728.564988425926</v>
      </c>
      <c r="CO69" t="s">
        <v>11</v>
      </c>
      <c r="CP69">
        <v>13662.62</v>
      </c>
      <c r="CQ69" t="s">
        <v>11</v>
      </c>
      <c r="CR69">
        <v>13662.62</v>
      </c>
      <c r="CV69" t="s">
        <v>525</v>
      </c>
      <c r="CW69" t="s">
        <v>12</v>
      </c>
      <c r="CX69" t="s">
        <v>12</v>
      </c>
      <c r="CY69" t="s">
        <v>12</v>
      </c>
      <c r="DA69" t="s">
        <v>104</v>
      </c>
      <c r="DD69" t="s">
        <v>93</v>
      </c>
      <c r="DQ69" t="s">
        <v>94</v>
      </c>
      <c r="DR69" t="s">
        <v>94</v>
      </c>
      <c r="DS69" t="s">
        <v>94</v>
      </c>
      <c r="DT69" t="s">
        <v>94</v>
      </c>
      <c r="DU69" t="s">
        <v>94</v>
      </c>
      <c r="DV69" t="s">
        <v>94</v>
      </c>
      <c r="DW69" t="s">
        <v>94</v>
      </c>
      <c r="DX69" s="2" t="s">
        <v>94</v>
      </c>
      <c r="DY69" t="s">
        <v>94</v>
      </c>
      <c r="DZ69" t="s">
        <v>94</v>
      </c>
      <c r="EA69" t="s">
        <v>94</v>
      </c>
      <c r="EB69" t="s">
        <v>94</v>
      </c>
      <c r="EC69" t="s">
        <v>94</v>
      </c>
      <c r="ED69" t="s">
        <v>94</v>
      </c>
      <c r="EE69" t="s">
        <v>89</v>
      </c>
      <c r="EF69" t="s">
        <v>425</v>
      </c>
      <c r="EG69" t="s">
        <v>105</v>
      </c>
      <c r="EJ69" t="s">
        <v>166</v>
      </c>
      <c r="EK69" t="b">
        <v>0</v>
      </c>
      <c r="EL69" t="b">
        <v>0</v>
      </c>
      <c r="EM69" t="b">
        <v>0</v>
      </c>
      <c r="EO69" t="s">
        <v>177</v>
      </c>
      <c r="EP69" t="s">
        <v>1031</v>
      </c>
    </row>
    <row r="70" spans="3:146" ht="15">
      <c r="C70" s="82">
        <v>1313</v>
      </c>
      <c r="D70" s="5">
        <v>124</v>
      </c>
      <c r="E70" s="4">
        <v>1</v>
      </c>
      <c r="F70" s="5">
        <v>124</v>
      </c>
      <c r="G70" s="5" t="s">
        <v>959</v>
      </c>
      <c r="H70" s="4" t="s">
        <v>1029</v>
      </c>
      <c r="I70" s="81" t="s">
        <v>920</v>
      </c>
      <c r="J70" s="21"/>
      <c r="K70" s="22" t="s">
        <v>989</v>
      </c>
      <c r="L70" s="22">
        <v>1100271750023</v>
      </c>
      <c r="M70" s="23" t="s">
        <v>905</v>
      </c>
      <c r="N70" s="23">
        <v>43728</v>
      </c>
      <c r="O70" s="24" t="s">
        <v>102</v>
      </c>
      <c r="P70" s="24" t="s">
        <v>480</v>
      </c>
      <c r="Q70" s="24">
        <v>1</v>
      </c>
      <c r="R70" s="24">
        <v>0.65</v>
      </c>
      <c r="S70" t="s">
        <v>990</v>
      </c>
      <c r="T70">
        <v>2850</v>
      </c>
      <c r="U70" s="2"/>
      <c r="W70" s="2"/>
      <c r="AB70" t="s">
        <v>9</v>
      </c>
      <c r="AC70" t="s">
        <v>991</v>
      </c>
      <c r="AD70" t="s">
        <v>182</v>
      </c>
      <c r="AE70" t="s">
        <v>183</v>
      </c>
      <c r="AF70" t="s">
        <v>183</v>
      </c>
      <c r="AG70">
        <v>3004776</v>
      </c>
      <c r="AH70" t="s">
        <v>992</v>
      </c>
      <c r="AI70" t="s">
        <v>992</v>
      </c>
      <c r="AJ70" t="s">
        <v>369</v>
      </c>
      <c r="AK70" t="s">
        <v>370</v>
      </c>
      <c r="AL70" t="s">
        <v>993</v>
      </c>
      <c r="AO70" t="s">
        <v>994</v>
      </c>
      <c r="AP70" t="s">
        <v>995</v>
      </c>
      <c r="AQ70" t="s">
        <v>996</v>
      </c>
      <c r="AR70">
        <v>2148</v>
      </c>
      <c r="AS70">
        <v>288220742</v>
      </c>
      <c r="AT70" t="s">
        <v>997</v>
      </c>
      <c r="AU70" t="s">
        <v>10</v>
      </c>
      <c r="AV70" t="s">
        <v>998</v>
      </c>
      <c r="AW70" t="s">
        <v>998</v>
      </c>
      <c r="AX70" t="s">
        <v>999</v>
      </c>
      <c r="AY70" s="2" t="s">
        <v>1000</v>
      </c>
      <c r="AZ70" t="s">
        <v>1001</v>
      </c>
      <c r="BA70" t="s">
        <v>1002</v>
      </c>
      <c r="BB70" t="s">
        <v>187</v>
      </c>
      <c r="BC70" t="s">
        <v>188</v>
      </c>
      <c r="BD70">
        <v>518172</v>
      </c>
      <c r="BE70" t="s">
        <v>1003</v>
      </c>
      <c r="BF70" t="s">
        <v>1004</v>
      </c>
      <c r="BG70" t="b">
        <v>0</v>
      </c>
      <c r="BH70" s="6" t="s">
        <v>1005</v>
      </c>
      <c r="BI70" t="s">
        <v>1006</v>
      </c>
      <c r="BJ70">
        <v>4453163191</v>
      </c>
      <c r="BK70" t="s">
        <v>162</v>
      </c>
      <c r="BL70" t="s">
        <v>161</v>
      </c>
      <c r="BM70" s="2"/>
      <c r="BN70" t="s">
        <v>1030</v>
      </c>
      <c r="BR70" t="s">
        <v>189</v>
      </c>
      <c r="BS70" t="s">
        <v>103</v>
      </c>
      <c r="BU70">
        <v>0</v>
      </c>
      <c r="BV70">
        <v>0</v>
      </c>
      <c r="BW70">
        <v>0</v>
      </c>
      <c r="BX70">
        <v>0</v>
      </c>
      <c r="BY70">
        <v>0</v>
      </c>
      <c r="BZ70">
        <v>0</v>
      </c>
      <c r="CA70">
        <v>0</v>
      </c>
      <c r="CF70" s="2"/>
      <c r="CH70" s="2"/>
      <c r="CK70" t="s">
        <v>500</v>
      </c>
      <c r="CL70">
        <v>43728.564988425926</v>
      </c>
      <c r="CO70" t="s">
        <v>11</v>
      </c>
      <c r="CP70">
        <v>13662.62</v>
      </c>
      <c r="CQ70" t="s">
        <v>11</v>
      </c>
      <c r="CR70">
        <v>13662.62</v>
      </c>
      <c r="CV70" t="s">
        <v>525</v>
      </c>
      <c r="CW70" t="s">
        <v>12</v>
      </c>
      <c r="CX70" t="s">
        <v>12</v>
      </c>
      <c r="CY70" t="s">
        <v>12</v>
      </c>
      <c r="DA70" t="s">
        <v>104</v>
      </c>
      <c r="DD70" t="s">
        <v>93</v>
      </c>
      <c r="DQ70" t="s">
        <v>94</v>
      </c>
      <c r="DR70" t="s">
        <v>94</v>
      </c>
      <c r="DS70" t="s">
        <v>94</v>
      </c>
      <c r="DT70" t="s">
        <v>94</v>
      </c>
      <c r="DU70" t="s">
        <v>94</v>
      </c>
      <c r="DV70" t="s">
        <v>94</v>
      </c>
      <c r="DW70" t="s">
        <v>94</v>
      </c>
      <c r="DX70" s="2" t="s">
        <v>94</v>
      </c>
      <c r="DY70" t="s">
        <v>94</v>
      </c>
      <c r="DZ70" t="s">
        <v>94</v>
      </c>
      <c r="EA70" t="s">
        <v>94</v>
      </c>
      <c r="EB70" t="s">
        <v>94</v>
      </c>
      <c r="EC70" t="s">
        <v>94</v>
      </c>
      <c r="ED70" t="s">
        <v>94</v>
      </c>
      <c r="EE70" t="s">
        <v>89</v>
      </c>
      <c r="EF70" t="s">
        <v>425</v>
      </c>
      <c r="EG70" t="s">
        <v>105</v>
      </c>
      <c r="EJ70" t="s">
        <v>166</v>
      </c>
      <c r="EK70" t="b">
        <v>0</v>
      </c>
      <c r="EL70" t="b">
        <v>0</v>
      </c>
      <c r="EM70" t="b">
        <v>0</v>
      </c>
      <c r="EO70" t="s">
        <v>178</v>
      </c>
      <c r="EP70" t="s">
        <v>1032</v>
      </c>
    </row>
    <row r="71" spans="3:146" ht="15">
      <c r="C71" s="82">
        <v>1213</v>
      </c>
      <c r="D71" s="5"/>
      <c r="E71" s="4">
        <v>1</v>
      </c>
      <c r="F71" s="5">
        <v>8</v>
      </c>
      <c r="G71" s="5" t="s">
        <v>730</v>
      </c>
      <c r="H71" s="4" t="s">
        <v>1033</v>
      </c>
      <c r="I71" s="81" t="s">
        <v>164</v>
      </c>
      <c r="J71" s="21"/>
      <c r="K71" s="22" t="s">
        <v>962</v>
      </c>
      <c r="L71" s="22">
        <v>1100271750338</v>
      </c>
      <c r="M71" s="23" t="s">
        <v>164</v>
      </c>
      <c r="N71" s="23">
        <v>43714</v>
      </c>
      <c r="O71" s="24" t="s">
        <v>102</v>
      </c>
      <c r="P71" s="24" t="s">
        <v>179</v>
      </c>
      <c r="Q71" s="24">
        <v>1</v>
      </c>
      <c r="R71" s="24">
        <v>8</v>
      </c>
      <c r="S71" t="s">
        <v>528</v>
      </c>
      <c r="T71">
        <v>15</v>
      </c>
      <c r="U71" s="2" t="s">
        <v>163</v>
      </c>
      <c r="V71">
        <v>43714.817766203705</v>
      </c>
      <c r="W71" s="2" t="s">
        <v>444</v>
      </c>
      <c r="X71">
        <v>43714.82613425926</v>
      </c>
      <c r="AB71" t="s">
        <v>9</v>
      </c>
      <c r="AC71" t="s">
        <v>963</v>
      </c>
      <c r="AD71" t="s">
        <v>275</v>
      </c>
      <c r="AE71" t="s">
        <v>1034</v>
      </c>
      <c r="AF71" t="s">
        <v>1034</v>
      </c>
      <c r="AG71">
        <v>3096643</v>
      </c>
      <c r="AH71" t="s">
        <v>964</v>
      </c>
      <c r="AI71" t="s">
        <v>964</v>
      </c>
      <c r="AJ71" t="s">
        <v>776</v>
      </c>
      <c r="AK71" t="s">
        <v>777</v>
      </c>
      <c r="AL71" t="s">
        <v>965</v>
      </c>
      <c r="AO71" t="s">
        <v>966</v>
      </c>
      <c r="AP71" t="s">
        <v>967</v>
      </c>
      <c r="AQ71" t="s">
        <v>782</v>
      </c>
      <c r="AR71">
        <v>32339</v>
      </c>
      <c r="AS71">
        <v>5772567974</v>
      </c>
      <c r="AT71" t="s">
        <v>968</v>
      </c>
      <c r="AU71" t="s">
        <v>10</v>
      </c>
      <c r="AV71" t="s">
        <v>969</v>
      </c>
      <c r="AW71" t="s">
        <v>969</v>
      </c>
      <c r="AX71" t="s">
        <v>970</v>
      </c>
      <c r="AY71" s="2" t="s">
        <v>971</v>
      </c>
      <c r="BA71" t="s">
        <v>972</v>
      </c>
      <c r="BB71" t="s">
        <v>286</v>
      </c>
      <c r="BC71" t="s">
        <v>287</v>
      </c>
      <c r="BD71">
        <v>644600</v>
      </c>
      <c r="BE71" t="s">
        <v>973</v>
      </c>
      <c r="BF71" t="s">
        <v>974</v>
      </c>
      <c r="BG71" t="b">
        <v>0</v>
      </c>
      <c r="BH71" s="6"/>
      <c r="BI71" t="s">
        <v>975</v>
      </c>
      <c r="BJ71">
        <v>4453163191</v>
      </c>
      <c r="BK71" t="s">
        <v>162</v>
      </c>
      <c r="BL71" t="s">
        <v>161</v>
      </c>
      <c r="BM71" s="2"/>
      <c r="BN71" t="s">
        <v>976</v>
      </c>
      <c r="BO71" t="s">
        <v>89</v>
      </c>
      <c r="BP71">
        <v>8409919920</v>
      </c>
      <c r="BR71" t="s">
        <v>189</v>
      </c>
      <c r="BS71" t="s">
        <v>103</v>
      </c>
      <c r="BU71">
        <v>0</v>
      </c>
      <c r="BV71">
        <v>0</v>
      </c>
      <c r="BW71">
        <v>0</v>
      </c>
      <c r="BX71">
        <v>0</v>
      </c>
      <c r="BY71">
        <v>0</v>
      </c>
      <c r="BZ71">
        <v>0</v>
      </c>
      <c r="CA71">
        <v>0</v>
      </c>
      <c r="CF71" s="2"/>
      <c r="CH71" s="2"/>
      <c r="CJ71">
        <v>5.3142019950126701E+17</v>
      </c>
      <c r="CK71" t="s">
        <v>500</v>
      </c>
      <c r="CL71">
        <v>43714.373032407406</v>
      </c>
      <c r="CO71" t="s">
        <v>11</v>
      </c>
      <c r="CP71">
        <v>118.2</v>
      </c>
      <c r="CQ71" t="s">
        <v>11</v>
      </c>
      <c r="CR71">
        <v>118.2</v>
      </c>
      <c r="CV71" t="s">
        <v>525</v>
      </c>
      <c r="CW71" t="s">
        <v>12</v>
      </c>
      <c r="CX71" t="s">
        <v>12</v>
      </c>
      <c r="CY71" t="s">
        <v>12</v>
      </c>
      <c r="DA71" t="s">
        <v>104</v>
      </c>
      <c r="DD71" t="s">
        <v>93</v>
      </c>
      <c r="DQ71" t="s">
        <v>94</v>
      </c>
      <c r="DR71" t="s">
        <v>94</v>
      </c>
      <c r="DS71" t="s">
        <v>94</v>
      </c>
      <c r="DT71" t="s">
        <v>94</v>
      </c>
      <c r="DU71" t="s">
        <v>94</v>
      </c>
      <c r="DV71" t="s">
        <v>94</v>
      </c>
      <c r="DW71" t="s">
        <v>94</v>
      </c>
      <c r="DX71" s="2" t="s">
        <v>94</v>
      </c>
      <c r="DY71" t="s">
        <v>94</v>
      </c>
      <c r="DZ71" t="s">
        <v>94</v>
      </c>
      <c r="EA71" t="s">
        <v>94</v>
      </c>
      <c r="EB71" t="s">
        <v>94</v>
      </c>
      <c r="EC71" t="s">
        <v>94</v>
      </c>
      <c r="ED71" t="s">
        <v>94</v>
      </c>
      <c r="EE71" t="s">
        <v>89</v>
      </c>
      <c r="EF71" t="s">
        <v>425</v>
      </c>
      <c r="EG71" t="s">
        <v>105</v>
      </c>
      <c r="EJ71" t="s">
        <v>166</v>
      </c>
      <c r="EK71" t="b">
        <v>0</v>
      </c>
      <c r="EL71" t="b">
        <v>0</v>
      </c>
      <c r="EM71" t="b">
        <v>0</v>
      </c>
      <c r="EO71" t="s">
        <v>177</v>
      </c>
      <c r="EP71" t="s">
        <v>1035</v>
      </c>
    </row>
    <row r="72" spans="3:146" ht="15">
      <c r="C72" s="82">
        <v>1213</v>
      </c>
      <c r="D72" s="5"/>
      <c r="E72" s="4">
        <v>1</v>
      </c>
      <c r="F72" s="5">
        <v>1.3</v>
      </c>
      <c r="G72" s="5" t="s">
        <v>901</v>
      </c>
      <c r="H72" s="4" t="s">
        <v>1053</v>
      </c>
      <c r="I72" s="81" t="s">
        <v>164</v>
      </c>
      <c r="J72" s="21"/>
      <c r="K72" s="22" t="s">
        <v>1036</v>
      </c>
      <c r="L72" s="22">
        <v>1100271750367</v>
      </c>
      <c r="M72" s="23" t="s">
        <v>164</v>
      </c>
      <c r="N72" s="23">
        <v>43722</v>
      </c>
      <c r="O72" s="24" t="s">
        <v>102</v>
      </c>
      <c r="P72" s="24" t="s">
        <v>179</v>
      </c>
      <c r="Q72" s="24">
        <v>1</v>
      </c>
      <c r="R72" s="24">
        <v>1.3</v>
      </c>
      <c r="S72" t="s">
        <v>528</v>
      </c>
      <c r="T72">
        <v>28</v>
      </c>
      <c r="U72" s="2" t="s">
        <v>163</v>
      </c>
      <c r="V72">
        <v>43722.780289351853</v>
      </c>
      <c r="W72" s="2" t="s">
        <v>444</v>
      </c>
      <c r="X72">
        <v>43731.598009259258</v>
      </c>
      <c r="AB72" t="s">
        <v>9</v>
      </c>
      <c r="AC72" t="s">
        <v>1037</v>
      </c>
      <c r="AD72" t="s">
        <v>209</v>
      </c>
      <c r="AE72">
        <v>70296786</v>
      </c>
      <c r="AF72">
        <v>70296786</v>
      </c>
      <c r="AG72" t="s">
        <v>183</v>
      </c>
      <c r="AH72" t="s">
        <v>1038</v>
      </c>
      <c r="AI72" t="s">
        <v>1038</v>
      </c>
      <c r="AJ72" t="s">
        <v>776</v>
      </c>
      <c r="AK72" t="s">
        <v>777</v>
      </c>
      <c r="AL72" t="s">
        <v>1039</v>
      </c>
      <c r="AO72" t="s">
        <v>1040</v>
      </c>
      <c r="AP72" t="s">
        <v>1041</v>
      </c>
      <c r="AQ72" t="s">
        <v>1040</v>
      </c>
      <c r="AR72">
        <v>10553</v>
      </c>
      <c r="AS72" t="s">
        <v>1042</v>
      </c>
      <c r="AT72" t="s">
        <v>1043</v>
      </c>
      <c r="AU72" t="s">
        <v>10</v>
      </c>
      <c r="AV72" t="s">
        <v>1044</v>
      </c>
      <c r="AW72" t="s">
        <v>1044</v>
      </c>
      <c r="AX72" t="s">
        <v>1045</v>
      </c>
      <c r="AY72" s="2" t="s">
        <v>1046</v>
      </c>
      <c r="AZ72" t="s">
        <v>1047</v>
      </c>
      <c r="BA72" t="s">
        <v>1048</v>
      </c>
      <c r="BB72" t="s">
        <v>1049</v>
      </c>
      <c r="BC72" t="s">
        <v>188</v>
      </c>
      <c r="BD72">
        <v>511356</v>
      </c>
      <c r="BE72">
        <v>-18826263157</v>
      </c>
      <c r="BF72" t="s">
        <v>1050</v>
      </c>
      <c r="BG72" t="b">
        <v>0</v>
      </c>
      <c r="BH72" s="6" t="s">
        <v>1051</v>
      </c>
      <c r="BI72" t="s">
        <v>1052</v>
      </c>
      <c r="BJ72">
        <v>4453163191</v>
      </c>
      <c r="BK72" t="s">
        <v>162</v>
      </c>
      <c r="BL72" t="s">
        <v>161</v>
      </c>
      <c r="BM72" s="2"/>
      <c r="BO72" t="s">
        <v>89</v>
      </c>
      <c r="BP72">
        <v>3824999990</v>
      </c>
      <c r="BR72" t="s">
        <v>180</v>
      </c>
      <c r="BS72" t="s">
        <v>103</v>
      </c>
      <c r="BU72">
        <v>0</v>
      </c>
      <c r="BV72">
        <v>0</v>
      </c>
      <c r="BW72">
        <v>0</v>
      </c>
      <c r="BX72">
        <v>0</v>
      </c>
      <c r="BY72">
        <v>0</v>
      </c>
      <c r="BZ72">
        <v>0</v>
      </c>
      <c r="CA72">
        <v>0</v>
      </c>
      <c r="CF72" s="2"/>
      <c r="CH72" s="2"/>
      <c r="CJ72">
        <v>5.3142019950131002E+17</v>
      </c>
      <c r="CK72" t="s">
        <v>500</v>
      </c>
      <c r="CL72">
        <v>43722.374641203707</v>
      </c>
      <c r="CO72" t="s">
        <v>11</v>
      </c>
      <c r="CP72">
        <v>220.63</v>
      </c>
      <c r="CQ72" t="s">
        <v>11</v>
      </c>
      <c r="CR72">
        <v>220.63</v>
      </c>
      <c r="CV72" t="s">
        <v>190</v>
      </c>
      <c r="CW72" t="s">
        <v>12</v>
      </c>
      <c r="CX72" t="s">
        <v>12</v>
      </c>
      <c r="CY72" t="s">
        <v>12</v>
      </c>
      <c r="DA72" t="s">
        <v>104</v>
      </c>
      <c r="DD72" t="s">
        <v>93</v>
      </c>
      <c r="DQ72" t="s">
        <v>94</v>
      </c>
      <c r="DR72" t="s">
        <v>94</v>
      </c>
      <c r="DS72" t="s">
        <v>94</v>
      </c>
      <c r="DT72" t="s">
        <v>94</v>
      </c>
      <c r="DU72" t="s">
        <v>94</v>
      </c>
      <c r="DV72" t="s">
        <v>94</v>
      </c>
      <c r="DW72" t="s">
        <v>94</v>
      </c>
      <c r="DX72" s="2" t="s">
        <v>94</v>
      </c>
      <c r="DY72" t="s">
        <v>94</v>
      </c>
      <c r="DZ72" t="s">
        <v>94</v>
      </c>
      <c r="EA72" t="s">
        <v>94</v>
      </c>
      <c r="EB72" t="s">
        <v>94</v>
      </c>
      <c r="EC72" t="s">
        <v>94</v>
      </c>
      <c r="ED72" t="s">
        <v>94</v>
      </c>
      <c r="EE72" t="s">
        <v>89</v>
      </c>
      <c r="EF72" t="s">
        <v>425</v>
      </c>
      <c r="EG72" t="s">
        <v>105</v>
      </c>
      <c r="EJ72" t="s">
        <v>166</v>
      </c>
      <c r="EK72" t="b">
        <v>0</v>
      </c>
      <c r="EL72" t="b">
        <v>0</v>
      </c>
      <c r="EM72" t="b">
        <v>0</v>
      </c>
      <c r="EO72" t="s">
        <v>177</v>
      </c>
      <c r="EP72" t="s">
        <v>1054</v>
      </c>
    </row>
    <row r="73" spans="3:146" ht="15">
      <c r="C73" s="82">
        <v>1213</v>
      </c>
      <c r="D73" s="5"/>
      <c r="E73" s="4">
        <v>1</v>
      </c>
      <c r="F73" s="5">
        <v>12.75</v>
      </c>
      <c r="G73" s="5" t="s">
        <v>1088</v>
      </c>
      <c r="H73" s="4" t="s">
        <v>1089</v>
      </c>
      <c r="I73" s="81" t="s">
        <v>466</v>
      </c>
      <c r="J73" s="21"/>
      <c r="K73" s="22" t="s">
        <v>1055</v>
      </c>
      <c r="L73" s="22">
        <v>1100272684993</v>
      </c>
      <c r="M73" s="23" t="s">
        <v>466</v>
      </c>
      <c r="N73" s="23">
        <v>43720</v>
      </c>
      <c r="O73" s="24" t="s">
        <v>102</v>
      </c>
      <c r="P73" s="24" t="s">
        <v>181</v>
      </c>
      <c r="Q73" s="24">
        <v>1</v>
      </c>
      <c r="R73" s="24">
        <v>12.75</v>
      </c>
      <c r="S73" t="s">
        <v>11</v>
      </c>
      <c r="T73">
        <v>3197</v>
      </c>
      <c r="U73" s="2" t="s">
        <v>163</v>
      </c>
      <c r="V73">
        <v>43727.566689814812</v>
      </c>
      <c r="W73" s="2" t="s">
        <v>444</v>
      </c>
      <c r="X73">
        <v>43727.605486111112</v>
      </c>
      <c r="AB73" t="s">
        <v>9</v>
      </c>
      <c r="AC73" t="s">
        <v>1007</v>
      </c>
      <c r="AD73" t="s">
        <v>249</v>
      </c>
      <c r="AE73">
        <v>70378671</v>
      </c>
      <c r="AF73">
        <v>70378671</v>
      </c>
      <c r="AG73" t="s">
        <v>183</v>
      </c>
      <c r="AH73" t="s">
        <v>1056</v>
      </c>
      <c r="AI73" t="s">
        <v>1056</v>
      </c>
      <c r="AJ73" t="s">
        <v>776</v>
      </c>
      <c r="AK73" t="s">
        <v>777</v>
      </c>
      <c r="AL73" t="s">
        <v>1057</v>
      </c>
      <c r="AO73" t="s">
        <v>1058</v>
      </c>
      <c r="AP73" t="s">
        <v>1011</v>
      </c>
      <c r="AQ73" t="s">
        <v>1059</v>
      </c>
      <c r="AR73" t="s">
        <v>1090</v>
      </c>
      <c r="AS73" t="s">
        <v>1091</v>
      </c>
      <c r="AT73" t="s">
        <v>1060</v>
      </c>
      <c r="AU73" t="s">
        <v>10</v>
      </c>
      <c r="AV73" t="s">
        <v>1061</v>
      </c>
      <c r="AW73" t="s">
        <v>1061</v>
      </c>
      <c r="AX73" t="s">
        <v>1062</v>
      </c>
      <c r="AY73" s="2"/>
      <c r="BA73" t="s">
        <v>1063</v>
      </c>
      <c r="BB73" t="s">
        <v>1064</v>
      </c>
      <c r="BC73" t="s">
        <v>253</v>
      </c>
      <c r="BD73">
        <v>545007</v>
      </c>
      <c r="BE73" t="s">
        <v>1092</v>
      </c>
      <c r="BF73" t="s">
        <v>1065</v>
      </c>
      <c r="BG73" t="b">
        <v>0</v>
      </c>
      <c r="BH73" s="6" t="s">
        <v>1066</v>
      </c>
      <c r="BI73" t="s">
        <v>1067</v>
      </c>
      <c r="BJ73">
        <v>4453163191</v>
      </c>
      <c r="BK73" t="s">
        <v>162</v>
      </c>
      <c r="BL73" t="s">
        <v>161</v>
      </c>
      <c r="BM73" s="2"/>
      <c r="BO73" t="s">
        <v>89</v>
      </c>
      <c r="BP73">
        <v>7318210001</v>
      </c>
      <c r="BR73" t="s">
        <v>189</v>
      </c>
      <c r="BS73" t="s">
        <v>103</v>
      </c>
      <c r="BU73">
        <v>255.76</v>
      </c>
      <c r="BV73">
        <v>448.86</v>
      </c>
      <c r="BW73">
        <v>0</v>
      </c>
      <c r="BX73">
        <v>0</v>
      </c>
      <c r="BY73">
        <v>0</v>
      </c>
      <c r="BZ73">
        <v>0</v>
      </c>
      <c r="CA73">
        <v>704.62</v>
      </c>
      <c r="CF73" s="2"/>
      <c r="CH73" s="2"/>
      <c r="CJ73">
        <v>5.3142019950130099E+17</v>
      </c>
      <c r="CK73" t="s">
        <v>500</v>
      </c>
      <c r="CL73">
        <v>43720.375162037039</v>
      </c>
      <c r="CO73" t="s">
        <v>11</v>
      </c>
      <c r="CP73">
        <v>3197</v>
      </c>
      <c r="CQ73" t="s">
        <v>11</v>
      </c>
      <c r="CR73">
        <v>3197</v>
      </c>
      <c r="CV73" t="s">
        <v>190</v>
      </c>
      <c r="CW73" t="s">
        <v>12</v>
      </c>
      <c r="CX73" t="s">
        <v>12</v>
      </c>
      <c r="CY73" t="s">
        <v>12</v>
      </c>
      <c r="DA73" t="s">
        <v>104</v>
      </c>
      <c r="DD73" t="s">
        <v>93</v>
      </c>
      <c r="DQ73" t="s">
        <v>94</v>
      </c>
      <c r="DR73" t="s">
        <v>94</v>
      </c>
      <c r="DS73" t="s">
        <v>94</v>
      </c>
      <c r="DT73" t="s">
        <v>94</v>
      </c>
      <c r="DU73" t="s">
        <v>94</v>
      </c>
      <c r="DV73" t="s">
        <v>94</v>
      </c>
      <c r="DW73" t="s">
        <v>94</v>
      </c>
      <c r="DX73" s="2" t="s">
        <v>94</v>
      </c>
      <c r="DY73" t="s">
        <v>94</v>
      </c>
      <c r="DZ73" t="s">
        <v>94</v>
      </c>
      <c r="EA73" t="s">
        <v>94</v>
      </c>
      <c r="EB73" t="s">
        <v>94</v>
      </c>
      <c r="EC73" t="s">
        <v>94</v>
      </c>
      <c r="ED73" t="s">
        <v>94</v>
      </c>
      <c r="EE73" t="s">
        <v>89</v>
      </c>
      <c r="EF73" t="s">
        <v>425</v>
      </c>
      <c r="EG73" t="s">
        <v>105</v>
      </c>
      <c r="EJ73" t="s">
        <v>526</v>
      </c>
      <c r="EK73" t="b">
        <v>0</v>
      </c>
      <c r="EL73" t="b">
        <v>0</v>
      </c>
      <c r="EM73" t="b">
        <v>0</v>
      </c>
      <c r="EO73" t="s">
        <v>177</v>
      </c>
      <c r="EP73" t="s">
        <v>1093</v>
      </c>
    </row>
    <row r="74" spans="3:146">
      <c r="C74" s="4">
        <v>1213</v>
      </c>
      <c r="D74" s="4"/>
      <c r="E74" s="4">
        <v>2</v>
      </c>
      <c r="F74" s="4">
        <v>8.8000000000000007</v>
      </c>
      <c r="G74" s="5" t="s">
        <v>1088</v>
      </c>
      <c r="H74" s="4" t="s">
        <v>1089</v>
      </c>
      <c r="I74" s="4" t="s">
        <v>466</v>
      </c>
      <c r="J74" s="5"/>
      <c r="K74" s="22" t="s">
        <v>1068</v>
      </c>
      <c r="L74" s="22">
        <v>1100272684993</v>
      </c>
      <c r="M74" s="23" t="s">
        <v>466</v>
      </c>
      <c r="N74" s="23">
        <v>43720</v>
      </c>
      <c r="O74" s="24" t="s">
        <v>102</v>
      </c>
      <c r="P74" s="24" t="s">
        <v>181</v>
      </c>
      <c r="Q74" s="24">
        <v>2</v>
      </c>
      <c r="R74" s="24">
        <v>8.8000000000000007</v>
      </c>
      <c r="S74" t="s">
        <v>11</v>
      </c>
      <c r="T74">
        <v>1</v>
      </c>
      <c r="U74" s="2" t="s">
        <v>163</v>
      </c>
      <c r="V74">
        <v>43727.566631944443</v>
      </c>
      <c r="W74" s="2" t="s">
        <v>444</v>
      </c>
      <c r="X74">
        <v>43727.605486111112</v>
      </c>
      <c r="AB74" t="s">
        <v>9</v>
      </c>
      <c r="AC74" t="s">
        <v>1007</v>
      </c>
      <c r="AD74" t="s">
        <v>249</v>
      </c>
      <c r="AE74">
        <v>70378671</v>
      </c>
      <c r="AF74">
        <v>70378671</v>
      </c>
      <c r="AG74" t="s">
        <v>183</v>
      </c>
      <c r="AH74" t="s">
        <v>1056</v>
      </c>
      <c r="AI74" t="s">
        <v>1056</v>
      </c>
      <c r="AJ74" t="s">
        <v>776</v>
      </c>
      <c r="AK74" t="s">
        <v>777</v>
      </c>
      <c r="AL74" t="s">
        <v>1057</v>
      </c>
      <c r="AO74" t="s">
        <v>1058</v>
      </c>
      <c r="AP74" t="s">
        <v>1011</v>
      </c>
      <c r="AQ74" t="s">
        <v>1059</v>
      </c>
      <c r="AR74" t="s">
        <v>1090</v>
      </c>
      <c r="AS74" t="s">
        <v>1091</v>
      </c>
      <c r="AT74" t="s">
        <v>1060</v>
      </c>
      <c r="AU74" t="s">
        <v>10</v>
      </c>
      <c r="AV74" t="s">
        <v>1061</v>
      </c>
      <c r="AW74" t="s">
        <v>1061</v>
      </c>
      <c r="AX74" t="s">
        <v>1062</v>
      </c>
      <c r="BA74" t="s">
        <v>1063</v>
      </c>
      <c r="BB74" t="s">
        <v>1064</v>
      </c>
      <c r="BC74" t="s">
        <v>253</v>
      </c>
      <c r="BD74">
        <v>545007</v>
      </c>
      <c r="BE74" t="s">
        <v>1092</v>
      </c>
      <c r="BF74" t="s">
        <v>1065</v>
      </c>
      <c r="BG74" t="b">
        <v>0</v>
      </c>
      <c r="BH74" s="6" t="s">
        <v>1066</v>
      </c>
      <c r="BI74" t="s">
        <v>1069</v>
      </c>
      <c r="BJ74">
        <v>4453163191</v>
      </c>
      <c r="BK74" t="s">
        <v>162</v>
      </c>
      <c r="BL74" t="s">
        <v>161</v>
      </c>
      <c r="BM74" s="2"/>
      <c r="BO74" t="s">
        <v>89</v>
      </c>
      <c r="BP74">
        <v>7318210001</v>
      </c>
      <c r="BR74" t="s">
        <v>180</v>
      </c>
      <c r="BS74" t="s">
        <v>103</v>
      </c>
      <c r="BU74">
        <v>0</v>
      </c>
      <c r="BV74">
        <v>0</v>
      </c>
      <c r="BW74">
        <v>0</v>
      </c>
      <c r="BX74">
        <v>0</v>
      </c>
      <c r="BY74">
        <v>0</v>
      </c>
      <c r="BZ74">
        <v>0</v>
      </c>
      <c r="CA74">
        <v>0</v>
      </c>
      <c r="CF74" s="2"/>
      <c r="CH74" s="2"/>
      <c r="CJ74">
        <v>5.3142019950130099E+17</v>
      </c>
      <c r="CK74" t="s">
        <v>500</v>
      </c>
      <c r="CL74">
        <v>43720.375208333331</v>
      </c>
      <c r="CO74" t="s">
        <v>11</v>
      </c>
      <c r="CP74">
        <v>1</v>
      </c>
      <c r="CQ74" t="s">
        <v>11</v>
      </c>
      <c r="CR74">
        <v>1</v>
      </c>
      <c r="CV74" t="s">
        <v>190</v>
      </c>
      <c r="CW74" t="s">
        <v>12</v>
      </c>
      <c r="CX74" t="s">
        <v>12</v>
      </c>
      <c r="CY74" t="s">
        <v>12</v>
      </c>
      <c r="DA74" t="s">
        <v>104</v>
      </c>
      <c r="DD74" t="s">
        <v>93</v>
      </c>
      <c r="DQ74" t="s">
        <v>94</v>
      </c>
      <c r="DR74" t="s">
        <v>94</v>
      </c>
      <c r="DS74" t="s">
        <v>94</v>
      </c>
      <c r="DT74" t="s">
        <v>94</v>
      </c>
      <c r="DU74" t="s">
        <v>94</v>
      </c>
      <c r="DV74" t="s">
        <v>94</v>
      </c>
      <c r="DW74" t="s">
        <v>94</v>
      </c>
      <c r="DX74" s="2" t="s">
        <v>94</v>
      </c>
      <c r="DY74" t="s">
        <v>94</v>
      </c>
      <c r="DZ74" t="s">
        <v>94</v>
      </c>
      <c r="EA74" t="s">
        <v>94</v>
      </c>
      <c r="EB74" t="s">
        <v>94</v>
      </c>
      <c r="EC74" t="s">
        <v>94</v>
      </c>
      <c r="ED74" t="s">
        <v>94</v>
      </c>
      <c r="EE74" t="s">
        <v>89</v>
      </c>
      <c r="EF74" t="s">
        <v>425</v>
      </c>
      <c r="EG74" t="s">
        <v>105</v>
      </c>
      <c r="EJ74" t="s">
        <v>526</v>
      </c>
      <c r="EK74" t="b">
        <v>0</v>
      </c>
      <c r="EL74" t="b">
        <v>0</v>
      </c>
      <c r="EM74" t="b">
        <v>0</v>
      </c>
      <c r="EO74" t="s">
        <v>177</v>
      </c>
      <c r="EP74" t="s">
        <v>1093</v>
      </c>
    </row>
    <row r="75" spans="3:146" ht="15">
      <c r="C75" s="82">
        <v>1213</v>
      </c>
      <c r="D75" s="5"/>
      <c r="E75" s="4">
        <v>1</v>
      </c>
      <c r="F75" s="5">
        <v>12.75</v>
      </c>
      <c r="G75" s="5" t="s">
        <v>1088</v>
      </c>
      <c r="H75" s="4" t="s">
        <v>1094</v>
      </c>
      <c r="I75" s="81" t="s">
        <v>466</v>
      </c>
      <c r="J75" s="21"/>
      <c r="K75" s="22" t="s">
        <v>1055</v>
      </c>
      <c r="L75" s="22">
        <v>1100272684993</v>
      </c>
      <c r="M75" s="23" t="s">
        <v>466</v>
      </c>
      <c r="N75" s="23">
        <v>43720</v>
      </c>
      <c r="O75" s="24" t="s">
        <v>102</v>
      </c>
      <c r="P75" s="24" t="s">
        <v>181</v>
      </c>
      <c r="Q75" s="24">
        <v>1</v>
      </c>
      <c r="R75" s="24">
        <v>12.75</v>
      </c>
      <c r="S75" t="s">
        <v>11</v>
      </c>
      <c r="T75">
        <v>3197</v>
      </c>
      <c r="U75" s="2" t="s">
        <v>163</v>
      </c>
      <c r="V75">
        <v>43727.566689814812</v>
      </c>
      <c r="W75" s="2" t="s">
        <v>444</v>
      </c>
      <c r="X75">
        <v>43727.605486111112</v>
      </c>
      <c r="AB75" t="s">
        <v>9</v>
      </c>
      <c r="AC75" t="s">
        <v>1007</v>
      </c>
      <c r="AD75" t="s">
        <v>249</v>
      </c>
      <c r="AE75">
        <v>70378671</v>
      </c>
      <c r="AF75">
        <v>70378671</v>
      </c>
      <c r="AG75" t="s">
        <v>183</v>
      </c>
      <c r="AH75" t="s">
        <v>1056</v>
      </c>
      <c r="AI75" t="s">
        <v>1056</v>
      </c>
      <c r="AJ75" t="s">
        <v>776</v>
      </c>
      <c r="AK75" t="s">
        <v>777</v>
      </c>
      <c r="AL75" t="s">
        <v>1057</v>
      </c>
      <c r="AO75" t="s">
        <v>1058</v>
      </c>
      <c r="AP75" t="s">
        <v>1011</v>
      </c>
      <c r="AQ75" t="s">
        <v>1059</v>
      </c>
      <c r="AR75" t="s">
        <v>1090</v>
      </c>
      <c r="AS75" t="s">
        <v>1091</v>
      </c>
      <c r="AT75" t="s">
        <v>1060</v>
      </c>
      <c r="AU75" t="s">
        <v>10</v>
      </c>
      <c r="AV75" t="s">
        <v>1061</v>
      </c>
      <c r="AW75" t="s">
        <v>1061</v>
      </c>
      <c r="AX75" t="s">
        <v>1062</v>
      </c>
      <c r="AY75" s="2"/>
      <c r="BA75" t="s">
        <v>1063</v>
      </c>
      <c r="BB75" t="s">
        <v>1064</v>
      </c>
      <c r="BC75" t="s">
        <v>253</v>
      </c>
      <c r="BD75">
        <v>545007</v>
      </c>
      <c r="BE75" t="s">
        <v>1092</v>
      </c>
      <c r="BF75" t="s">
        <v>1065</v>
      </c>
      <c r="BG75" t="b">
        <v>0</v>
      </c>
      <c r="BH75" s="6" t="s">
        <v>1066</v>
      </c>
      <c r="BI75" t="s">
        <v>1067</v>
      </c>
      <c r="BJ75">
        <v>4453163191</v>
      </c>
      <c r="BK75" t="s">
        <v>162</v>
      </c>
      <c r="BL75" t="s">
        <v>161</v>
      </c>
      <c r="BM75" s="2"/>
      <c r="BO75" t="s">
        <v>89</v>
      </c>
      <c r="BP75">
        <v>7318210001</v>
      </c>
      <c r="BR75" t="s">
        <v>189</v>
      </c>
      <c r="BS75" t="s">
        <v>103</v>
      </c>
      <c r="BU75">
        <v>255.76</v>
      </c>
      <c r="BV75">
        <v>448.86</v>
      </c>
      <c r="BW75">
        <v>0</v>
      </c>
      <c r="BX75">
        <v>0</v>
      </c>
      <c r="BY75">
        <v>0</v>
      </c>
      <c r="BZ75">
        <v>0</v>
      </c>
      <c r="CA75">
        <v>704.62</v>
      </c>
      <c r="CF75" s="2"/>
      <c r="CH75" s="2"/>
      <c r="CJ75">
        <v>5.3142019950130099E+17</v>
      </c>
      <c r="CK75" t="s">
        <v>500</v>
      </c>
      <c r="CL75">
        <v>43720.375162037039</v>
      </c>
      <c r="CO75" t="s">
        <v>11</v>
      </c>
      <c r="CP75">
        <v>3197</v>
      </c>
      <c r="CQ75" t="s">
        <v>11</v>
      </c>
      <c r="CR75">
        <v>3197</v>
      </c>
      <c r="CV75" t="s">
        <v>190</v>
      </c>
      <c r="CW75" t="s">
        <v>12</v>
      </c>
      <c r="CX75" t="s">
        <v>12</v>
      </c>
      <c r="CY75" t="s">
        <v>12</v>
      </c>
      <c r="DA75" t="s">
        <v>104</v>
      </c>
      <c r="DD75" t="s">
        <v>93</v>
      </c>
      <c r="DQ75" t="s">
        <v>94</v>
      </c>
      <c r="DR75" t="s">
        <v>94</v>
      </c>
      <c r="DS75" t="s">
        <v>94</v>
      </c>
      <c r="DT75" t="s">
        <v>94</v>
      </c>
      <c r="DU75" t="s">
        <v>94</v>
      </c>
      <c r="DV75" t="s">
        <v>94</v>
      </c>
      <c r="DW75" t="s">
        <v>94</v>
      </c>
      <c r="DX75" s="2" t="s">
        <v>94</v>
      </c>
      <c r="DY75" t="s">
        <v>94</v>
      </c>
      <c r="DZ75" t="s">
        <v>94</v>
      </c>
      <c r="EA75" t="s">
        <v>94</v>
      </c>
      <c r="EB75" t="s">
        <v>94</v>
      </c>
      <c r="EC75" t="s">
        <v>94</v>
      </c>
      <c r="ED75" t="s">
        <v>94</v>
      </c>
      <c r="EE75" t="s">
        <v>89</v>
      </c>
      <c r="EF75" t="s">
        <v>425</v>
      </c>
      <c r="EG75" t="s">
        <v>105</v>
      </c>
      <c r="EJ75" t="s">
        <v>526</v>
      </c>
      <c r="EK75" t="b">
        <v>0</v>
      </c>
      <c r="EL75" t="b">
        <v>0</v>
      </c>
      <c r="EM75" t="b">
        <v>0</v>
      </c>
      <c r="EO75" t="s">
        <v>177</v>
      </c>
      <c r="EP75" t="s">
        <v>1096</v>
      </c>
    </row>
    <row r="76" spans="3:146">
      <c r="C76" s="4">
        <v>1213</v>
      </c>
      <c r="D76" s="4"/>
      <c r="E76" s="4">
        <v>2</v>
      </c>
      <c r="F76" s="4">
        <v>8.8000000000000007</v>
      </c>
      <c r="G76" s="5" t="s">
        <v>1088</v>
      </c>
      <c r="H76" s="4" t="s">
        <v>1095</v>
      </c>
      <c r="I76" s="4" t="s">
        <v>466</v>
      </c>
      <c r="J76" s="5"/>
      <c r="K76" s="22" t="s">
        <v>1068</v>
      </c>
      <c r="L76" s="22">
        <v>1100272684993</v>
      </c>
      <c r="M76" s="23" t="s">
        <v>466</v>
      </c>
      <c r="N76" s="23">
        <v>43720</v>
      </c>
      <c r="O76" s="24" t="s">
        <v>102</v>
      </c>
      <c r="P76" s="24" t="s">
        <v>181</v>
      </c>
      <c r="Q76" s="24">
        <v>2</v>
      </c>
      <c r="R76" s="24">
        <v>8.8000000000000007</v>
      </c>
      <c r="S76" t="s">
        <v>11</v>
      </c>
      <c r="T76">
        <v>1</v>
      </c>
      <c r="U76" s="2" t="s">
        <v>163</v>
      </c>
      <c r="V76">
        <v>43727.566631944443</v>
      </c>
      <c r="W76" s="2" t="s">
        <v>444</v>
      </c>
      <c r="X76">
        <v>43727.605486111112</v>
      </c>
      <c r="AB76" t="s">
        <v>9</v>
      </c>
      <c r="AC76" t="s">
        <v>1007</v>
      </c>
      <c r="AD76" t="s">
        <v>249</v>
      </c>
      <c r="AE76">
        <v>70378671</v>
      </c>
      <c r="AF76">
        <v>70378671</v>
      </c>
      <c r="AG76" t="s">
        <v>183</v>
      </c>
      <c r="AH76" t="s">
        <v>1056</v>
      </c>
      <c r="AI76" t="s">
        <v>1056</v>
      </c>
      <c r="AJ76" t="s">
        <v>776</v>
      </c>
      <c r="AK76" t="s">
        <v>777</v>
      </c>
      <c r="AL76" t="s">
        <v>1057</v>
      </c>
      <c r="AO76" t="s">
        <v>1058</v>
      </c>
      <c r="AP76" t="s">
        <v>1011</v>
      </c>
      <c r="AQ76" t="s">
        <v>1059</v>
      </c>
      <c r="AR76" t="s">
        <v>1090</v>
      </c>
      <c r="AS76" t="s">
        <v>1091</v>
      </c>
      <c r="AT76" t="s">
        <v>1060</v>
      </c>
      <c r="AU76" t="s">
        <v>10</v>
      </c>
      <c r="AV76" t="s">
        <v>1061</v>
      </c>
      <c r="AW76" t="s">
        <v>1061</v>
      </c>
      <c r="AX76" t="s">
        <v>1062</v>
      </c>
      <c r="BA76" t="s">
        <v>1063</v>
      </c>
      <c r="BB76" t="s">
        <v>1064</v>
      </c>
      <c r="BC76" t="s">
        <v>253</v>
      </c>
      <c r="BD76">
        <v>545007</v>
      </c>
      <c r="BE76" t="s">
        <v>1092</v>
      </c>
      <c r="BF76" t="s">
        <v>1065</v>
      </c>
      <c r="BG76" t="b">
        <v>0</v>
      </c>
      <c r="BH76" s="6" t="s">
        <v>1066</v>
      </c>
      <c r="BI76" t="s">
        <v>1069</v>
      </c>
      <c r="BJ76">
        <v>4453163191</v>
      </c>
      <c r="BK76" t="s">
        <v>162</v>
      </c>
      <c r="BL76" t="s">
        <v>161</v>
      </c>
      <c r="BM76" s="2"/>
      <c r="BO76" t="s">
        <v>89</v>
      </c>
      <c r="BP76">
        <v>7318210001</v>
      </c>
      <c r="BR76" t="s">
        <v>180</v>
      </c>
      <c r="BS76" t="s">
        <v>103</v>
      </c>
      <c r="BU76">
        <v>0</v>
      </c>
      <c r="BV76">
        <v>0</v>
      </c>
      <c r="BW76">
        <v>0</v>
      </c>
      <c r="BX76">
        <v>0</v>
      </c>
      <c r="BY76">
        <v>0</v>
      </c>
      <c r="BZ76">
        <v>0</v>
      </c>
      <c r="CA76">
        <v>0</v>
      </c>
      <c r="CF76" s="2"/>
      <c r="CH76" s="2"/>
      <c r="CJ76">
        <v>5.3142019950130099E+17</v>
      </c>
      <c r="CK76" t="s">
        <v>500</v>
      </c>
      <c r="CL76">
        <v>43720.375208333331</v>
      </c>
      <c r="CO76" t="s">
        <v>11</v>
      </c>
      <c r="CP76">
        <v>1</v>
      </c>
      <c r="CQ76" t="s">
        <v>11</v>
      </c>
      <c r="CR76">
        <v>1</v>
      </c>
      <c r="CV76" t="s">
        <v>190</v>
      </c>
      <c r="CW76" t="s">
        <v>12</v>
      </c>
      <c r="CX76" t="s">
        <v>12</v>
      </c>
      <c r="CY76" t="s">
        <v>12</v>
      </c>
      <c r="DA76" t="s">
        <v>104</v>
      </c>
      <c r="DD76" t="s">
        <v>93</v>
      </c>
      <c r="DQ76" t="s">
        <v>94</v>
      </c>
      <c r="DR76" t="s">
        <v>94</v>
      </c>
      <c r="DS76" t="s">
        <v>94</v>
      </c>
      <c r="DT76" t="s">
        <v>94</v>
      </c>
      <c r="DU76" t="s">
        <v>94</v>
      </c>
      <c r="DV76" t="s">
        <v>94</v>
      </c>
      <c r="DW76" t="s">
        <v>94</v>
      </c>
      <c r="DX76" s="2" t="s">
        <v>94</v>
      </c>
      <c r="DY76" t="s">
        <v>94</v>
      </c>
      <c r="DZ76" t="s">
        <v>94</v>
      </c>
      <c r="EA76" t="s">
        <v>94</v>
      </c>
      <c r="EB76" t="s">
        <v>94</v>
      </c>
      <c r="EC76" t="s">
        <v>94</v>
      </c>
      <c r="ED76" t="s">
        <v>94</v>
      </c>
      <c r="EE76" t="s">
        <v>89</v>
      </c>
      <c r="EF76" t="s">
        <v>425</v>
      </c>
      <c r="EG76" t="s">
        <v>105</v>
      </c>
      <c r="EJ76" t="s">
        <v>526</v>
      </c>
      <c r="EK76" t="b">
        <v>0</v>
      </c>
      <c r="EL76" t="b">
        <v>0</v>
      </c>
      <c r="EM76" t="b">
        <v>0</v>
      </c>
      <c r="EO76" t="s">
        <v>177</v>
      </c>
      <c r="EP76" t="s">
        <v>1096</v>
      </c>
    </row>
    <row r="77" spans="3:146" ht="15">
      <c r="C77" s="82">
        <v>213</v>
      </c>
      <c r="D77" s="5"/>
      <c r="E77" s="4">
        <v>1</v>
      </c>
      <c r="F77" s="5">
        <v>14.55</v>
      </c>
      <c r="G77" s="5" t="s">
        <v>959</v>
      </c>
      <c r="H77" s="4" t="s">
        <v>1097</v>
      </c>
      <c r="I77" s="81" t="s">
        <v>920</v>
      </c>
      <c r="J77" s="21"/>
      <c r="K77" s="22" t="s">
        <v>1098</v>
      </c>
      <c r="L77" s="22">
        <v>1100271750023</v>
      </c>
      <c r="M77" s="23" t="s">
        <v>905</v>
      </c>
      <c r="N77" s="23">
        <v>43728</v>
      </c>
      <c r="O77" s="24" t="s">
        <v>102</v>
      </c>
      <c r="P77" s="24" t="s">
        <v>181</v>
      </c>
      <c r="Q77" s="24">
        <v>1</v>
      </c>
      <c r="R77" s="24">
        <v>14.55</v>
      </c>
      <c r="S77" t="s">
        <v>319</v>
      </c>
      <c r="T77">
        <v>650</v>
      </c>
      <c r="U77" s="2" t="s">
        <v>163</v>
      </c>
      <c r="V77">
        <v>43728.83997685185</v>
      </c>
      <c r="W77" s="2" t="s">
        <v>444</v>
      </c>
      <c r="X77">
        <v>43728.856388888889</v>
      </c>
      <c r="AB77" t="s">
        <v>9</v>
      </c>
      <c r="AC77" t="s">
        <v>1070</v>
      </c>
      <c r="AD77" t="s">
        <v>191</v>
      </c>
      <c r="AE77">
        <v>44541</v>
      </c>
      <c r="AF77">
        <v>44541</v>
      </c>
      <c r="AG77" t="s">
        <v>183</v>
      </c>
      <c r="AH77" t="s">
        <v>1071</v>
      </c>
      <c r="AI77" t="s">
        <v>1071</v>
      </c>
      <c r="AJ77" t="s">
        <v>1072</v>
      </c>
      <c r="AK77" t="s">
        <v>1073</v>
      </c>
      <c r="AL77" t="s">
        <v>1074</v>
      </c>
      <c r="AO77" t="s">
        <v>1075</v>
      </c>
      <c r="AP77" t="s">
        <v>1076</v>
      </c>
      <c r="AR77" t="s">
        <v>1077</v>
      </c>
      <c r="AS77" t="s">
        <v>1078</v>
      </c>
      <c r="AT77" t="s">
        <v>1079</v>
      </c>
      <c r="AU77" t="s">
        <v>10</v>
      </c>
      <c r="AV77" t="s">
        <v>1080</v>
      </c>
      <c r="AW77" t="s">
        <v>1080</v>
      </c>
      <c r="AX77" t="s">
        <v>1081</v>
      </c>
      <c r="AY77" s="2" t="s">
        <v>1082</v>
      </c>
      <c r="AZ77" t="s">
        <v>1083</v>
      </c>
      <c r="BA77" t="s">
        <v>371</v>
      </c>
      <c r="BB77" t="s">
        <v>192</v>
      </c>
      <c r="BC77" t="s">
        <v>188</v>
      </c>
      <c r="BD77">
        <v>523872</v>
      </c>
      <c r="BE77" t="s">
        <v>1084</v>
      </c>
      <c r="BF77" t="s">
        <v>1085</v>
      </c>
      <c r="BG77" t="b">
        <v>0</v>
      </c>
      <c r="BH77" s="6" t="s">
        <v>1086</v>
      </c>
      <c r="BI77" t="s">
        <v>1087</v>
      </c>
      <c r="BJ77">
        <v>4453163191</v>
      </c>
      <c r="BK77" t="s">
        <v>162</v>
      </c>
      <c r="BL77" t="s">
        <v>161</v>
      </c>
      <c r="BM77" s="2"/>
      <c r="BO77" t="s">
        <v>89</v>
      </c>
      <c r="BP77">
        <v>84804900</v>
      </c>
      <c r="BR77" t="s">
        <v>189</v>
      </c>
      <c r="BS77" t="s">
        <v>103</v>
      </c>
      <c r="BU77">
        <v>365.62</v>
      </c>
      <c r="BV77">
        <v>641.66999999999996</v>
      </c>
      <c r="BW77">
        <v>0</v>
      </c>
      <c r="BX77">
        <v>0</v>
      </c>
      <c r="BY77">
        <v>0</v>
      </c>
      <c r="BZ77">
        <v>0</v>
      </c>
      <c r="CA77">
        <v>1007.29</v>
      </c>
      <c r="CF77" s="2"/>
      <c r="CH77" s="2"/>
      <c r="CJ77">
        <v>5.3142019950134598E+17</v>
      </c>
      <c r="CK77" t="s">
        <v>500</v>
      </c>
      <c r="CL77">
        <v>43728.373402777775</v>
      </c>
      <c r="CO77" t="s">
        <v>11</v>
      </c>
      <c r="CP77">
        <v>4570.28</v>
      </c>
      <c r="CQ77" t="s">
        <v>11</v>
      </c>
      <c r="CR77">
        <v>4570.28</v>
      </c>
      <c r="CV77" t="s">
        <v>190</v>
      </c>
      <c r="CW77" t="s">
        <v>12</v>
      </c>
      <c r="CX77" t="s">
        <v>12</v>
      </c>
      <c r="CY77" t="s">
        <v>12</v>
      </c>
      <c r="DA77" t="s">
        <v>104</v>
      </c>
      <c r="DD77" t="s">
        <v>93</v>
      </c>
      <c r="DQ77" t="s">
        <v>94</v>
      </c>
      <c r="DR77" t="s">
        <v>94</v>
      </c>
      <c r="DS77" t="s">
        <v>94</v>
      </c>
      <c r="DT77" t="s">
        <v>94</v>
      </c>
      <c r="DU77" t="s">
        <v>94</v>
      </c>
      <c r="DV77" t="s">
        <v>94</v>
      </c>
      <c r="DW77" t="s">
        <v>94</v>
      </c>
      <c r="DX77" s="2" t="s">
        <v>94</v>
      </c>
      <c r="DY77" t="s">
        <v>94</v>
      </c>
      <c r="DZ77" t="s">
        <v>94</v>
      </c>
      <c r="EA77" t="s">
        <v>94</v>
      </c>
      <c r="EB77" t="s">
        <v>94</v>
      </c>
      <c r="EC77" t="s">
        <v>94</v>
      </c>
      <c r="ED77" t="s">
        <v>94</v>
      </c>
      <c r="EE77" t="s">
        <v>89</v>
      </c>
      <c r="EF77" t="s">
        <v>425</v>
      </c>
      <c r="EG77" t="s">
        <v>105</v>
      </c>
      <c r="EJ77" t="s">
        <v>166</v>
      </c>
      <c r="EK77" t="b">
        <v>0</v>
      </c>
      <c r="EL77" t="b">
        <v>0</v>
      </c>
      <c r="EM77" t="b">
        <v>0</v>
      </c>
      <c r="EO77" t="s">
        <v>177</v>
      </c>
      <c r="EP77" t="s">
        <v>1099</v>
      </c>
    </row>
    <row r="78" spans="3:146" ht="15">
      <c r="C78" s="82">
        <v>2</v>
      </c>
      <c r="D78" s="5">
        <v>124</v>
      </c>
      <c r="E78" s="4">
        <v>2</v>
      </c>
      <c r="F78" s="5">
        <v>124</v>
      </c>
      <c r="G78" s="5" t="s">
        <v>1119</v>
      </c>
      <c r="H78" s="4" t="s">
        <v>1094</v>
      </c>
      <c r="I78" s="81" t="s">
        <v>817</v>
      </c>
      <c r="J78" s="21"/>
      <c r="K78" s="22" t="s">
        <v>1100</v>
      </c>
      <c r="L78" s="22">
        <v>1100271750052</v>
      </c>
      <c r="M78" s="23" t="s">
        <v>817</v>
      </c>
      <c r="N78" s="23">
        <v>43730</v>
      </c>
      <c r="O78" s="24" t="s">
        <v>102</v>
      </c>
      <c r="P78" s="24" t="s">
        <v>480</v>
      </c>
      <c r="Q78" s="24">
        <v>2</v>
      </c>
      <c r="R78" s="24">
        <v>6.6</v>
      </c>
      <c r="S78" t="s">
        <v>528</v>
      </c>
      <c r="T78">
        <v>2120</v>
      </c>
      <c r="U78" s="2"/>
      <c r="W78" s="2"/>
      <c r="AB78" t="s">
        <v>9</v>
      </c>
      <c r="AC78" t="s">
        <v>1101</v>
      </c>
      <c r="AD78" t="s">
        <v>275</v>
      </c>
      <c r="AE78" t="s">
        <v>183</v>
      </c>
      <c r="AF78" t="s">
        <v>183</v>
      </c>
      <c r="AG78">
        <v>3114808</v>
      </c>
      <c r="AH78" t="s">
        <v>1102</v>
      </c>
      <c r="AI78" t="s">
        <v>1102</v>
      </c>
      <c r="AJ78" t="s">
        <v>484</v>
      </c>
      <c r="AK78" t="s">
        <v>485</v>
      </c>
      <c r="AL78" t="s">
        <v>1103</v>
      </c>
      <c r="AO78" t="s">
        <v>1104</v>
      </c>
      <c r="AP78" t="s">
        <v>1105</v>
      </c>
      <c r="AQ78" t="s">
        <v>1106</v>
      </c>
      <c r="AR78" t="s">
        <v>1107</v>
      </c>
      <c r="AS78">
        <v>310172745396</v>
      </c>
      <c r="AT78" t="s">
        <v>1108</v>
      </c>
      <c r="AU78" t="s">
        <v>10</v>
      </c>
      <c r="AV78" t="s">
        <v>1109</v>
      </c>
      <c r="AW78" t="s">
        <v>1109</v>
      </c>
      <c r="AX78" t="s">
        <v>1110</v>
      </c>
      <c r="AY78" s="2" t="s">
        <v>1111</v>
      </c>
      <c r="BA78" t="s">
        <v>1112</v>
      </c>
      <c r="BB78" t="s">
        <v>1113</v>
      </c>
      <c r="BC78" t="s">
        <v>1114</v>
      </c>
      <c r="BD78">
        <v>110021</v>
      </c>
      <c r="BE78" t="s">
        <v>1115</v>
      </c>
      <c r="BF78" t="s">
        <v>1116</v>
      </c>
      <c r="BG78" t="b">
        <v>0</v>
      </c>
      <c r="BH78" s="6" t="s">
        <v>1117</v>
      </c>
      <c r="BI78" t="s">
        <v>1118</v>
      </c>
      <c r="BJ78">
        <v>4453163191</v>
      </c>
      <c r="BK78" t="s">
        <v>162</v>
      </c>
      <c r="BL78" t="s">
        <v>161</v>
      </c>
      <c r="BM78" s="2"/>
      <c r="BN78">
        <v>9.1210106096845594E+17</v>
      </c>
      <c r="BR78" t="s">
        <v>189</v>
      </c>
      <c r="BS78" t="s">
        <v>103</v>
      </c>
      <c r="BU78">
        <v>0</v>
      </c>
      <c r="BV78">
        <v>0</v>
      </c>
      <c r="BW78">
        <v>0</v>
      </c>
      <c r="BX78">
        <v>0</v>
      </c>
      <c r="BY78">
        <v>0</v>
      </c>
      <c r="BZ78">
        <v>0</v>
      </c>
      <c r="CA78">
        <v>0</v>
      </c>
      <c r="CF78" s="2"/>
      <c r="CH78" s="2"/>
      <c r="CK78" t="s">
        <v>165</v>
      </c>
      <c r="CL78">
        <v>43730.428576388891</v>
      </c>
      <c r="CO78" t="s">
        <v>11</v>
      </c>
      <c r="CP78">
        <v>16704.96</v>
      </c>
      <c r="CQ78" t="s">
        <v>11</v>
      </c>
      <c r="CR78">
        <v>16704.96</v>
      </c>
      <c r="CV78" t="s">
        <v>525</v>
      </c>
      <c r="CW78" t="s">
        <v>12</v>
      </c>
      <c r="CX78" t="s">
        <v>12</v>
      </c>
      <c r="CY78" t="s">
        <v>12</v>
      </c>
      <c r="DA78" t="s">
        <v>104</v>
      </c>
      <c r="DD78" t="s">
        <v>93</v>
      </c>
      <c r="DQ78" t="s">
        <v>94</v>
      </c>
      <c r="DR78" t="s">
        <v>94</v>
      </c>
      <c r="DS78" t="s">
        <v>94</v>
      </c>
      <c r="DT78" t="s">
        <v>94</v>
      </c>
      <c r="DU78" t="s">
        <v>94</v>
      </c>
      <c r="DV78" t="s">
        <v>94</v>
      </c>
      <c r="DW78" t="s">
        <v>94</v>
      </c>
      <c r="DX78" s="2" t="s">
        <v>94</v>
      </c>
      <c r="DY78" t="s">
        <v>94</v>
      </c>
      <c r="DZ78" t="s">
        <v>94</v>
      </c>
      <c r="EA78" t="s">
        <v>94</v>
      </c>
      <c r="EB78" t="s">
        <v>94</v>
      </c>
      <c r="EC78" t="s">
        <v>94</v>
      </c>
      <c r="ED78" t="s">
        <v>94</v>
      </c>
      <c r="EE78" t="s">
        <v>89</v>
      </c>
      <c r="EF78" t="s">
        <v>425</v>
      </c>
      <c r="EG78" t="s">
        <v>105</v>
      </c>
      <c r="EJ78" t="s">
        <v>166</v>
      </c>
      <c r="EK78" t="b">
        <v>0</v>
      </c>
      <c r="EL78" t="b">
        <v>0</v>
      </c>
      <c r="EM78" t="b">
        <v>0</v>
      </c>
      <c r="EO78" t="s">
        <v>178</v>
      </c>
      <c r="EP78" t="s">
        <v>1120</v>
      </c>
    </row>
    <row r="79" spans="3:146" ht="15">
      <c r="C79" s="82">
        <v>2</v>
      </c>
      <c r="D79" s="5">
        <v>124</v>
      </c>
      <c r="E79" s="4">
        <v>2</v>
      </c>
      <c r="F79" s="5">
        <v>124</v>
      </c>
      <c r="G79" s="5" t="s">
        <v>1119</v>
      </c>
      <c r="H79" s="4" t="s">
        <v>1121</v>
      </c>
      <c r="I79" s="81" t="s">
        <v>817</v>
      </c>
      <c r="J79" s="21"/>
      <c r="K79" s="22" t="s">
        <v>1100</v>
      </c>
      <c r="L79" s="22">
        <v>1100271750052</v>
      </c>
      <c r="M79" s="23" t="s">
        <v>817</v>
      </c>
      <c r="N79" s="23">
        <v>43730</v>
      </c>
      <c r="O79" s="24" t="s">
        <v>102</v>
      </c>
      <c r="P79" s="24" t="s">
        <v>480</v>
      </c>
      <c r="Q79" s="24">
        <v>2</v>
      </c>
      <c r="R79" s="24">
        <v>6.6</v>
      </c>
      <c r="S79" t="s">
        <v>528</v>
      </c>
      <c r="T79">
        <v>2120</v>
      </c>
      <c r="U79" s="2"/>
      <c r="W79" s="2"/>
      <c r="AB79" t="s">
        <v>9</v>
      </c>
      <c r="AC79" t="s">
        <v>1101</v>
      </c>
      <c r="AD79" t="s">
        <v>275</v>
      </c>
      <c r="AE79" t="s">
        <v>183</v>
      </c>
      <c r="AF79" t="s">
        <v>183</v>
      </c>
      <c r="AG79">
        <v>3114808</v>
      </c>
      <c r="AH79" t="s">
        <v>1102</v>
      </c>
      <c r="AI79" t="s">
        <v>1102</v>
      </c>
      <c r="AJ79" t="s">
        <v>484</v>
      </c>
      <c r="AK79" t="s">
        <v>485</v>
      </c>
      <c r="AL79" t="s">
        <v>1103</v>
      </c>
      <c r="AO79" t="s">
        <v>1104</v>
      </c>
      <c r="AP79" t="s">
        <v>1105</v>
      </c>
      <c r="AQ79" t="s">
        <v>1106</v>
      </c>
      <c r="AR79" t="s">
        <v>1107</v>
      </c>
      <c r="AS79">
        <v>310172745396</v>
      </c>
      <c r="AT79" t="s">
        <v>1108</v>
      </c>
      <c r="AU79" t="s">
        <v>10</v>
      </c>
      <c r="AV79" t="s">
        <v>1109</v>
      </c>
      <c r="AW79" t="s">
        <v>1109</v>
      </c>
      <c r="AX79" t="s">
        <v>1110</v>
      </c>
      <c r="AY79" s="2" t="s">
        <v>1111</v>
      </c>
      <c r="BA79" t="s">
        <v>1112</v>
      </c>
      <c r="BB79" t="s">
        <v>1113</v>
      </c>
      <c r="BC79" t="s">
        <v>1114</v>
      </c>
      <c r="BD79">
        <v>110021</v>
      </c>
      <c r="BE79" t="s">
        <v>1115</v>
      </c>
      <c r="BF79" t="s">
        <v>1116</v>
      </c>
      <c r="BG79" t="b">
        <v>0</v>
      </c>
      <c r="BH79" s="6" t="s">
        <v>1117</v>
      </c>
      <c r="BI79" t="s">
        <v>1118</v>
      </c>
      <c r="BJ79">
        <v>4453163191</v>
      </c>
      <c r="BK79" t="s">
        <v>162</v>
      </c>
      <c r="BL79" t="s">
        <v>161</v>
      </c>
      <c r="BM79" s="2"/>
      <c r="BN79">
        <v>9.1210106096845594E+17</v>
      </c>
      <c r="BR79" t="s">
        <v>189</v>
      </c>
      <c r="BS79" t="s">
        <v>103</v>
      </c>
      <c r="BU79">
        <v>0</v>
      </c>
      <c r="BV79">
        <v>0</v>
      </c>
      <c r="BW79">
        <v>0</v>
      </c>
      <c r="BX79">
        <v>0</v>
      </c>
      <c r="BY79">
        <v>0</v>
      </c>
      <c r="BZ79">
        <v>0</v>
      </c>
      <c r="CA79">
        <v>0</v>
      </c>
      <c r="CF79" s="2"/>
      <c r="CH79" s="2"/>
      <c r="CK79" t="s">
        <v>165</v>
      </c>
      <c r="CL79">
        <v>43730.428576388891</v>
      </c>
      <c r="CO79" t="s">
        <v>11</v>
      </c>
      <c r="CP79">
        <v>16704.96</v>
      </c>
      <c r="CQ79" t="s">
        <v>11</v>
      </c>
      <c r="CR79">
        <v>16704.96</v>
      </c>
      <c r="CV79" t="s">
        <v>525</v>
      </c>
      <c r="CW79" t="s">
        <v>12</v>
      </c>
      <c r="CX79" t="s">
        <v>12</v>
      </c>
      <c r="CY79" t="s">
        <v>12</v>
      </c>
      <c r="DA79" t="s">
        <v>104</v>
      </c>
      <c r="DD79" t="s">
        <v>93</v>
      </c>
      <c r="DQ79" t="s">
        <v>94</v>
      </c>
      <c r="DR79" t="s">
        <v>94</v>
      </c>
      <c r="DS79" t="s">
        <v>94</v>
      </c>
      <c r="DT79" t="s">
        <v>94</v>
      </c>
      <c r="DU79" t="s">
        <v>94</v>
      </c>
      <c r="DV79" t="s">
        <v>94</v>
      </c>
      <c r="DW79" t="s">
        <v>94</v>
      </c>
      <c r="DX79" s="2" t="s">
        <v>94</v>
      </c>
      <c r="DY79" t="s">
        <v>94</v>
      </c>
      <c r="DZ79" t="s">
        <v>94</v>
      </c>
      <c r="EA79" t="s">
        <v>94</v>
      </c>
      <c r="EB79" t="s">
        <v>94</v>
      </c>
      <c r="EC79" t="s">
        <v>94</v>
      </c>
      <c r="ED79" t="s">
        <v>94</v>
      </c>
      <c r="EE79" t="s">
        <v>89</v>
      </c>
      <c r="EF79" t="s">
        <v>425</v>
      </c>
      <c r="EG79" t="s">
        <v>105</v>
      </c>
      <c r="EJ79" t="s">
        <v>166</v>
      </c>
      <c r="EK79" t="b">
        <v>0</v>
      </c>
      <c r="EL79" t="b">
        <v>0</v>
      </c>
      <c r="EM79" t="b">
        <v>0</v>
      </c>
      <c r="EO79" t="s">
        <v>178</v>
      </c>
      <c r="EP79" t="s">
        <v>1122</v>
      </c>
    </row>
    <row r="80" spans="3:146" ht="15">
      <c r="C80" s="82">
        <v>2</v>
      </c>
      <c r="D80" s="5"/>
      <c r="E80" s="4">
        <v>1</v>
      </c>
      <c r="F80" s="5">
        <v>0.8</v>
      </c>
      <c r="G80" s="5" t="s">
        <v>857</v>
      </c>
      <c r="H80" s="4" t="s">
        <v>1162</v>
      </c>
      <c r="I80" s="81" t="s">
        <v>164</v>
      </c>
      <c r="J80" s="21"/>
      <c r="K80" s="22" t="s">
        <v>1123</v>
      </c>
      <c r="L80" s="22">
        <v>1100272684971</v>
      </c>
      <c r="M80" s="23" t="s">
        <v>447</v>
      </c>
      <c r="N80" s="23">
        <v>43718</v>
      </c>
      <c r="O80" s="24" t="s">
        <v>102</v>
      </c>
      <c r="P80" s="24" t="s">
        <v>179</v>
      </c>
      <c r="Q80" s="24">
        <v>1</v>
      </c>
      <c r="R80" s="24">
        <v>0.8</v>
      </c>
      <c r="S80" t="s">
        <v>319</v>
      </c>
      <c r="T80">
        <v>24</v>
      </c>
      <c r="U80" s="2" t="s">
        <v>163</v>
      </c>
      <c r="V80">
        <v>43718.791331018518</v>
      </c>
      <c r="W80" s="2" t="s">
        <v>444</v>
      </c>
      <c r="X80">
        <v>43720.479791666665</v>
      </c>
      <c r="AB80" t="s">
        <v>9</v>
      </c>
      <c r="AC80" t="s">
        <v>1124</v>
      </c>
      <c r="AD80" t="s">
        <v>1125</v>
      </c>
      <c r="AE80">
        <v>238093</v>
      </c>
      <c r="AF80">
        <v>238093</v>
      </c>
      <c r="AG80" t="s">
        <v>183</v>
      </c>
      <c r="AH80" t="s">
        <v>1126</v>
      </c>
      <c r="AI80" t="s">
        <v>1126</v>
      </c>
      <c r="AJ80" t="s">
        <v>1127</v>
      </c>
      <c r="AK80" t="s">
        <v>1128</v>
      </c>
      <c r="AL80" t="s">
        <v>1129</v>
      </c>
      <c r="AO80" t="s">
        <v>1130</v>
      </c>
      <c r="AP80" t="s">
        <v>1131</v>
      </c>
      <c r="AR80">
        <v>667</v>
      </c>
      <c r="AS80">
        <v>4723378880</v>
      </c>
      <c r="AT80" t="s">
        <v>1132</v>
      </c>
      <c r="AU80" t="s">
        <v>10</v>
      </c>
      <c r="AV80" t="s">
        <v>1133</v>
      </c>
      <c r="AW80" t="s">
        <v>1133</v>
      </c>
      <c r="AX80" t="s">
        <v>1134</v>
      </c>
      <c r="AY80" s="2" t="s">
        <v>1135</v>
      </c>
      <c r="AZ80" t="s">
        <v>1136</v>
      </c>
      <c r="BA80" t="s">
        <v>1137</v>
      </c>
      <c r="BB80" t="s">
        <v>1138</v>
      </c>
      <c r="BC80" t="s">
        <v>188</v>
      </c>
      <c r="BD80">
        <v>528322</v>
      </c>
      <c r="BE80" t="s">
        <v>1163</v>
      </c>
      <c r="BF80" t="s">
        <v>1139</v>
      </c>
      <c r="BG80" t="b">
        <v>0</v>
      </c>
      <c r="BH80" s="6" t="s">
        <v>1140</v>
      </c>
      <c r="BI80" t="s">
        <v>1141</v>
      </c>
      <c r="BJ80">
        <v>4453163191</v>
      </c>
      <c r="BK80" t="s">
        <v>162</v>
      </c>
      <c r="BL80" t="s">
        <v>161</v>
      </c>
      <c r="BM80" s="2"/>
      <c r="BO80" t="s">
        <v>89</v>
      </c>
      <c r="BP80">
        <v>71171900</v>
      </c>
      <c r="BR80" t="s">
        <v>189</v>
      </c>
      <c r="BS80" t="s">
        <v>103</v>
      </c>
      <c r="BU80">
        <v>0</v>
      </c>
      <c r="BV80">
        <v>0</v>
      </c>
      <c r="BW80">
        <v>0</v>
      </c>
      <c r="BX80">
        <v>0</v>
      </c>
      <c r="BY80">
        <v>0</v>
      </c>
      <c r="BZ80">
        <v>0</v>
      </c>
      <c r="CA80">
        <v>0</v>
      </c>
      <c r="CF80" s="2"/>
      <c r="CH80" s="2"/>
      <c r="CJ80">
        <v>5.3142019950128499E+17</v>
      </c>
      <c r="CK80" t="s">
        <v>500</v>
      </c>
      <c r="CL80">
        <v>43718.371539351851</v>
      </c>
      <c r="CO80" t="s">
        <v>11</v>
      </c>
      <c r="CP80">
        <v>168.75</v>
      </c>
      <c r="CQ80" t="s">
        <v>11</v>
      </c>
      <c r="CR80">
        <v>168.75</v>
      </c>
      <c r="CV80" t="s">
        <v>190</v>
      </c>
      <c r="CW80" t="s">
        <v>12</v>
      </c>
      <c r="CX80" t="s">
        <v>12</v>
      </c>
      <c r="CY80" t="s">
        <v>12</v>
      </c>
      <c r="DA80" t="s">
        <v>104</v>
      </c>
      <c r="DD80" t="s">
        <v>93</v>
      </c>
      <c r="DQ80" t="s">
        <v>94</v>
      </c>
      <c r="DR80" t="s">
        <v>94</v>
      </c>
      <c r="DS80" t="s">
        <v>94</v>
      </c>
      <c r="DT80" t="s">
        <v>94</v>
      </c>
      <c r="DU80" t="s">
        <v>94</v>
      </c>
      <c r="DV80" t="s">
        <v>94</v>
      </c>
      <c r="DW80" t="s">
        <v>94</v>
      </c>
      <c r="DX80" s="2" t="s">
        <v>94</v>
      </c>
      <c r="DY80" t="s">
        <v>94</v>
      </c>
      <c r="DZ80" t="s">
        <v>94</v>
      </c>
      <c r="EA80" t="s">
        <v>94</v>
      </c>
      <c r="EB80" t="s">
        <v>94</v>
      </c>
      <c r="EC80" t="s">
        <v>94</v>
      </c>
      <c r="ED80" t="s">
        <v>94</v>
      </c>
      <c r="EE80" t="s">
        <v>89</v>
      </c>
      <c r="EF80" t="s">
        <v>425</v>
      </c>
      <c r="EG80" t="s">
        <v>105</v>
      </c>
      <c r="EJ80" t="s">
        <v>166</v>
      </c>
      <c r="EK80" t="b">
        <v>0</v>
      </c>
      <c r="EL80" t="b">
        <v>0</v>
      </c>
      <c r="EM80" t="b">
        <v>0</v>
      </c>
      <c r="EO80" t="s">
        <v>177</v>
      </c>
      <c r="EP80" t="s">
        <v>1164</v>
      </c>
    </row>
    <row r="81" spans="3:146" ht="15">
      <c r="C81" s="82">
        <v>1212</v>
      </c>
      <c r="D81" s="5"/>
      <c r="E81" s="4">
        <v>1</v>
      </c>
      <c r="F81" s="5">
        <v>2.19</v>
      </c>
      <c r="G81" s="5" t="s">
        <v>751</v>
      </c>
      <c r="H81" s="4" t="s">
        <v>1165</v>
      </c>
      <c r="I81" s="81" t="s">
        <v>466</v>
      </c>
      <c r="J81" s="21"/>
      <c r="K81" s="22" t="s">
        <v>1142</v>
      </c>
      <c r="L81" s="22">
        <v>1100271750341</v>
      </c>
      <c r="M81" s="23" t="s">
        <v>466</v>
      </c>
      <c r="N81" s="23">
        <v>43716</v>
      </c>
      <c r="O81" s="24" t="s">
        <v>102</v>
      </c>
      <c r="P81" s="24" t="s">
        <v>181</v>
      </c>
      <c r="Q81" s="24">
        <v>1</v>
      </c>
      <c r="R81" s="24">
        <v>2.19</v>
      </c>
      <c r="S81" t="s">
        <v>11</v>
      </c>
      <c r="T81">
        <v>1313</v>
      </c>
      <c r="U81" s="2" t="s">
        <v>163</v>
      </c>
      <c r="V81">
        <v>43718.607314814813</v>
      </c>
      <c r="W81" s="2" t="s">
        <v>444</v>
      </c>
      <c r="X81">
        <v>43720.478425925925</v>
      </c>
      <c r="AB81" t="s">
        <v>9</v>
      </c>
      <c r="AC81" t="s">
        <v>1143</v>
      </c>
      <c r="AD81" t="s">
        <v>275</v>
      </c>
      <c r="AE81">
        <v>309331</v>
      </c>
      <c r="AF81">
        <v>309331</v>
      </c>
      <c r="AG81" t="s">
        <v>183</v>
      </c>
      <c r="AH81" t="s">
        <v>1144</v>
      </c>
      <c r="AI81" t="s">
        <v>1144</v>
      </c>
      <c r="AJ81" t="s">
        <v>644</v>
      </c>
      <c r="AK81" t="s">
        <v>645</v>
      </c>
      <c r="AL81" t="s">
        <v>1145</v>
      </c>
      <c r="AM81" t="s">
        <v>1146</v>
      </c>
      <c r="AN81" t="s">
        <v>1147</v>
      </c>
      <c r="AO81" t="s">
        <v>1148</v>
      </c>
      <c r="AP81" t="s">
        <v>1149</v>
      </c>
      <c r="AR81">
        <v>52200</v>
      </c>
      <c r="AS81">
        <v>362630313</v>
      </c>
      <c r="AT81" t="s">
        <v>1150</v>
      </c>
      <c r="AU81" t="s">
        <v>10</v>
      </c>
      <c r="AV81" t="s">
        <v>1151</v>
      </c>
      <c r="AW81" t="s">
        <v>1152</v>
      </c>
      <c r="AX81" t="s">
        <v>1153</v>
      </c>
      <c r="AY81" s="2" t="s">
        <v>1154</v>
      </c>
      <c r="AZ81" t="s">
        <v>1155</v>
      </c>
      <c r="BA81" t="s">
        <v>1156</v>
      </c>
      <c r="BB81" t="s">
        <v>1157</v>
      </c>
      <c r="BC81" t="s">
        <v>287</v>
      </c>
      <c r="BD81">
        <v>611731</v>
      </c>
      <c r="BE81" t="s">
        <v>1158</v>
      </c>
      <c r="BF81" t="s">
        <v>1159</v>
      </c>
      <c r="BG81" t="b">
        <v>0</v>
      </c>
      <c r="BH81" s="6" t="s">
        <v>1160</v>
      </c>
      <c r="BI81" t="s">
        <v>1161</v>
      </c>
      <c r="BJ81">
        <v>4453163191</v>
      </c>
      <c r="BK81" t="s">
        <v>162</v>
      </c>
      <c r="BL81" t="s">
        <v>161</v>
      </c>
      <c r="BM81" s="2"/>
      <c r="BO81" t="s">
        <v>89</v>
      </c>
      <c r="BP81">
        <v>82081019</v>
      </c>
      <c r="BR81" t="s">
        <v>180</v>
      </c>
      <c r="BS81" t="s">
        <v>103</v>
      </c>
      <c r="BU81">
        <v>105.04</v>
      </c>
      <c r="BV81">
        <v>184.35</v>
      </c>
      <c r="BW81">
        <v>0</v>
      </c>
      <c r="BX81">
        <v>0</v>
      </c>
      <c r="BY81">
        <v>0</v>
      </c>
      <c r="BZ81">
        <v>0</v>
      </c>
      <c r="CA81">
        <v>289.39</v>
      </c>
      <c r="CF81" s="2"/>
      <c r="CH81" s="2"/>
      <c r="CJ81">
        <v>5.3142019950127699E+17</v>
      </c>
      <c r="CK81" t="s">
        <v>165</v>
      </c>
      <c r="CL81">
        <v>43715.372581018521</v>
      </c>
      <c r="CO81" t="s">
        <v>11</v>
      </c>
      <c r="CP81">
        <v>1313</v>
      </c>
      <c r="CQ81" t="s">
        <v>11</v>
      </c>
      <c r="CR81">
        <v>1313</v>
      </c>
      <c r="CV81" t="s">
        <v>190</v>
      </c>
      <c r="CW81" t="s">
        <v>12</v>
      </c>
      <c r="CX81" t="s">
        <v>12</v>
      </c>
      <c r="CY81" t="s">
        <v>12</v>
      </c>
      <c r="DA81" t="s">
        <v>104</v>
      </c>
      <c r="DD81" t="s">
        <v>93</v>
      </c>
      <c r="DQ81" t="s">
        <v>94</v>
      </c>
      <c r="DR81" t="s">
        <v>94</v>
      </c>
      <c r="DS81" t="s">
        <v>94</v>
      </c>
      <c r="DT81" t="s">
        <v>94</v>
      </c>
      <c r="DU81" t="s">
        <v>94</v>
      </c>
      <c r="DV81" t="s">
        <v>94</v>
      </c>
      <c r="DW81" t="s">
        <v>94</v>
      </c>
      <c r="DX81" s="2" t="s">
        <v>94</v>
      </c>
      <c r="DY81" t="s">
        <v>94</v>
      </c>
      <c r="DZ81" t="s">
        <v>94</v>
      </c>
      <c r="EA81" t="s">
        <v>94</v>
      </c>
      <c r="EB81" t="s">
        <v>94</v>
      </c>
      <c r="EC81" t="s">
        <v>94</v>
      </c>
      <c r="ED81" t="s">
        <v>94</v>
      </c>
      <c r="EE81" t="s">
        <v>89</v>
      </c>
      <c r="EF81" t="s">
        <v>425</v>
      </c>
      <c r="EG81" t="s">
        <v>105</v>
      </c>
      <c r="EJ81" t="s">
        <v>526</v>
      </c>
      <c r="EK81" t="b">
        <v>0</v>
      </c>
      <c r="EL81" t="b">
        <v>0</v>
      </c>
      <c r="EM81" t="b">
        <v>0</v>
      </c>
      <c r="EO81" t="s">
        <v>177</v>
      </c>
      <c r="EP81" t="s">
        <v>1166</v>
      </c>
    </row>
    <row r="82" spans="3:146" ht="15">
      <c r="C82" s="82">
        <v>2</v>
      </c>
      <c r="D82" s="5">
        <v>124</v>
      </c>
      <c r="E82" s="4">
        <v>2</v>
      </c>
      <c r="F82" s="5">
        <v>124</v>
      </c>
      <c r="G82" s="5" t="s">
        <v>1119</v>
      </c>
      <c r="H82" s="4" t="s">
        <v>1121</v>
      </c>
      <c r="I82" s="81" t="s">
        <v>817</v>
      </c>
      <c r="J82" s="21"/>
      <c r="K82" s="22" t="s">
        <v>1100</v>
      </c>
      <c r="L82" s="22">
        <v>1100271750052</v>
      </c>
      <c r="M82" s="23" t="s">
        <v>817</v>
      </c>
      <c r="N82" s="23">
        <v>43730</v>
      </c>
      <c r="O82" s="24" t="s">
        <v>102</v>
      </c>
      <c r="P82" s="24" t="s">
        <v>480</v>
      </c>
      <c r="Q82" s="24">
        <v>2</v>
      </c>
      <c r="R82" s="24">
        <v>6.6</v>
      </c>
      <c r="S82" t="s">
        <v>528</v>
      </c>
      <c r="T82">
        <v>2120</v>
      </c>
      <c r="U82" s="2"/>
      <c r="W82" s="2"/>
      <c r="AB82" t="s">
        <v>9</v>
      </c>
      <c r="AC82" t="s">
        <v>1101</v>
      </c>
      <c r="AD82" t="s">
        <v>275</v>
      </c>
      <c r="AE82" t="s">
        <v>183</v>
      </c>
      <c r="AF82" t="s">
        <v>183</v>
      </c>
      <c r="AG82">
        <v>3114808</v>
      </c>
      <c r="AH82" t="s">
        <v>1102</v>
      </c>
      <c r="AI82" t="s">
        <v>1102</v>
      </c>
      <c r="AJ82" t="s">
        <v>484</v>
      </c>
      <c r="AK82" t="s">
        <v>485</v>
      </c>
      <c r="AL82" t="s">
        <v>1103</v>
      </c>
      <c r="AO82" t="s">
        <v>1104</v>
      </c>
      <c r="AP82" t="s">
        <v>1105</v>
      </c>
      <c r="AQ82" t="s">
        <v>1106</v>
      </c>
      <c r="AR82" t="s">
        <v>1107</v>
      </c>
      <c r="AS82">
        <v>310172745396</v>
      </c>
      <c r="AT82" t="s">
        <v>1108</v>
      </c>
      <c r="AU82" t="s">
        <v>10</v>
      </c>
      <c r="AV82" t="s">
        <v>1109</v>
      </c>
      <c r="AW82" t="s">
        <v>1109</v>
      </c>
      <c r="AX82" t="s">
        <v>1110</v>
      </c>
      <c r="AY82" s="2" t="s">
        <v>1111</v>
      </c>
      <c r="BA82" t="s">
        <v>1112</v>
      </c>
      <c r="BB82" t="s">
        <v>1113</v>
      </c>
      <c r="BC82" t="s">
        <v>1114</v>
      </c>
      <c r="BD82">
        <v>110021</v>
      </c>
      <c r="BE82" t="s">
        <v>1115</v>
      </c>
      <c r="BF82" t="s">
        <v>1116</v>
      </c>
      <c r="BG82" t="b">
        <v>0</v>
      </c>
      <c r="BH82" s="6" t="s">
        <v>1117</v>
      </c>
      <c r="BI82" t="s">
        <v>1118</v>
      </c>
      <c r="BJ82">
        <v>4453163191</v>
      </c>
      <c r="BK82" t="s">
        <v>162</v>
      </c>
      <c r="BL82" t="s">
        <v>161</v>
      </c>
      <c r="BM82" s="2"/>
      <c r="BN82">
        <v>9.1210106096845594E+17</v>
      </c>
      <c r="BR82" t="s">
        <v>189</v>
      </c>
      <c r="BS82" t="s">
        <v>103</v>
      </c>
      <c r="BU82">
        <v>0</v>
      </c>
      <c r="BV82">
        <v>0</v>
      </c>
      <c r="BW82">
        <v>0</v>
      </c>
      <c r="BX82">
        <v>0</v>
      </c>
      <c r="BY82">
        <v>0</v>
      </c>
      <c r="BZ82">
        <v>0</v>
      </c>
      <c r="CA82">
        <v>0</v>
      </c>
      <c r="CF82" s="2"/>
      <c r="CH82" s="2"/>
      <c r="CK82" t="s">
        <v>165</v>
      </c>
      <c r="CL82">
        <v>43730.428576388891</v>
      </c>
      <c r="CO82" t="s">
        <v>11</v>
      </c>
      <c r="CP82">
        <v>16704.96</v>
      </c>
      <c r="CQ82" t="s">
        <v>11</v>
      </c>
      <c r="CR82">
        <v>16704.96</v>
      </c>
      <c r="CV82" t="s">
        <v>525</v>
      </c>
      <c r="CW82" t="s">
        <v>12</v>
      </c>
      <c r="CX82" t="s">
        <v>12</v>
      </c>
      <c r="CY82" t="s">
        <v>12</v>
      </c>
      <c r="DA82" t="s">
        <v>104</v>
      </c>
      <c r="DD82" t="s">
        <v>93</v>
      </c>
      <c r="DQ82" t="s">
        <v>94</v>
      </c>
      <c r="DR82" t="s">
        <v>94</v>
      </c>
      <c r="DS82" t="s">
        <v>94</v>
      </c>
      <c r="DT82" t="s">
        <v>94</v>
      </c>
      <c r="DU82" t="s">
        <v>94</v>
      </c>
      <c r="DV82" t="s">
        <v>94</v>
      </c>
      <c r="DW82" t="s">
        <v>94</v>
      </c>
      <c r="DX82" s="2" t="s">
        <v>94</v>
      </c>
      <c r="DY82" t="s">
        <v>94</v>
      </c>
      <c r="DZ82" t="s">
        <v>94</v>
      </c>
      <c r="EA82" t="s">
        <v>94</v>
      </c>
      <c r="EB82" t="s">
        <v>94</v>
      </c>
      <c r="EC82" t="s">
        <v>94</v>
      </c>
      <c r="ED82" t="s">
        <v>94</v>
      </c>
      <c r="EE82" t="s">
        <v>89</v>
      </c>
      <c r="EF82" t="s">
        <v>425</v>
      </c>
      <c r="EG82" t="s">
        <v>105</v>
      </c>
      <c r="EJ82" t="s">
        <v>166</v>
      </c>
      <c r="EK82" t="b">
        <v>0</v>
      </c>
      <c r="EL82" t="b">
        <v>0</v>
      </c>
      <c r="EM82" t="b">
        <v>0</v>
      </c>
      <c r="EO82" t="s">
        <v>178</v>
      </c>
      <c r="EP82" t="s">
        <v>1167</v>
      </c>
    </row>
    <row r="83" spans="3:146" ht="15">
      <c r="C83" s="82">
        <v>2</v>
      </c>
      <c r="D83" s="5"/>
      <c r="E83" s="4">
        <v>1</v>
      </c>
      <c r="F83" s="5">
        <v>0.82</v>
      </c>
      <c r="G83" s="5" t="s">
        <v>1203</v>
      </c>
      <c r="H83" s="4" t="s">
        <v>1204</v>
      </c>
      <c r="I83" s="81" t="s">
        <v>164</v>
      </c>
      <c r="J83" s="21"/>
      <c r="K83" s="22" t="s">
        <v>1168</v>
      </c>
      <c r="L83" s="22">
        <v>1100271750010</v>
      </c>
      <c r="M83" s="23" t="s">
        <v>164</v>
      </c>
      <c r="N83" s="23">
        <v>43727</v>
      </c>
      <c r="O83" s="24" t="s">
        <v>102</v>
      </c>
      <c r="P83" s="24" t="s">
        <v>179</v>
      </c>
      <c r="Q83" s="24">
        <v>1</v>
      </c>
      <c r="R83" s="24">
        <v>0.82</v>
      </c>
      <c r="S83" t="s">
        <v>319</v>
      </c>
      <c r="T83">
        <v>40</v>
      </c>
      <c r="U83" s="2" t="s">
        <v>163</v>
      </c>
      <c r="V83">
        <v>43727.88962962963</v>
      </c>
      <c r="W83" s="2" t="s">
        <v>427</v>
      </c>
      <c r="X83">
        <v>43727.901458333334</v>
      </c>
      <c r="AB83" t="s">
        <v>9</v>
      </c>
      <c r="AC83" t="s">
        <v>1169</v>
      </c>
      <c r="AD83" t="s">
        <v>182</v>
      </c>
      <c r="AE83">
        <v>56573</v>
      </c>
      <c r="AF83">
        <v>56573</v>
      </c>
      <c r="AG83" t="s">
        <v>183</v>
      </c>
      <c r="AH83" t="s">
        <v>1170</v>
      </c>
      <c r="AI83" t="s">
        <v>1170</v>
      </c>
      <c r="AJ83" t="s">
        <v>1171</v>
      </c>
      <c r="AK83" t="s">
        <v>1172</v>
      </c>
      <c r="AL83" t="s">
        <v>1173</v>
      </c>
      <c r="AM83" t="s">
        <v>1174</v>
      </c>
      <c r="AN83" t="s">
        <v>1175</v>
      </c>
      <c r="AO83" t="s">
        <v>1176</v>
      </c>
      <c r="AP83" t="s">
        <v>1177</v>
      </c>
      <c r="AQ83" t="s">
        <v>1178</v>
      </c>
      <c r="AR83" t="s">
        <v>1179</v>
      </c>
      <c r="AS83">
        <v>214354716</v>
      </c>
      <c r="AT83" t="s">
        <v>1180</v>
      </c>
      <c r="AU83" t="s">
        <v>10</v>
      </c>
      <c r="AV83" t="s">
        <v>1181</v>
      </c>
      <c r="AW83" t="s">
        <v>1182</v>
      </c>
      <c r="AX83" t="s">
        <v>1183</v>
      </c>
      <c r="AY83" s="2" t="s">
        <v>1184</v>
      </c>
      <c r="AZ83" t="s">
        <v>1185</v>
      </c>
      <c r="BA83" t="s">
        <v>271</v>
      </c>
      <c r="BB83" t="s">
        <v>272</v>
      </c>
      <c r="BC83" t="s">
        <v>188</v>
      </c>
      <c r="BD83">
        <v>518057</v>
      </c>
      <c r="BE83">
        <v>-8618582001652</v>
      </c>
      <c r="BF83" t="s">
        <v>1182</v>
      </c>
      <c r="BG83" t="b">
        <v>0</v>
      </c>
      <c r="BH83" s="6" t="s">
        <v>1186</v>
      </c>
      <c r="BI83" t="s">
        <v>1187</v>
      </c>
      <c r="BJ83">
        <v>4453163191</v>
      </c>
      <c r="BK83" t="s">
        <v>162</v>
      </c>
      <c r="BL83" t="s">
        <v>161</v>
      </c>
      <c r="BM83" s="2"/>
      <c r="BO83" t="s">
        <v>89</v>
      </c>
      <c r="BP83">
        <v>85049020</v>
      </c>
      <c r="BR83" t="s">
        <v>180</v>
      </c>
      <c r="BS83" t="s">
        <v>103</v>
      </c>
      <c r="BU83">
        <v>0</v>
      </c>
      <c r="BV83">
        <v>0</v>
      </c>
      <c r="BW83">
        <v>0</v>
      </c>
      <c r="BX83">
        <v>0</v>
      </c>
      <c r="BY83">
        <v>0</v>
      </c>
      <c r="BZ83">
        <v>0</v>
      </c>
      <c r="CA83">
        <v>0</v>
      </c>
      <c r="CB83" t="s">
        <v>444</v>
      </c>
      <c r="CF83" s="2"/>
      <c r="CH83" s="2"/>
      <c r="CJ83">
        <v>5.3142019950133702E+17</v>
      </c>
      <c r="CK83" t="s">
        <v>500</v>
      </c>
      <c r="CL83">
        <v>43727.37259259259</v>
      </c>
      <c r="CO83" t="s">
        <v>11</v>
      </c>
      <c r="CP83">
        <v>281.25</v>
      </c>
      <c r="CQ83" t="s">
        <v>11</v>
      </c>
      <c r="CR83">
        <v>281.25</v>
      </c>
      <c r="CV83" t="s">
        <v>190</v>
      </c>
      <c r="CW83" t="s">
        <v>12</v>
      </c>
      <c r="CX83" t="s">
        <v>12</v>
      </c>
      <c r="CY83" t="s">
        <v>12</v>
      </c>
      <c r="DA83" t="s">
        <v>104</v>
      </c>
      <c r="DD83" t="s">
        <v>93</v>
      </c>
      <c r="DQ83" t="s">
        <v>94</v>
      </c>
      <c r="DR83" t="s">
        <v>94</v>
      </c>
      <c r="DS83" t="s">
        <v>94</v>
      </c>
      <c r="DT83" t="s">
        <v>94</v>
      </c>
      <c r="DU83" t="s">
        <v>94</v>
      </c>
      <c r="DV83" t="s">
        <v>94</v>
      </c>
      <c r="DW83" t="s">
        <v>94</v>
      </c>
      <c r="DX83" s="2" t="s">
        <v>94</v>
      </c>
      <c r="DY83" t="s">
        <v>94</v>
      </c>
      <c r="DZ83" t="s">
        <v>94</v>
      </c>
      <c r="EA83" t="s">
        <v>94</v>
      </c>
      <c r="EB83" t="s">
        <v>94</v>
      </c>
      <c r="EC83" t="s">
        <v>94</v>
      </c>
      <c r="ED83" t="s">
        <v>94</v>
      </c>
      <c r="EE83" t="s">
        <v>89</v>
      </c>
      <c r="EF83" t="s">
        <v>425</v>
      </c>
      <c r="EG83" t="s">
        <v>105</v>
      </c>
      <c r="EJ83" t="s">
        <v>166</v>
      </c>
      <c r="EK83" t="b">
        <v>0</v>
      </c>
      <c r="EL83" t="b">
        <v>0</v>
      </c>
      <c r="EM83" t="b">
        <v>0</v>
      </c>
      <c r="EO83" t="s">
        <v>177</v>
      </c>
      <c r="EP83" t="s">
        <v>1205</v>
      </c>
    </row>
    <row r="84" spans="3:146" ht="15">
      <c r="C84" s="82">
        <v>2</v>
      </c>
      <c r="D84" s="5"/>
      <c r="E84" s="4">
        <v>1</v>
      </c>
      <c r="F84" s="5">
        <v>4</v>
      </c>
      <c r="G84" s="5" t="s">
        <v>1206</v>
      </c>
      <c r="H84" s="4" t="s">
        <v>1207</v>
      </c>
      <c r="I84" s="81" t="s">
        <v>164</v>
      </c>
      <c r="J84" s="21"/>
      <c r="K84" s="22" t="s">
        <v>1188</v>
      </c>
      <c r="L84" s="22">
        <v>1100271750367</v>
      </c>
      <c r="M84" s="23" t="s">
        <v>164</v>
      </c>
      <c r="N84" s="23">
        <v>43731</v>
      </c>
      <c r="O84" s="24" t="s">
        <v>102</v>
      </c>
      <c r="P84" s="24" t="s">
        <v>181</v>
      </c>
      <c r="Q84" s="24">
        <v>1</v>
      </c>
      <c r="R84" s="24">
        <v>4</v>
      </c>
      <c r="S84" t="s">
        <v>11</v>
      </c>
      <c r="T84">
        <v>630</v>
      </c>
      <c r="U84" s="2" t="s">
        <v>163</v>
      </c>
      <c r="V84">
        <v>43731.428946759261</v>
      </c>
      <c r="W84" s="2" t="s">
        <v>444</v>
      </c>
      <c r="X84">
        <v>43733.406469907408</v>
      </c>
      <c r="AB84" t="s">
        <v>9</v>
      </c>
      <c r="AC84" t="s">
        <v>1189</v>
      </c>
      <c r="AD84" t="s">
        <v>182</v>
      </c>
      <c r="AE84">
        <v>894066</v>
      </c>
      <c r="AF84">
        <v>894066</v>
      </c>
      <c r="AG84" t="s">
        <v>183</v>
      </c>
      <c r="AH84" t="s">
        <v>1190</v>
      </c>
      <c r="AI84" t="s">
        <v>1190</v>
      </c>
      <c r="AJ84" t="s">
        <v>601</v>
      </c>
      <c r="AK84" t="s">
        <v>602</v>
      </c>
      <c r="AL84" t="s">
        <v>1191</v>
      </c>
      <c r="AM84" t="s">
        <v>1192</v>
      </c>
      <c r="AO84" t="s">
        <v>1193</v>
      </c>
      <c r="AP84" t="s">
        <v>1194</v>
      </c>
      <c r="AQ84" t="s">
        <v>1193</v>
      </c>
      <c r="AR84" t="s">
        <v>1208</v>
      </c>
      <c r="AS84">
        <v>376398546</v>
      </c>
      <c r="AT84" t="s">
        <v>1195</v>
      </c>
      <c r="AU84" t="s">
        <v>10</v>
      </c>
      <c r="AV84" t="s">
        <v>1196</v>
      </c>
      <c r="AW84" t="s">
        <v>1197</v>
      </c>
      <c r="AX84" t="s">
        <v>1198</v>
      </c>
      <c r="AY84" s="2" t="s">
        <v>1199</v>
      </c>
      <c r="BA84" t="s">
        <v>194</v>
      </c>
      <c r="BB84" t="s">
        <v>272</v>
      </c>
      <c r="BC84" t="s">
        <v>194</v>
      </c>
      <c r="BD84">
        <v>518000</v>
      </c>
      <c r="BE84">
        <v>15013599821</v>
      </c>
      <c r="BF84" t="s">
        <v>1200</v>
      </c>
      <c r="BG84" t="b">
        <v>0</v>
      </c>
      <c r="BH84" s="6" t="s">
        <v>1201</v>
      </c>
      <c r="BI84" t="s">
        <v>1202</v>
      </c>
      <c r="BJ84">
        <v>4453163191</v>
      </c>
      <c r="BK84" t="s">
        <v>162</v>
      </c>
      <c r="BL84" t="s">
        <v>161</v>
      </c>
      <c r="BM84" s="2"/>
      <c r="BO84" t="s">
        <v>89</v>
      </c>
      <c r="BP84">
        <v>62021310</v>
      </c>
      <c r="BR84" t="s">
        <v>180</v>
      </c>
      <c r="BS84" t="s">
        <v>103</v>
      </c>
      <c r="BU84">
        <v>63</v>
      </c>
      <c r="BV84">
        <v>90.09</v>
      </c>
      <c r="BW84">
        <v>0</v>
      </c>
      <c r="BX84">
        <v>0</v>
      </c>
      <c r="BY84">
        <v>0</v>
      </c>
      <c r="BZ84">
        <v>0</v>
      </c>
      <c r="CA84">
        <v>153.09</v>
      </c>
      <c r="CF84" s="2"/>
      <c r="CH84" s="2"/>
      <c r="CJ84">
        <v>5.3142019950135699E+17</v>
      </c>
      <c r="CK84" t="s">
        <v>500</v>
      </c>
      <c r="CL84">
        <v>43722.375532407408</v>
      </c>
      <c r="CO84" t="s">
        <v>11</v>
      </c>
      <c r="CP84">
        <v>630</v>
      </c>
      <c r="CQ84" t="s">
        <v>11</v>
      </c>
      <c r="CR84">
        <v>630</v>
      </c>
      <c r="CV84" t="s">
        <v>190</v>
      </c>
      <c r="CW84" t="s">
        <v>12</v>
      </c>
      <c r="CX84" t="s">
        <v>12</v>
      </c>
      <c r="CY84" t="s">
        <v>12</v>
      </c>
      <c r="DA84" t="s">
        <v>104</v>
      </c>
      <c r="DD84" t="s">
        <v>93</v>
      </c>
      <c r="DQ84" t="s">
        <v>94</v>
      </c>
      <c r="DR84" t="s">
        <v>94</v>
      </c>
      <c r="DS84" t="s">
        <v>94</v>
      </c>
      <c r="DT84" t="s">
        <v>94</v>
      </c>
      <c r="DU84" t="s">
        <v>94</v>
      </c>
      <c r="DV84" t="s">
        <v>94</v>
      </c>
      <c r="DW84" t="s">
        <v>94</v>
      </c>
      <c r="DX84" s="2" t="s">
        <v>94</v>
      </c>
      <c r="DY84" t="s">
        <v>94</v>
      </c>
      <c r="DZ84" t="s">
        <v>94</v>
      </c>
      <c r="EA84" t="s">
        <v>94</v>
      </c>
      <c r="EB84" t="s">
        <v>94</v>
      </c>
      <c r="EC84" t="s">
        <v>94</v>
      </c>
      <c r="ED84" t="s">
        <v>94</v>
      </c>
      <c r="EE84" t="s">
        <v>89</v>
      </c>
      <c r="EF84" t="s">
        <v>94</v>
      </c>
      <c r="EG84" t="s">
        <v>543</v>
      </c>
      <c r="EJ84" t="s">
        <v>526</v>
      </c>
      <c r="EK84" t="b">
        <v>0</v>
      </c>
      <c r="EL84" t="b">
        <v>0</v>
      </c>
      <c r="EM84" t="b">
        <v>0</v>
      </c>
      <c r="EO84" t="s">
        <v>177</v>
      </c>
      <c r="EP84" t="s">
        <v>1209</v>
      </c>
    </row>
    <row r="85" spans="3:146" ht="15">
      <c r="C85" s="82">
        <v>2</v>
      </c>
      <c r="D85" s="5"/>
      <c r="E85" s="4">
        <v>1</v>
      </c>
      <c r="F85" s="5">
        <v>4</v>
      </c>
      <c r="G85" s="5" t="s">
        <v>901</v>
      </c>
      <c r="H85" s="4" t="s">
        <v>1207</v>
      </c>
      <c r="I85" s="81" t="s">
        <v>164</v>
      </c>
      <c r="J85" s="21"/>
      <c r="K85" s="22" t="s">
        <v>1188</v>
      </c>
      <c r="L85" s="22">
        <v>1100271750367</v>
      </c>
      <c r="M85" s="23" t="s">
        <v>164</v>
      </c>
      <c r="N85" s="23">
        <v>43722</v>
      </c>
      <c r="O85" s="24" t="s">
        <v>102</v>
      </c>
      <c r="P85" s="24" t="s">
        <v>181</v>
      </c>
      <c r="Q85" s="24">
        <v>1</v>
      </c>
      <c r="R85" s="24">
        <v>4</v>
      </c>
      <c r="S85" t="s">
        <v>11</v>
      </c>
      <c r="T85">
        <v>630</v>
      </c>
      <c r="U85" s="2" t="s">
        <v>163</v>
      </c>
      <c r="V85">
        <v>43731.428946759261</v>
      </c>
      <c r="W85" s="2" t="s">
        <v>444</v>
      </c>
      <c r="X85">
        <v>43733.406469907408</v>
      </c>
      <c r="AB85" t="s">
        <v>9</v>
      </c>
      <c r="AC85" t="s">
        <v>1189</v>
      </c>
      <c r="AD85" t="s">
        <v>182</v>
      </c>
      <c r="AE85">
        <v>894066</v>
      </c>
      <c r="AF85">
        <v>894066</v>
      </c>
      <c r="AG85" t="s">
        <v>183</v>
      </c>
      <c r="AH85" t="s">
        <v>1190</v>
      </c>
      <c r="AI85" t="s">
        <v>1190</v>
      </c>
      <c r="AJ85" t="s">
        <v>601</v>
      </c>
      <c r="AK85" t="s">
        <v>602</v>
      </c>
      <c r="AL85" t="s">
        <v>1191</v>
      </c>
      <c r="AM85" t="s">
        <v>1192</v>
      </c>
      <c r="AO85" t="s">
        <v>1193</v>
      </c>
      <c r="AP85" t="s">
        <v>1194</v>
      </c>
      <c r="AQ85" t="s">
        <v>1193</v>
      </c>
      <c r="AR85" t="s">
        <v>1208</v>
      </c>
      <c r="AS85">
        <v>376398546</v>
      </c>
      <c r="AT85" t="s">
        <v>1195</v>
      </c>
      <c r="AU85" t="s">
        <v>10</v>
      </c>
      <c r="AV85" t="s">
        <v>1196</v>
      </c>
      <c r="AW85" t="s">
        <v>1197</v>
      </c>
      <c r="AX85" t="s">
        <v>1198</v>
      </c>
      <c r="AY85" s="2" t="s">
        <v>1199</v>
      </c>
      <c r="BA85" t="s">
        <v>194</v>
      </c>
      <c r="BB85" t="s">
        <v>272</v>
      </c>
      <c r="BC85" t="s">
        <v>194</v>
      </c>
      <c r="BD85">
        <v>518000</v>
      </c>
      <c r="BE85">
        <v>15013599821</v>
      </c>
      <c r="BF85" t="s">
        <v>1200</v>
      </c>
      <c r="BG85" t="b">
        <v>0</v>
      </c>
      <c r="BH85" s="6" t="s">
        <v>1201</v>
      </c>
      <c r="BI85" t="s">
        <v>1202</v>
      </c>
      <c r="BJ85">
        <v>4453163191</v>
      </c>
      <c r="BK85" t="s">
        <v>162</v>
      </c>
      <c r="BL85" t="s">
        <v>161</v>
      </c>
      <c r="BM85" s="2"/>
      <c r="BO85" t="s">
        <v>89</v>
      </c>
      <c r="BP85">
        <v>62021310</v>
      </c>
      <c r="BR85" t="s">
        <v>180</v>
      </c>
      <c r="BS85" t="s">
        <v>103</v>
      </c>
      <c r="BU85">
        <v>63</v>
      </c>
      <c r="BV85">
        <v>90.09</v>
      </c>
      <c r="BW85">
        <v>0</v>
      </c>
      <c r="BX85">
        <v>0</v>
      </c>
      <c r="BY85">
        <v>0</v>
      </c>
      <c r="BZ85">
        <v>0</v>
      </c>
      <c r="CA85">
        <v>153.09</v>
      </c>
      <c r="CF85" s="2"/>
      <c r="CH85" s="2"/>
      <c r="CJ85">
        <v>5.3142019950135699E+17</v>
      </c>
      <c r="CK85" t="s">
        <v>500</v>
      </c>
      <c r="CL85">
        <v>43722.375532407408</v>
      </c>
      <c r="CO85" t="s">
        <v>11</v>
      </c>
      <c r="CP85">
        <v>630</v>
      </c>
      <c r="CQ85" t="s">
        <v>11</v>
      </c>
      <c r="CR85">
        <v>630</v>
      </c>
      <c r="CV85" t="s">
        <v>190</v>
      </c>
      <c r="CW85" t="s">
        <v>12</v>
      </c>
      <c r="CX85" t="s">
        <v>12</v>
      </c>
      <c r="CY85" t="s">
        <v>12</v>
      </c>
      <c r="DA85" t="s">
        <v>104</v>
      </c>
      <c r="DD85" t="s">
        <v>93</v>
      </c>
      <c r="DQ85" t="s">
        <v>94</v>
      </c>
      <c r="DR85" t="s">
        <v>94</v>
      </c>
      <c r="DS85" t="s">
        <v>94</v>
      </c>
      <c r="DT85" t="s">
        <v>94</v>
      </c>
      <c r="DU85" t="s">
        <v>94</v>
      </c>
      <c r="DV85" t="s">
        <v>94</v>
      </c>
      <c r="DW85" t="s">
        <v>94</v>
      </c>
      <c r="DX85" s="2" t="s">
        <v>94</v>
      </c>
      <c r="DY85" t="s">
        <v>94</v>
      </c>
      <c r="DZ85" t="s">
        <v>94</v>
      </c>
      <c r="EA85" t="s">
        <v>94</v>
      </c>
      <c r="EB85" t="s">
        <v>94</v>
      </c>
      <c r="EC85" t="s">
        <v>94</v>
      </c>
      <c r="ED85" t="s">
        <v>94</v>
      </c>
      <c r="EE85" t="s">
        <v>89</v>
      </c>
      <c r="EF85" t="s">
        <v>94</v>
      </c>
      <c r="EG85" t="s">
        <v>543</v>
      </c>
      <c r="EJ85" t="s">
        <v>526</v>
      </c>
      <c r="EK85" t="b">
        <v>0</v>
      </c>
      <c r="EL85" t="b">
        <v>0</v>
      </c>
      <c r="EM85" t="b">
        <v>0</v>
      </c>
      <c r="EO85" t="s">
        <v>177</v>
      </c>
      <c r="EP85" t="s">
        <v>1210</v>
      </c>
    </row>
    <row r="86" spans="3:146" ht="15">
      <c r="C86" s="82">
        <v>24</v>
      </c>
      <c r="D86" s="5"/>
      <c r="E86" s="4">
        <v>1</v>
      </c>
      <c r="F86" s="5">
        <v>5.22</v>
      </c>
      <c r="G86" s="5" t="s">
        <v>1246</v>
      </c>
      <c r="H86" s="4" t="s">
        <v>1247</v>
      </c>
      <c r="I86" s="81" t="s">
        <v>164</v>
      </c>
      <c r="J86" s="21"/>
      <c r="K86" s="22" t="s">
        <v>1211</v>
      </c>
      <c r="L86" s="22">
        <v>1100271750049</v>
      </c>
      <c r="M86" s="23" t="s">
        <v>447</v>
      </c>
      <c r="N86" s="23">
        <v>43729</v>
      </c>
      <c r="O86" s="24" t="s">
        <v>102</v>
      </c>
      <c r="P86" s="24" t="s">
        <v>195</v>
      </c>
      <c r="Q86" s="24">
        <v>1</v>
      </c>
      <c r="R86" s="24">
        <v>5.22</v>
      </c>
      <c r="S86" t="s">
        <v>196</v>
      </c>
      <c r="T86">
        <v>0</v>
      </c>
      <c r="U86" s="2" t="s">
        <v>163</v>
      </c>
      <c r="V86">
        <v>43729.790393518517</v>
      </c>
      <c r="W86" s="2"/>
      <c r="X86" t="s">
        <v>444</v>
      </c>
      <c r="Y86">
        <v>43733.444074074076</v>
      </c>
      <c r="AC86" t="s">
        <v>9</v>
      </c>
      <c r="AD86" t="s">
        <v>1212</v>
      </c>
      <c r="AE86" t="s">
        <v>241</v>
      </c>
      <c r="AF86">
        <v>192866</v>
      </c>
      <c r="AG86">
        <v>192866</v>
      </c>
      <c r="AI86" t="s">
        <v>1213</v>
      </c>
      <c r="AJ86" t="s">
        <v>1213</v>
      </c>
      <c r="AK86" t="s">
        <v>1214</v>
      </c>
      <c r="AL86" t="s">
        <v>1215</v>
      </c>
      <c r="AM86" t="s">
        <v>1216</v>
      </c>
      <c r="AN86" t="s">
        <v>1217</v>
      </c>
      <c r="AP86" t="s">
        <v>1218</v>
      </c>
      <c r="AQ86" t="s">
        <v>1219</v>
      </c>
      <c r="AR86" t="s">
        <v>1220</v>
      </c>
      <c r="AS86">
        <v>6814</v>
      </c>
      <c r="AT86">
        <v>919601600</v>
      </c>
      <c r="AU86" t="s">
        <v>1221</v>
      </c>
      <c r="AV86" t="s">
        <v>10</v>
      </c>
      <c r="AW86" t="s">
        <v>1222</v>
      </c>
      <c r="AX86" t="s">
        <v>1222</v>
      </c>
      <c r="AY86" s="2" t="s">
        <v>1223</v>
      </c>
      <c r="AZ86" t="s">
        <v>1224</v>
      </c>
      <c r="BA86" t="s">
        <v>1225</v>
      </c>
      <c r="BB86" t="s">
        <v>1226</v>
      </c>
      <c r="BC86" t="s">
        <v>1227</v>
      </c>
      <c r="BD86" t="s">
        <v>188</v>
      </c>
      <c r="BE86">
        <v>516255</v>
      </c>
      <c r="BF86" t="s">
        <v>1248</v>
      </c>
      <c r="BG86" t="s">
        <v>1228</v>
      </c>
      <c r="BH86" s="6" t="b">
        <v>0</v>
      </c>
      <c r="BI86" t="s">
        <v>225</v>
      </c>
      <c r="BJ86" t="s">
        <v>198</v>
      </c>
      <c r="BK86">
        <v>4453163191</v>
      </c>
      <c r="BL86" t="s">
        <v>162</v>
      </c>
      <c r="BM86" s="2" t="s">
        <v>161</v>
      </c>
      <c r="BS86" t="s">
        <v>199</v>
      </c>
      <c r="BT86" t="s">
        <v>103</v>
      </c>
      <c r="BV86">
        <v>0</v>
      </c>
      <c r="BW86">
        <v>0</v>
      </c>
      <c r="BX86">
        <v>0</v>
      </c>
      <c r="BY86">
        <v>0</v>
      </c>
      <c r="BZ86">
        <v>0</v>
      </c>
      <c r="CA86">
        <v>0</v>
      </c>
      <c r="CB86">
        <v>0</v>
      </c>
      <c r="CF86" s="2"/>
      <c r="CH86" s="2"/>
      <c r="CJ86">
        <v>5.3142019910153203E+17</v>
      </c>
      <c r="CK86" t="s">
        <v>445</v>
      </c>
      <c r="CL86">
        <v>43729.561840277776</v>
      </c>
      <c r="CO86" t="s">
        <v>11</v>
      </c>
      <c r="CP86">
        <v>0</v>
      </c>
      <c r="CQ86" t="s">
        <v>11</v>
      </c>
      <c r="CR86">
        <v>0</v>
      </c>
      <c r="CV86" t="s">
        <v>190</v>
      </c>
      <c r="CW86" t="s">
        <v>12</v>
      </c>
      <c r="CX86" t="s">
        <v>12</v>
      </c>
      <c r="CY86" t="s">
        <v>12</v>
      </c>
      <c r="DA86" t="s">
        <v>104</v>
      </c>
      <c r="DD86" t="s">
        <v>93</v>
      </c>
      <c r="DQ86" t="s">
        <v>94</v>
      </c>
      <c r="DR86" t="s">
        <v>94</v>
      </c>
      <c r="DS86" t="s">
        <v>94</v>
      </c>
      <c r="DT86" t="s">
        <v>94</v>
      </c>
      <c r="DU86" t="s">
        <v>94</v>
      </c>
      <c r="DV86" t="s">
        <v>94</v>
      </c>
      <c r="DW86" t="s">
        <v>94</v>
      </c>
      <c r="DX86" s="2" t="s">
        <v>94</v>
      </c>
      <c r="DY86" t="s">
        <v>94</v>
      </c>
      <c r="DZ86" t="s">
        <v>94</v>
      </c>
      <c r="EA86" t="s">
        <v>94</v>
      </c>
      <c r="EB86" t="s">
        <v>94</v>
      </c>
      <c r="EC86" t="s">
        <v>94</v>
      </c>
      <c r="ED86" t="s">
        <v>94</v>
      </c>
      <c r="EE86" t="s">
        <v>89</v>
      </c>
      <c r="EF86" t="s">
        <v>94</v>
      </c>
      <c r="EG86" t="s">
        <v>226</v>
      </c>
      <c r="EJ86" t="s">
        <v>166</v>
      </c>
      <c r="EK86" t="b">
        <v>0</v>
      </c>
      <c r="EL86" t="b">
        <v>0</v>
      </c>
      <c r="EM86" t="b">
        <v>0</v>
      </c>
      <c r="EO86" t="s">
        <v>177</v>
      </c>
      <c r="EP86" t="s">
        <v>1249</v>
      </c>
    </row>
    <row r="87" spans="3:146">
      <c r="C87" s="4">
        <v>2</v>
      </c>
      <c r="D87" s="4"/>
      <c r="E87" s="4">
        <v>1</v>
      </c>
      <c r="F87" s="4">
        <v>0.2</v>
      </c>
      <c r="G87" s="5" t="s">
        <v>1246</v>
      </c>
      <c r="H87" s="4" t="s">
        <v>1250</v>
      </c>
      <c r="I87" s="4" t="s">
        <v>164</v>
      </c>
      <c r="J87" s="5"/>
      <c r="K87" s="22" t="s">
        <v>1229</v>
      </c>
      <c r="L87" s="22">
        <v>1100271750049</v>
      </c>
      <c r="M87" s="23" t="s">
        <v>447</v>
      </c>
      <c r="N87" s="23">
        <v>43729</v>
      </c>
      <c r="O87" s="24" t="s">
        <v>102</v>
      </c>
      <c r="P87" s="24" t="s">
        <v>179</v>
      </c>
      <c r="Q87" s="24">
        <v>1</v>
      </c>
      <c r="R87" s="24">
        <v>0.2</v>
      </c>
      <c r="S87" t="s">
        <v>319</v>
      </c>
      <c r="T87">
        <v>24</v>
      </c>
      <c r="U87" s="2" t="s">
        <v>163</v>
      </c>
      <c r="V87">
        <v>43729.790601851855</v>
      </c>
      <c r="W87" s="2"/>
      <c r="X87" t="s">
        <v>444</v>
      </c>
      <c r="Y87">
        <v>43733.444074074076</v>
      </c>
      <c r="AC87" t="s">
        <v>9</v>
      </c>
      <c r="AD87" t="s">
        <v>1230</v>
      </c>
      <c r="AE87" t="s">
        <v>182</v>
      </c>
      <c r="AF87">
        <v>1004000</v>
      </c>
      <c r="AG87">
        <v>1004000</v>
      </c>
      <c r="AH87" t="s">
        <v>183</v>
      </c>
      <c r="AI87" t="s">
        <v>1231</v>
      </c>
      <c r="AJ87" t="s">
        <v>1231</v>
      </c>
      <c r="AK87" t="s">
        <v>1232</v>
      </c>
      <c r="AL87" t="s">
        <v>1233</v>
      </c>
      <c r="AM87" t="s">
        <v>1234</v>
      </c>
      <c r="AN87" t="s">
        <v>1251</v>
      </c>
      <c r="AO87" t="s">
        <v>1235</v>
      </c>
      <c r="AP87" t="s">
        <v>1236</v>
      </c>
      <c r="AQ87" t="s">
        <v>1233</v>
      </c>
      <c r="AS87">
        <v>576151</v>
      </c>
      <c r="AT87">
        <v>6563724374</v>
      </c>
      <c r="AU87" t="s">
        <v>1237</v>
      </c>
      <c r="AV87" t="s">
        <v>10</v>
      </c>
      <c r="AW87" t="s">
        <v>1238</v>
      </c>
      <c r="AX87" t="s">
        <v>1238</v>
      </c>
      <c r="AY87" t="s">
        <v>1239</v>
      </c>
      <c r="AZ87" t="s">
        <v>1240</v>
      </c>
      <c r="BA87" t="s">
        <v>1241</v>
      </c>
      <c r="BB87" t="s">
        <v>186</v>
      </c>
      <c r="BC87" t="s">
        <v>187</v>
      </c>
      <c r="BD87" t="s">
        <v>188</v>
      </c>
      <c r="BE87">
        <v>518104</v>
      </c>
      <c r="BF87" t="s">
        <v>1242</v>
      </c>
      <c r="BG87" t="s">
        <v>1243</v>
      </c>
      <c r="BH87" s="6" t="b">
        <v>0</v>
      </c>
      <c r="BI87" t="s">
        <v>1244</v>
      </c>
      <c r="BJ87" t="s">
        <v>1245</v>
      </c>
      <c r="BK87">
        <v>4453163191</v>
      </c>
      <c r="BL87" t="s">
        <v>162</v>
      </c>
      <c r="BM87" s="2" t="s">
        <v>161</v>
      </c>
      <c r="BP87" t="s">
        <v>89</v>
      </c>
      <c r="BQ87">
        <v>85369011</v>
      </c>
      <c r="BS87" t="s">
        <v>189</v>
      </c>
      <c r="BT87" t="s">
        <v>103</v>
      </c>
      <c r="BV87">
        <v>0</v>
      </c>
      <c r="BW87">
        <v>0</v>
      </c>
      <c r="BX87">
        <v>0</v>
      </c>
      <c r="BY87">
        <v>0</v>
      </c>
      <c r="BZ87">
        <v>0</v>
      </c>
      <c r="CA87">
        <v>0</v>
      </c>
      <c r="CB87">
        <v>0</v>
      </c>
      <c r="CF87" s="2"/>
      <c r="CH87" s="2"/>
      <c r="CJ87">
        <v>5.31420199501352E+17</v>
      </c>
      <c r="CK87" t="s">
        <v>445</v>
      </c>
      <c r="CL87">
        <v>43729.372789351852</v>
      </c>
      <c r="CO87" t="s">
        <v>11</v>
      </c>
      <c r="CP87">
        <v>168.75</v>
      </c>
      <c r="CQ87" t="s">
        <v>11</v>
      </c>
      <c r="CR87">
        <v>168.75</v>
      </c>
      <c r="CV87" t="s">
        <v>190</v>
      </c>
      <c r="CW87" t="s">
        <v>12</v>
      </c>
      <c r="CX87" t="s">
        <v>12</v>
      </c>
      <c r="CY87" t="s">
        <v>12</v>
      </c>
      <c r="DA87" t="s">
        <v>104</v>
      </c>
      <c r="DD87" t="s">
        <v>93</v>
      </c>
      <c r="DQ87" t="s">
        <v>94</v>
      </c>
      <c r="DR87" t="s">
        <v>94</v>
      </c>
      <c r="DS87" t="s">
        <v>94</v>
      </c>
      <c r="DT87" t="s">
        <v>94</v>
      </c>
      <c r="DU87" t="s">
        <v>94</v>
      </c>
      <c r="DV87" t="s">
        <v>94</v>
      </c>
      <c r="DW87" t="s">
        <v>94</v>
      </c>
      <c r="DX87" s="2" t="s">
        <v>94</v>
      </c>
      <c r="DY87" t="s">
        <v>94</v>
      </c>
      <c r="DZ87" t="s">
        <v>94</v>
      </c>
      <c r="EA87" t="s">
        <v>94</v>
      </c>
      <c r="EB87" t="s">
        <v>94</v>
      </c>
      <c r="EC87" t="s">
        <v>94</v>
      </c>
      <c r="ED87" t="s">
        <v>94</v>
      </c>
      <c r="EE87" t="s">
        <v>89</v>
      </c>
      <c r="EF87" t="s">
        <v>425</v>
      </c>
      <c r="EG87" t="s">
        <v>105</v>
      </c>
      <c r="EJ87" t="s">
        <v>166</v>
      </c>
      <c r="EK87" t="b">
        <v>0</v>
      </c>
      <c r="EL87" t="b">
        <v>0</v>
      </c>
      <c r="EM87" t="b">
        <v>0</v>
      </c>
      <c r="EO87" t="s">
        <v>177</v>
      </c>
      <c r="EP87" t="s">
        <v>1249</v>
      </c>
    </row>
    <row r="88" spans="3:146" ht="15">
      <c r="C88" s="82">
        <v>24</v>
      </c>
      <c r="D88" s="5"/>
      <c r="E88" s="4">
        <v>1</v>
      </c>
      <c r="F88" s="5">
        <v>5.22</v>
      </c>
      <c r="G88" s="5" t="s">
        <v>1246</v>
      </c>
      <c r="H88" s="4" t="s">
        <v>203</v>
      </c>
      <c r="I88" s="81" t="s">
        <v>164</v>
      </c>
      <c r="J88" s="21"/>
      <c r="K88" s="22" t="s">
        <v>1211</v>
      </c>
      <c r="L88" s="22">
        <v>1100271750049</v>
      </c>
      <c r="M88" s="23" t="s">
        <v>447</v>
      </c>
      <c r="N88" s="23">
        <v>43729</v>
      </c>
      <c r="O88" s="24" t="s">
        <v>102</v>
      </c>
      <c r="P88" s="24" t="s">
        <v>195</v>
      </c>
      <c r="Q88" s="24">
        <v>1</v>
      </c>
      <c r="R88" s="24">
        <v>5.22</v>
      </c>
      <c r="S88" t="s">
        <v>196</v>
      </c>
      <c r="T88">
        <v>0</v>
      </c>
      <c r="U88" s="2" t="s">
        <v>163</v>
      </c>
      <c r="V88">
        <v>43729.790393518517</v>
      </c>
      <c r="W88" s="2" t="s">
        <v>444</v>
      </c>
      <c r="X88">
        <v>43733.444074074076</v>
      </c>
      <c r="AB88" t="s">
        <v>9</v>
      </c>
      <c r="AC88" t="s">
        <v>1212</v>
      </c>
      <c r="AD88" t="s">
        <v>241</v>
      </c>
      <c r="AE88">
        <v>192866</v>
      </c>
      <c r="AF88">
        <v>192866</v>
      </c>
      <c r="AH88" t="s">
        <v>1213</v>
      </c>
      <c r="AI88" t="s">
        <v>1213</v>
      </c>
      <c r="AJ88" t="s">
        <v>1214</v>
      </c>
      <c r="AK88" t="s">
        <v>1215</v>
      </c>
      <c r="AL88" t="s">
        <v>1216</v>
      </c>
      <c r="AM88" t="s">
        <v>1217</v>
      </c>
      <c r="AO88" t="s">
        <v>1218</v>
      </c>
      <c r="AP88" t="s">
        <v>1219</v>
      </c>
      <c r="AQ88" t="s">
        <v>1220</v>
      </c>
      <c r="AR88">
        <v>6814</v>
      </c>
      <c r="AS88">
        <v>919601600</v>
      </c>
      <c r="AT88" t="s">
        <v>1221</v>
      </c>
      <c r="AU88" t="s">
        <v>10</v>
      </c>
      <c r="AV88" t="s">
        <v>1222</v>
      </c>
      <c r="AW88" t="s">
        <v>1222</v>
      </c>
      <c r="AX88" t="s">
        <v>1223</v>
      </c>
      <c r="AY88" s="2" t="s">
        <v>1224</v>
      </c>
      <c r="AZ88" t="s">
        <v>1225</v>
      </c>
      <c r="BA88" t="s">
        <v>1226</v>
      </c>
      <c r="BB88" t="s">
        <v>1227</v>
      </c>
      <c r="BC88" t="s">
        <v>188</v>
      </c>
      <c r="BD88">
        <v>516255</v>
      </c>
      <c r="BE88" t="s">
        <v>1248</v>
      </c>
      <c r="BF88" t="s">
        <v>1228</v>
      </c>
      <c r="BG88" t="b">
        <v>0</v>
      </c>
      <c r="BH88" s="6" t="s">
        <v>225</v>
      </c>
      <c r="BI88" t="s">
        <v>198</v>
      </c>
      <c r="BJ88">
        <v>4453163191</v>
      </c>
      <c r="BK88" t="s">
        <v>162</v>
      </c>
      <c r="BL88" t="s">
        <v>161</v>
      </c>
      <c r="BM88" s="2"/>
      <c r="BR88" t="s">
        <v>199</v>
      </c>
      <c r="BS88" t="s">
        <v>103</v>
      </c>
      <c r="BU88">
        <v>0</v>
      </c>
      <c r="BV88">
        <v>0</v>
      </c>
      <c r="BW88">
        <v>0</v>
      </c>
      <c r="BX88">
        <v>0</v>
      </c>
      <c r="BY88">
        <v>0</v>
      </c>
      <c r="BZ88">
        <v>0</v>
      </c>
      <c r="CA88">
        <v>0</v>
      </c>
      <c r="CF88" s="2"/>
      <c r="CH88" s="2"/>
      <c r="CJ88">
        <v>5.3142019910153203E+17</v>
      </c>
      <c r="CK88" t="s">
        <v>445</v>
      </c>
      <c r="CL88">
        <v>43729.561840277776</v>
      </c>
      <c r="CO88" t="s">
        <v>11</v>
      </c>
      <c r="CP88">
        <v>0</v>
      </c>
      <c r="CQ88" t="s">
        <v>11</v>
      </c>
      <c r="CR88">
        <v>0</v>
      </c>
      <c r="CV88" t="s">
        <v>190</v>
      </c>
      <c r="CW88" t="s">
        <v>12</v>
      </c>
      <c r="CX88" t="s">
        <v>12</v>
      </c>
      <c r="CY88" t="s">
        <v>12</v>
      </c>
      <c r="DA88" t="s">
        <v>104</v>
      </c>
      <c r="DD88" t="s">
        <v>93</v>
      </c>
      <c r="DQ88" t="s">
        <v>94</v>
      </c>
      <c r="DR88" t="s">
        <v>94</v>
      </c>
      <c r="DS88" t="s">
        <v>94</v>
      </c>
      <c r="DT88" t="s">
        <v>94</v>
      </c>
      <c r="DU88" t="s">
        <v>94</v>
      </c>
      <c r="DV88" t="s">
        <v>94</v>
      </c>
      <c r="DW88" t="s">
        <v>94</v>
      </c>
      <c r="DX88" s="2" t="s">
        <v>94</v>
      </c>
      <c r="DY88" t="s">
        <v>94</v>
      </c>
      <c r="DZ88" t="s">
        <v>94</v>
      </c>
      <c r="EA88" t="s">
        <v>94</v>
      </c>
      <c r="EB88" t="s">
        <v>94</v>
      </c>
      <c r="EC88" t="s">
        <v>94</v>
      </c>
      <c r="ED88" t="s">
        <v>94</v>
      </c>
      <c r="EE88" t="s">
        <v>89</v>
      </c>
      <c r="EF88" t="s">
        <v>94</v>
      </c>
      <c r="EG88" t="s">
        <v>226</v>
      </c>
      <c r="EJ88" t="s">
        <v>166</v>
      </c>
      <c r="EK88" t="b">
        <v>0</v>
      </c>
      <c r="EL88" t="b">
        <v>0</v>
      </c>
      <c r="EM88" t="b">
        <v>0</v>
      </c>
      <c r="EO88" t="s">
        <v>177</v>
      </c>
      <c r="EP88" t="s">
        <v>1252</v>
      </c>
    </row>
    <row r="89" spans="3:146">
      <c r="C89" s="4">
        <v>2</v>
      </c>
      <c r="D89" s="4"/>
      <c r="E89" s="4">
        <v>1</v>
      </c>
      <c r="F89" s="4">
        <v>0.2</v>
      </c>
      <c r="G89" s="5" t="s">
        <v>1246</v>
      </c>
      <c r="H89" s="4" t="s">
        <v>1253</v>
      </c>
      <c r="I89" s="4" t="s">
        <v>164</v>
      </c>
      <c r="J89" s="5"/>
      <c r="K89" s="22" t="s">
        <v>1229</v>
      </c>
      <c r="L89" s="22">
        <v>1100271750049</v>
      </c>
      <c r="M89" s="23" t="s">
        <v>447</v>
      </c>
      <c r="N89" s="23">
        <v>43729</v>
      </c>
      <c r="O89" s="24" t="s">
        <v>102</v>
      </c>
      <c r="P89" s="24" t="s">
        <v>179</v>
      </c>
      <c r="Q89" s="24">
        <v>1</v>
      </c>
      <c r="R89" s="24">
        <v>0.2</v>
      </c>
      <c r="S89" t="s">
        <v>319</v>
      </c>
      <c r="T89">
        <v>24</v>
      </c>
      <c r="U89" s="2" t="s">
        <v>163</v>
      </c>
      <c r="V89">
        <v>43729.790601851855</v>
      </c>
      <c r="W89" s="2" t="s">
        <v>444</v>
      </c>
      <c r="X89">
        <v>43733.444074074076</v>
      </c>
      <c r="AB89" t="s">
        <v>9</v>
      </c>
      <c r="AC89" t="s">
        <v>1230</v>
      </c>
      <c r="AD89" t="s">
        <v>182</v>
      </c>
      <c r="AE89">
        <v>1004000</v>
      </c>
      <c r="AF89">
        <v>1004000</v>
      </c>
      <c r="AG89" t="s">
        <v>183</v>
      </c>
      <c r="AH89" t="s">
        <v>1231</v>
      </c>
      <c r="AI89" t="s">
        <v>1231</v>
      </c>
      <c r="AJ89" t="s">
        <v>1232</v>
      </c>
      <c r="AK89" t="s">
        <v>1233</v>
      </c>
      <c r="AL89" t="s">
        <v>1234</v>
      </c>
      <c r="AM89" t="s">
        <v>1251</v>
      </c>
      <c r="AN89" t="s">
        <v>1235</v>
      </c>
      <c r="AO89" t="s">
        <v>1236</v>
      </c>
      <c r="AP89" t="s">
        <v>1233</v>
      </c>
      <c r="AR89">
        <v>576151</v>
      </c>
      <c r="AS89">
        <v>6563724374</v>
      </c>
      <c r="AT89" t="s">
        <v>1237</v>
      </c>
      <c r="AU89" t="s">
        <v>10</v>
      </c>
      <c r="AV89" t="s">
        <v>1238</v>
      </c>
      <c r="AW89" t="s">
        <v>1238</v>
      </c>
      <c r="AX89" t="s">
        <v>1239</v>
      </c>
      <c r="AY89" t="s">
        <v>1240</v>
      </c>
      <c r="AZ89" t="s">
        <v>1241</v>
      </c>
      <c r="BA89" t="s">
        <v>186</v>
      </c>
      <c r="BB89" t="s">
        <v>187</v>
      </c>
      <c r="BC89" t="s">
        <v>188</v>
      </c>
      <c r="BD89">
        <v>518104</v>
      </c>
      <c r="BE89" t="s">
        <v>1242</v>
      </c>
      <c r="BF89" t="s">
        <v>1243</v>
      </c>
      <c r="BG89" t="b">
        <v>0</v>
      </c>
      <c r="BH89" s="6" t="s">
        <v>1244</v>
      </c>
      <c r="BI89" t="s">
        <v>1245</v>
      </c>
      <c r="BJ89">
        <v>4453163191</v>
      </c>
      <c r="BK89" t="s">
        <v>162</v>
      </c>
      <c r="BL89" t="s">
        <v>161</v>
      </c>
      <c r="BM89" s="2"/>
      <c r="BO89" t="s">
        <v>89</v>
      </c>
      <c r="BP89">
        <v>85369011</v>
      </c>
      <c r="BR89" t="s">
        <v>189</v>
      </c>
      <c r="BS89" t="s">
        <v>103</v>
      </c>
      <c r="BU89">
        <v>0</v>
      </c>
      <c r="BV89">
        <v>0</v>
      </c>
      <c r="BW89">
        <v>0</v>
      </c>
      <c r="BX89">
        <v>0</v>
      </c>
      <c r="BY89">
        <v>0</v>
      </c>
      <c r="BZ89">
        <v>0</v>
      </c>
      <c r="CA89">
        <v>0</v>
      </c>
      <c r="CF89" s="2"/>
      <c r="CH89" s="2"/>
      <c r="CJ89">
        <v>5.31420199501352E+17</v>
      </c>
      <c r="CK89" t="s">
        <v>445</v>
      </c>
      <c r="CL89">
        <v>43729.372789351852</v>
      </c>
      <c r="CO89" t="s">
        <v>11</v>
      </c>
      <c r="CP89">
        <v>168.75</v>
      </c>
      <c r="CQ89" t="s">
        <v>11</v>
      </c>
      <c r="CR89">
        <v>168.75</v>
      </c>
      <c r="CV89" t="s">
        <v>190</v>
      </c>
      <c r="CW89" t="s">
        <v>12</v>
      </c>
      <c r="CX89" t="s">
        <v>12</v>
      </c>
      <c r="CY89" t="s">
        <v>12</v>
      </c>
      <c r="DA89" t="s">
        <v>104</v>
      </c>
      <c r="DD89" t="s">
        <v>93</v>
      </c>
      <c r="DQ89" t="s">
        <v>94</v>
      </c>
      <c r="DR89" t="s">
        <v>94</v>
      </c>
      <c r="DS89" t="s">
        <v>94</v>
      </c>
      <c r="DT89" t="s">
        <v>94</v>
      </c>
      <c r="DU89" t="s">
        <v>94</v>
      </c>
      <c r="DV89" t="s">
        <v>94</v>
      </c>
      <c r="DW89" t="s">
        <v>94</v>
      </c>
      <c r="DX89" s="2" t="s">
        <v>94</v>
      </c>
      <c r="DY89" t="s">
        <v>94</v>
      </c>
      <c r="DZ89" t="s">
        <v>94</v>
      </c>
      <c r="EA89" t="s">
        <v>94</v>
      </c>
      <c r="EB89" t="s">
        <v>94</v>
      </c>
      <c r="EC89" t="s">
        <v>94</v>
      </c>
      <c r="ED89" t="s">
        <v>94</v>
      </c>
      <c r="EE89" t="s">
        <v>89</v>
      </c>
      <c r="EF89" t="s">
        <v>425</v>
      </c>
      <c r="EG89" t="s">
        <v>105</v>
      </c>
      <c r="EJ89" t="s">
        <v>166</v>
      </c>
      <c r="EK89" t="b">
        <v>0</v>
      </c>
      <c r="EL89" t="b">
        <v>0</v>
      </c>
      <c r="EM89" t="b">
        <v>0</v>
      </c>
      <c r="EO89" t="s">
        <v>177</v>
      </c>
      <c r="EP89" t="s">
        <v>1252</v>
      </c>
    </row>
    <row r="90" spans="3:146" ht="15">
      <c r="C90" s="82">
        <v>3</v>
      </c>
      <c r="D90" s="5"/>
      <c r="E90" s="4">
        <v>1</v>
      </c>
      <c r="F90" s="5">
        <v>10.62</v>
      </c>
      <c r="G90" s="5" t="s">
        <v>959</v>
      </c>
      <c r="H90" s="4" t="s">
        <v>1301</v>
      </c>
      <c r="I90" s="81" t="s">
        <v>920</v>
      </c>
      <c r="J90" s="21"/>
      <c r="K90" s="22" t="s">
        <v>1269</v>
      </c>
      <c r="L90" s="22">
        <v>1100271750023</v>
      </c>
      <c r="M90" s="23" t="s">
        <v>905</v>
      </c>
      <c r="N90" s="23">
        <v>43728</v>
      </c>
      <c r="O90" s="24" t="s">
        <v>102</v>
      </c>
      <c r="P90" s="24" t="s">
        <v>181</v>
      </c>
      <c r="Q90" s="24">
        <v>1</v>
      </c>
      <c r="R90" s="24">
        <v>10.62</v>
      </c>
      <c r="S90" t="s">
        <v>528</v>
      </c>
      <c r="T90">
        <v>173</v>
      </c>
      <c r="U90" s="2" t="s">
        <v>163</v>
      </c>
      <c r="V90">
        <v>43728.840358796297</v>
      </c>
      <c r="W90" s="2" t="s">
        <v>444</v>
      </c>
      <c r="X90">
        <v>43734.523020833331</v>
      </c>
      <c r="AB90" t="s">
        <v>9</v>
      </c>
      <c r="AC90" t="s">
        <v>1270</v>
      </c>
      <c r="AD90" t="s">
        <v>209</v>
      </c>
      <c r="AE90">
        <v>14712</v>
      </c>
      <c r="AF90">
        <v>14712</v>
      </c>
      <c r="AG90" t="s">
        <v>183</v>
      </c>
      <c r="AH90" t="s">
        <v>1271</v>
      </c>
      <c r="AI90" t="s">
        <v>1271</v>
      </c>
      <c r="AJ90" t="s">
        <v>1272</v>
      </c>
      <c r="AK90" t="s">
        <v>1273</v>
      </c>
      <c r="AL90" t="s">
        <v>1274</v>
      </c>
      <c r="AM90" t="s">
        <v>1275</v>
      </c>
      <c r="AN90" t="s">
        <v>1276</v>
      </c>
      <c r="AO90" t="s">
        <v>1277</v>
      </c>
      <c r="AP90" t="s">
        <v>1278</v>
      </c>
      <c r="AR90" t="s">
        <v>1279</v>
      </c>
      <c r="AS90">
        <v>324539029</v>
      </c>
      <c r="AT90" t="s">
        <v>1280</v>
      </c>
      <c r="AU90" t="s">
        <v>10</v>
      </c>
      <c r="AV90" t="s">
        <v>1281</v>
      </c>
      <c r="AW90" t="s">
        <v>1281</v>
      </c>
      <c r="AX90" t="s">
        <v>1282</v>
      </c>
      <c r="AY90" s="2" t="s">
        <v>1283</v>
      </c>
      <c r="BA90" t="s">
        <v>520</v>
      </c>
      <c r="BB90" t="s">
        <v>223</v>
      </c>
      <c r="BC90" t="s">
        <v>188</v>
      </c>
      <c r="BD90">
        <v>510555</v>
      </c>
      <c r="BE90">
        <v>8602089851953</v>
      </c>
      <c r="BF90" t="s">
        <v>1284</v>
      </c>
      <c r="BG90" t="b">
        <v>0</v>
      </c>
      <c r="BH90" s="6" t="s">
        <v>1285</v>
      </c>
      <c r="BI90" t="s">
        <v>1286</v>
      </c>
      <c r="BJ90">
        <v>4453163191</v>
      </c>
      <c r="BK90" t="s">
        <v>162</v>
      </c>
      <c r="BL90" t="s">
        <v>161</v>
      </c>
      <c r="BM90" s="2"/>
      <c r="BO90" t="s">
        <v>89</v>
      </c>
      <c r="BP90">
        <v>8414599099</v>
      </c>
      <c r="BR90" t="s">
        <v>189</v>
      </c>
      <c r="BS90" t="s">
        <v>103</v>
      </c>
      <c r="BU90">
        <v>109.06</v>
      </c>
      <c r="BV90">
        <v>191.39</v>
      </c>
      <c r="BW90">
        <v>0</v>
      </c>
      <c r="BX90">
        <v>0</v>
      </c>
      <c r="BY90">
        <v>0</v>
      </c>
      <c r="BZ90">
        <v>0</v>
      </c>
      <c r="CA90">
        <v>300.45</v>
      </c>
      <c r="CF90" s="2"/>
      <c r="CH90" s="2"/>
      <c r="CJ90">
        <v>5.3142019950134598E+17</v>
      </c>
      <c r="CK90" t="s">
        <v>500</v>
      </c>
      <c r="CL90">
        <v>43728.564965277779</v>
      </c>
      <c r="CO90" t="s">
        <v>11</v>
      </c>
      <c r="CP90">
        <v>1363.19</v>
      </c>
      <c r="CQ90" t="s">
        <v>11</v>
      </c>
      <c r="CR90">
        <v>1363.19</v>
      </c>
      <c r="CV90" t="s">
        <v>190</v>
      </c>
      <c r="CW90" t="s">
        <v>12</v>
      </c>
      <c r="CX90" t="s">
        <v>12</v>
      </c>
      <c r="CY90" t="s">
        <v>12</v>
      </c>
      <c r="DA90" t="s">
        <v>104</v>
      </c>
      <c r="DD90" t="s">
        <v>93</v>
      </c>
      <c r="DQ90" t="s">
        <v>94</v>
      </c>
      <c r="DR90" t="s">
        <v>94</v>
      </c>
      <c r="DS90" t="s">
        <v>94</v>
      </c>
      <c r="DT90" t="s">
        <v>94</v>
      </c>
      <c r="DU90" t="s">
        <v>94</v>
      </c>
      <c r="DV90" t="s">
        <v>94</v>
      </c>
      <c r="DW90" t="s">
        <v>94</v>
      </c>
      <c r="DX90" s="2" t="s">
        <v>94</v>
      </c>
      <c r="DY90" t="s">
        <v>94</v>
      </c>
      <c r="DZ90" t="s">
        <v>94</v>
      </c>
      <c r="EA90" t="s">
        <v>94</v>
      </c>
      <c r="EB90" t="s">
        <v>94</v>
      </c>
      <c r="EC90" t="s">
        <v>94</v>
      </c>
      <c r="ED90" t="s">
        <v>94</v>
      </c>
      <c r="EE90" t="s">
        <v>89</v>
      </c>
      <c r="EF90" t="s">
        <v>425</v>
      </c>
      <c r="EG90" t="s">
        <v>105</v>
      </c>
      <c r="EJ90" t="s">
        <v>166</v>
      </c>
      <c r="EK90" t="b">
        <v>0</v>
      </c>
      <c r="EL90" t="b">
        <v>0</v>
      </c>
      <c r="EM90" t="b">
        <v>0</v>
      </c>
      <c r="EO90" t="s">
        <v>177</v>
      </c>
      <c r="EP90" t="s">
        <v>1302</v>
      </c>
    </row>
    <row r="91" spans="3:146">
      <c r="C91" s="4">
        <v>3</v>
      </c>
      <c r="D91" s="4"/>
      <c r="E91" s="4">
        <v>1</v>
      </c>
      <c r="F91" s="4">
        <v>2</v>
      </c>
      <c r="G91" s="5" t="s">
        <v>959</v>
      </c>
      <c r="H91" s="4" t="s">
        <v>1303</v>
      </c>
      <c r="I91" s="4" t="s">
        <v>920</v>
      </c>
      <c r="J91" s="5"/>
      <c r="K91" s="22" t="s">
        <v>1287</v>
      </c>
      <c r="L91" s="22">
        <v>1100271750023</v>
      </c>
      <c r="M91" s="23" t="s">
        <v>905</v>
      </c>
      <c r="N91" s="23">
        <v>43728</v>
      </c>
      <c r="O91" s="24" t="s">
        <v>102</v>
      </c>
      <c r="P91" s="24" t="s">
        <v>179</v>
      </c>
      <c r="Q91" s="24">
        <v>1</v>
      </c>
      <c r="R91" s="24">
        <v>2</v>
      </c>
      <c r="S91" t="s">
        <v>528</v>
      </c>
      <c r="T91">
        <v>24</v>
      </c>
      <c r="U91" s="2" t="s">
        <v>163</v>
      </c>
      <c r="V91">
        <v>43728.840219907404</v>
      </c>
      <c r="W91" s="2" t="s">
        <v>444</v>
      </c>
      <c r="X91">
        <v>43734.523020833331</v>
      </c>
      <c r="AB91" t="s">
        <v>9</v>
      </c>
      <c r="AC91" t="s">
        <v>1288</v>
      </c>
      <c r="AD91" t="s">
        <v>756</v>
      </c>
      <c r="AE91">
        <v>968260</v>
      </c>
      <c r="AF91">
        <v>968260</v>
      </c>
      <c r="AG91" t="s">
        <v>183</v>
      </c>
      <c r="AH91" t="s">
        <v>1289</v>
      </c>
      <c r="AI91" t="s">
        <v>1289</v>
      </c>
      <c r="AJ91" t="s">
        <v>601</v>
      </c>
      <c r="AK91" t="s">
        <v>602</v>
      </c>
      <c r="AL91" t="s">
        <v>1290</v>
      </c>
      <c r="AO91" t="s">
        <v>1291</v>
      </c>
      <c r="AP91" t="s">
        <v>1292</v>
      </c>
      <c r="AQ91" t="s">
        <v>1293</v>
      </c>
      <c r="AR91" t="s">
        <v>1304</v>
      </c>
      <c r="AS91">
        <v>173293524</v>
      </c>
      <c r="AT91" t="s">
        <v>1294</v>
      </c>
      <c r="AU91" t="s">
        <v>10</v>
      </c>
      <c r="AV91" t="s">
        <v>1295</v>
      </c>
      <c r="AW91" t="s">
        <v>1295</v>
      </c>
      <c r="AX91" t="s">
        <v>1296</v>
      </c>
      <c r="AY91" t="s">
        <v>1297</v>
      </c>
      <c r="BA91" t="s">
        <v>765</v>
      </c>
      <c r="BB91" t="s">
        <v>766</v>
      </c>
      <c r="BC91" t="s">
        <v>765</v>
      </c>
      <c r="BD91">
        <v>400051</v>
      </c>
      <c r="BE91">
        <v>2386516008</v>
      </c>
      <c r="BF91" t="s">
        <v>1298</v>
      </c>
      <c r="BG91" t="b">
        <v>0</v>
      </c>
      <c r="BH91" s="6" t="s">
        <v>1299</v>
      </c>
      <c r="BI91" t="s">
        <v>1300</v>
      </c>
      <c r="BJ91">
        <v>4453163191</v>
      </c>
      <c r="BK91" t="s">
        <v>162</v>
      </c>
      <c r="BL91" t="s">
        <v>161</v>
      </c>
      <c r="BM91" s="2"/>
      <c r="BO91" t="s">
        <v>89</v>
      </c>
      <c r="BP91">
        <v>6204320090</v>
      </c>
      <c r="BR91" t="s">
        <v>180</v>
      </c>
      <c r="BS91" t="s">
        <v>103</v>
      </c>
      <c r="BU91">
        <v>0</v>
      </c>
      <c r="BV91">
        <v>0</v>
      </c>
      <c r="BW91">
        <v>0</v>
      </c>
      <c r="BX91">
        <v>0</v>
      </c>
      <c r="BY91">
        <v>0</v>
      </c>
      <c r="BZ91">
        <v>0</v>
      </c>
      <c r="CA91">
        <v>0</v>
      </c>
      <c r="CF91" s="2"/>
      <c r="CH91" s="2"/>
      <c r="CJ91">
        <v>5.3142019950134598E+17</v>
      </c>
      <c r="CK91" t="s">
        <v>500</v>
      </c>
      <c r="CL91">
        <v>43728.565150462964</v>
      </c>
      <c r="CO91" t="s">
        <v>11</v>
      </c>
      <c r="CP91">
        <v>189.11</v>
      </c>
      <c r="CQ91" t="s">
        <v>11</v>
      </c>
      <c r="CR91">
        <v>189.11</v>
      </c>
      <c r="CV91" t="s">
        <v>190</v>
      </c>
      <c r="CW91" t="s">
        <v>12</v>
      </c>
      <c r="CX91" t="s">
        <v>12</v>
      </c>
      <c r="CY91" t="s">
        <v>12</v>
      </c>
      <c r="DA91" t="s">
        <v>104</v>
      </c>
      <c r="DD91" t="s">
        <v>93</v>
      </c>
      <c r="DQ91" t="s">
        <v>94</v>
      </c>
      <c r="DR91" t="s">
        <v>94</v>
      </c>
      <c r="DS91" t="s">
        <v>94</v>
      </c>
      <c r="DT91" t="s">
        <v>94</v>
      </c>
      <c r="DU91" t="s">
        <v>94</v>
      </c>
      <c r="DV91" t="s">
        <v>94</v>
      </c>
      <c r="DW91" t="s">
        <v>94</v>
      </c>
      <c r="DX91" s="2" t="s">
        <v>94</v>
      </c>
      <c r="DY91" t="s">
        <v>94</v>
      </c>
      <c r="DZ91" t="s">
        <v>94</v>
      </c>
      <c r="EA91" t="s">
        <v>94</v>
      </c>
      <c r="EB91" t="s">
        <v>94</v>
      </c>
      <c r="EC91" t="s">
        <v>94</v>
      </c>
      <c r="ED91" t="s">
        <v>94</v>
      </c>
      <c r="EE91" t="s">
        <v>89</v>
      </c>
      <c r="EF91" t="s">
        <v>425</v>
      </c>
      <c r="EG91" t="s">
        <v>105</v>
      </c>
      <c r="EJ91" t="s">
        <v>166</v>
      </c>
      <c r="EK91" t="b">
        <v>0</v>
      </c>
      <c r="EL91" t="b">
        <v>0</v>
      </c>
      <c r="EM91" t="b">
        <v>0</v>
      </c>
      <c r="EO91" t="s">
        <v>177</v>
      </c>
      <c r="EP91" t="s">
        <v>1302</v>
      </c>
    </row>
    <row r="92" spans="3:146" ht="15">
      <c r="C92" s="82" t="s">
        <v>205</v>
      </c>
      <c r="D92" s="5"/>
      <c r="E92" s="4">
        <v>1</v>
      </c>
      <c r="F92" s="5">
        <v>0.4</v>
      </c>
      <c r="G92" s="5" t="s">
        <v>1246</v>
      </c>
      <c r="H92" s="4" t="s">
        <v>1305</v>
      </c>
      <c r="I92" s="81" t="s">
        <v>164</v>
      </c>
      <c r="J92" s="21"/>
      <c r="K92" s="22" t="s">
        <v>1254</v>
      </c>
      <c r="L92" s="22">
        <v>1100271750049</v>
      </c>
      <c r="M92" s="23" t="s">
        <v>447</v>
      </c>
      <c r="N92" s="23">
        <v>43729</v>
      </c>
      <c r="O92" s="24" t="s">
        <v>102</v>
      </c>
      <c r="P92" s="24" t="s">
        <v>179</v>
      </c>
      <c r="Q92" s="24">
        <v>1</v>
      </c>
      <c r="R92" s="24">
        <v>0.4</v>
      </c>
      <c r="S92" t="s">
        <v>319</v>
      </c>
      <c r="T92">
        <v>25</v>
      </c>
      <c r="U92" s="2" t="s">
        <v>163</v>
      </c>
      <c r="V92">
        <v>43729.790370370371</v>
      </c>
      <c r="W92" s="2" t="s">
        <v>444</v>
      </c>
      <c r="X92">
        <v>43733.444074074076</v>
      </c>
      <c r="AB92" t="s">
        <v>9</v>
      </c>
      <c r="AC92" t="s">
        <v>1255</v>
      </c>
      <c r="AD92" t="s">
        <v>191</v>
      </c>
      <c r="AE92">
        <v>111179</v>
      </c>
      <c r="AF92">
        <v>111179</v>
      </c>
      <c r="AG92" t="s">
        <v>183</v>
      </c>
      <c r="AH92" t="s">
        <v>1256</v>
      </c>
      <c r="AI92" t="s">
        <v>1256</v>
      </c>
      <c r="AJ92" t="s">
        <v>1257</v>
      </c>
      <c r="AK92" t="s">
        <v>1258</v>
      </c>
      <c r="AL92" t="s">
        <v>1259</v>
      </c>
      <c r="AO92" t="s">
        <v>1260</v>
      </c>
      <c r="AP92" t="s">
        <v>1261</v>
      </c>
      <c r="AR92" t="s">
        <v>1306</v>
      </c>
      <c r="AS92">
        <v>-99365718</v>
      </c>
      <c r="AT92" t="s">
        <v>1262</v>
      </c>
      <c r="AU92" t="s">
        <v>10</v>
      </c>
      <c r="AV92" t="s">
        <v>1263</v>
      </c>
      <c r="AW92" t="s">
        <v>1263</v>
      </c>
      <c r="AX92" t="s">
        <v>1264</v>
      </c>
      <c r="AY92" s="2" t="s">
        <v>1265</v>
      </c>
      <c r="BA92" t="s">
        <v>371</v>
      </c>
      <c r="BB92" t="s">
        <v>192</v>
      </c>
      <c r="BC92" t="s">
        <v>188</v>
      </c>
      <c r="BD92">
        <v>523885</v>
      </c>
      <c r="BE92">
        <v>-76938997808</v>
      </c>
      <c r="BF92" t="s">
        <v>1266</v>
      </c>
      <c r="BG92" t="b">
        <v>0</v>
      </c>
      <c r="BH92" s="6" t="s">
        <v>1267</v>
      </c>
      <c r="BI92" t="s">
        <v>1268</v>
      </c>
      <c r="BJ92">
        <v>4453163191</v>
      </c>
      <c r="BK92" t="s">
        <v>162</v>
      </c>
      <c r="BL92" t="s">
        <v>161</v>
      </c>
      <c r="BM92" s="2"/>
      <c r="BO92" t="s">
        <v>89</v>
      </c>
      <c r="BP92">
        <v>3921909090</v>
      </c>
      <c r="BR92" t="s">
        <v>180</v>
      </c>
      <c r="BS92" t="s">
        <v>103</v>
      </c>
      <c r="BU92">
        <v>0</v>
      </c>
      <c r="BV92">
        <v>0</v>
      </c>
      <c r="BW92">
        <v>0</v>
      </c>
      <c r="BX92">
        <v>0</v>
      </c>
      <c r="BY92">
        <v>0</v>
      </c>
      <c r="BZ92">
        <v>0</v>
      </c>
      <c r="CA92">
        <v>0</v>
      </c>
      <c r="CF92" s="2"/>
      <c r="CH92" s="2"/>
      <c r="CJ92">
        <v>5.31420199501352E+17</v>
      </c>
      <c r="CK92" t="s">
        <v>445</v>
      </c>
      <c r="CL92">
        <v>43729.5624537037</v>
      </c>
      <c r="CO92" t="s">
        <v>11</v>
      </c>
      <c r="CP92">
        <v>175.78</v>
      </c>
      <c r="CQ92" t="s">
        <v>11</v>
      </c>
      <c r="CR92">
        <v>175.78</v>
      </c>
      <c r="CV92" t="s">
        <v>190</v>
      </c>
      <c r="CW92" t="s">
        <v>12</v>
      </c>
      <c r="CX92" t="s">
        <v>12</v>
      </c>
      <c r="CY92" t="s">
        <v>12</v>
      </c>
      <c r="DA92" t="s">
        <v>104</v>
      </c>
      <c r="DD92" t="s">
        <v>93</v>
      </c>
      <c r="DQ92" t="s">
        <v>94</v>
      </c>
      <c r="DR92" t="s">
        <v>94</v>
      </c>
      <c r="DS92" t="s">
        <v>94</v>
      </c>
      <c r="DT92" t="s">
        <v>94</v>
      </c>
      <c r="DU92" t="s">
        <v>94</v>
      </c>
      <c r="DV92" t="s">
        <v>94</v>
      </c>
      <c r="DW92" t="s">
        <v>94</v>
      </c>
      <c r="DX92" s="2" t="s">
        <v>94</v>
      </c>
      <c r="DY92" t="s">
        <v>94</v>
      </c>
      <c r="DZ92" t="s">
        <v>94</v>
      </c>
      <c r="EA92" t="s">
        <v>94</v>
      </c>
      <c r="EB92" t="s">
        <v>94</v>
      </c>
      <c r="EC92" t="s">
        <v>94</v>
      </c>
      <c r="ED92" t="s">
        <v>94</v>
      </c>
      <c r="EE92" t="s">
        <v>89</v>
      </c>
      <c r="EF92" t="s">
        <v>425</v>
      </c>
      <c r="EG92" t="s">
        <v>105</v>
      </c>
      <c r="EJ92" t="s">
        <v>166</v>
      </c>
      <c r="EK92" t="b">
        <v>0</v>
      </c>
      <c r="EL92" t="b">
        <v>0</v>
      </c>
      <c r="EM92" t="b">
        <v>0</v>
      </c>
      <c r="EO92" t="s">
        <v>177</v>
      </c>
      <c r="EP92" t="s">
        <v>1307</v>
      </c>
    </row>
    <row r="93" spans="3:146" ht="15">
      <c r="C93" s="82" t="s">
        <v>205</v>
      </c>
      <c r="D93" s="5"/>
      <c r="E93" s="4">
        <v>1</v>
      </c>
      <c r="F93" s="5">
        <v>0.6</v>
      </c>
      <c r="G93" s="5" t="s">
        <v>1119</v>
      </c>
      <c r="H93" s="4" t="s">
        <v>1341</v>
      </c>
      <c r="I93" s="81" t="s">
        <v>817</v>
      </c>
      <c r="J93" s="21"/>
      <c r="K93" s="22" t="s">
        <v>1308</v>
      </c>
      <c r="L93" s="22">
        <v>1100271750052</v>
      </c>
      <c r="M93" s="23" t="s">
        <v>817</v>
      </c>
      <c r="N93" s="23">
        <v>43730</v>
      </c>
      <c r="O93" s="24" t="s">
        <v>102</v>
      </c>
      <c r="P93" s="24" t="s">
        <v>179</v>
      </c>
      <c r="Q93" s="24">
        <v>1</v>
      </c>
      <c r="R93" s="24">
        <v>0.6</v>
      </c>
      <c r="S93" t="s">
        <v>372</v>
      </c>
      <c r="T93">
        <v>30</v>
      </c>
      <c r="U93" s="2" t="s">
        <v>163</v>
      </c>
      <c r="V93">
        <v>43730.665486111109</v>
      </c>
      <c r="W93" s="2" t="s">
        <v>444</v>
      </c>
      <c r="X93">
        <v>43734.52553240741</v>
      </c>
      <c r="AB93" t="s">
        <v>9</v>
      </c>
      <c r="AC93" t="s">
        <v>1309</v>
      </c>
      <c r="AD93" t="s">
        <v>182</v>
      </c>
      <c r="AE93">
        <v>1019678</v>
      </c>
      <c r="AF93">
        <v>1019678</v>
      </c>
      <c r="AG93" t="s">
        <v>183</v>
      </c>
      <c r="AH93" t="s">
        <v>1310</v>
      </c>
      <c r="AI93" t="s">
        <v>1310</v>
      </c>
      <c r="AJ93" t="s">
        <v>184</v>
      </c>
      <c r="AK93" t="s">
        <v>185</v>
      </c>
      <c r="AL93" t="s">
        <v>1311</v>
      </c>
      <c r="AM93" t="s">
        <v>1312</v>
      </c>
      <c r="AO93" t="s">
        <v>1313</v>
      </c>
      <c r="AP93" t="s">
        <v>1314</v>
      </c>
      <c r="AQ93" t="s">
        <v>1315</v>
      </c>
      <c r="AR93" t="s">
        <v>1316</v>
      </c>
      <c r="AS93">
        <v>1214727206</v>
      </c>
      <c r="AT93" t="s">
        <v>1317</v>
      </c>
      <c r="AU93" t="s">
        <v>10</v>
      </c>
      <c r="AV93" t="s">
        <v>1318</v>
      </c>
      <c r="AW93" t="s">
        <v>1318</v>
      </c>
      <c r="AX93" t="s">
        <v>1319</v>
      </c>
      <c r="AY93" s="2" t="s">
        <v>1320</v>
      </c>
      <c r="AZ93" t="s">
        <v>1321</v>
      </c>
      <c r="BA93" t="s">
        <v>194</v>
      </c>
      <c r="BB93" t="s">
        <v>272</v>
      </c>
      <c r="BC93" t="s">
        <v>188</v>
      </c>
      <c r="BD93">
        <v>518081</v>
      </c>
      <c r="BE93">
        <v>-75525554217</v>
      </c>
      <c r="BF93" t="s">
        <v>1322</v>
      </c>
      <c r="BG93" t="b">
        <v>0</v>
      </c>
      <c r="BH93" s="6" t="s">
        <v>1323</v>
      </c>
      <c r="BI93" t="s">
        <v>1324</v>
      </c>
      <c r="BJ93">
        <v>4453163191</v>
      </c>
      <c r="BK93" t="s">
        <v>162</v>
      </c>
      <c r="BL93" t="s">
        <v>161</v>
      </c>
      <c r="BM93" s="2"/>
      <c r="BO93" t="s">
        <v>89</v>
      </c>
      <c r="BP93">
        <v>90049090</v>
      </c>
      <c r="BR93" t="s">
        <v>180</v>
      </c>
      <c r="BS93" t="s">
        <v>103</v>
      </c>
      <c r="BU93">
        <v>0</v>
      </c>
      <c r="BV93">
        <v>0</v>
      </c>
      <c r="BW93">
        <v>0</v>
      </c>
      <c r="BX93">
        <v>0</v>
      </c>
      <c r="BY93">
        <v>0</v>
      </c>
      <c r="BZ93">
        <v>0</v>
      </c>
      <c r="CA93">
        <v>0</v>
      </c>
      <c r="CF93" s="2"/>
      <c r="CH93" s="2"/>
      <c r="CJ93">
        <v>5.3142019950135501E+17</v>
      </c>
      <c r="CK93" t="s">
        <v>165</v>
      </c>
      <c r="CL93">
        <v>43730.333634259259</v>
      </c>
      <c r="CO93" t="s">
        <v>11</v>
      </c>
      <c r="CP93">
        <v>255.27</v>
      </c>
      <c r="CQ93" t="s">
        <v>11</v>
      </c>
      <c r="CR93">
        <v>255.27</v>
      </c>
      <c r="CV93" t="s">
        <v>190</v>
      </c>
      <c r="CW93" t="s">
        <v>12</v>
      </c>
      <c r="CX93" t="s">
        <v>12</v>
      </c>
      <c r="CY93" t="s">
        <v>12</v>
      </c>
      <c r="DA93" t="s">
        <v>104</v>
      </c>
      <c r="DD93" t="s">
        <v>93</v>
      </c>
      <c r="DQ93" t="s">
        <v>94</v>
      </c>
      <c r="DR93" t="s">
        <v>94</v>
      </c>
      <c r="DS93" t="s">
        <v>94</v>
      </c>
      <c r="DT93" t="s">
        <v>94</v>
      </c>
      <c r="DU93" t="s">
        <v>94</v>
      </c>
      <c r="DV93" t="s">
        <v>94</v>
      </c>
      <c r="DW93" t="s">
        <v>94</v>
      </c>
      <c r="DX93" s="2" t="s">
        <v>94</v>
      </c>
      <c r="DY93" t="s">
        <v>94</v>
      </c>
      <c r="DZ93" t="s">
        <v>94</v>
      </c>
      <c r="EA93" t="s">
        <v>94</v>
      </c>
      <c r="EB93" t="s">
        <v>94</v>
      </c>
      <c r="EC93" t="s">
        <v>94</v>
      </c>
      <c r="ED93" t="s">
        <v>94</v>
      </c>
      <c r="EE93" t="s">
        <v>89</v>
      </c>
      <c r="EF93" t="s">
        <v>425</v>
      </c>
      <c r="EG93" t="s">
        <v>105</v>
      </c>
      <c r="EJ93" t="s">
        <v>166</v>
      </c>
      <c r="EK93" t="b">
        <v>0</v>
      </c>
      <c r="EL93" t="b">
        <v>0</v>
      </c>
      <c r="EM93" t="b">
        <v>0</v>
      </c>
      <c r="EO93" t="s">
        <v>177</v>
      </c>
      <c r="EP93" t="s">
        <v>1342</v>
      </c>
    </row>
    <row r="94" spans="3:146" ht="15">
      <c r="C94" s="82">
        <v>0</v>
      </c>
      <c r="D94" s="5"/>
      <c r="E94" s="4">
        <v>1</v>
      </c>
      <c r="F94" s="5">
        <v>0.8</v>
      </c>
      <c r="G94" s="5" t="s">
        <v>1246</v>
      </c>
      <c r="H94" s="4" t="s">
        <v>1343</v>
      </c>
      <c r="I94" s="81" t="s">
        <v>164</v>
      </c>
      <c r="J94" s="21"/>
      <c r="K94" s="22" t="s">
        <v>1325</v>
      </c>
      <c r="L94" s="22">
        <v>1100271750049</v>
      </c>
      <c r="M94" s="23" t="s">
        <v>447</v>
      </c>
      <c r="N94" s="23">
        <v>43729</v>
      </c>
      <c r="O94" s="24" t="s">
        <v>102</v>
      </c>
      <c r="P94" s="24" t="s">
        <v>179</v>
      </c>
      <c r="Q94" s="24">
        <v>1</v>
      </c>
      <c r="R94" s="24">
        <v>0.8</v>
      </c>
      <c r="S94" t="s">
        <v>319</v>
      </c>
      <c r="T94">
        <v>20</v>
      </c>
      <c r="U94" s="2" t="s">
        <v>163</v>
      </c>
      <c r="V94">
        <v>43729.790370370371</v>
      </c>
      <c r="W94" s="2" t="s">
        <v>444</v>
      </c>
      <c r="X94">
        <v>43733.444074074076</v>
      </c>
      <c r="AB94" t="s">
        <v>9</v>
      </c>
      <c r="AC94" t="s">
        <v>1326</v>
      </c>
      <c r="AD94" t="s">
        <v>182</v>
      </c>
      <c r="AE94">
        <v>21314</v>
      </c>
      <c r="AF94">
        <v>21314</v>
      </c>
      <c r="AG94" t="s">
        <v>183</v>
      </c>
      <c r="AH94" t="s">
        <v>1327</v>
      </c>
      <c r="AI94" t="s">
        <v>1327</v>
      </c>
      <c r="AJ94" t="s">
        <v>1072</v>
      </c>
      <c r="AK94" t="s">
        <v>1073</v>
      </c>
      <c r="AL94" t="s">
        <v>1328</v>
      </c>
      <c r="AM94" t="s">
        <v>1329</v>
      </c>
      <c r="AO94" t="s">
        <v>1330</v>
      </c>
      <c r="AP94" t="s">
        <v>1331</v>
      </c>
      <c r="AR94" t="s">
        <v>1332</v>
      </c>
      <c r="AS94">
        <v>243441155576205</v>
      </c>
      <c r="AT94" t="s">
        <v>1333</v>
      </c>
      <c r="AU94" t="s">
        <v>10</v>
      </c>
      <c r="AV94" t="s">
        <v>1334</v>
      </c>
      <c r="AW94" t="s">
        <v>1334</v>
      </c>
      <c r="AX94" t="s">
        <v>1335</v>
      </c>
      <c r="AY94" s="2" t="s">
        <v>1336</v>
      </c>
      <c r="AZ94" t="s">
        <v>1337</v>
      </c>
      <c r="BA94" t="s">
        <v>186</v>
      </c>
      <c r="BB94" t="s">
        <v>187</v>
      </c>
      <c r="BC94" t="s">
        <v>188</v>
      </c>
      <c r="BD94">
        <v>518100</v>
      </c>
      <c r="BE94">
        <v>-13509663661</v>
      </c>
      <c r="BF94" t="s">
        <v>1338</v>
      </c>
      <c r="BG94" t="b">
        <v>0</v>
      </c>
      <c r="BH94" s="6" t="s">
        <v>1339</v>
      </c>
      <c r="BI94" t="s">
        <v>1340</v>
      </c>
      <c r="BJ94">
        <v>4453163191</v>
      </c>
      <c r="BK94" t="s">
        <v>162</v>
      </c>
      <c r="BL94" t="s">
        <v>161</v>
      </c>
      <c r="BM94" s="2"/>
      <c r="BO94" t="s">
        <v>89</v>
      </c>
      <c r="BP94">
        <v>4016999090</v>
      </c>
      <c r="BR94" t="s">
        <v>189</v>
      </c>
      <c r="BS94" t="s">
        <v>103</v>
      </c>
      <c r="BU94">
        <v>0</v>
      </c>
      <c r="BV94">
        <v>0</v>
      </c>
      <c r="BW94">
        <v>0</v>
      </c>
      <c r="BX94">
        <v>0</v>
      </c>
      <c r="BY94">
        <v>0</v>
      </c>
      <c r="BZ94">
        <v>0</v>
      </c>
      <c r="CA94">
        <v>0</v>
      </c>
      <c r="CF94" s="2"/>
      <c r="CH94" s="2"/>
      <c r="CJ94">
        <v>5.31420199501352E+17</v>
      </c>
      <c r="CK94" t="s">
        <v>445</v>
      </c>
      <c r="CL94">
        <v>43729.562013888892</v>
      </c>
      <c r="CO94" t="s">
        <v>11</v>
      </c>
      <c r="CP94">
        <v>140.62</v>
      </c>
      <c r="CQ94" t="s">
        <v>11</v>
      </c>
      <c r="CR94">
        <v>140.62</v>
      </c>
      <c r="CV94" t="s">
        <v>190</v>
      </c>
      <c r="CW94" t="s">
        <v>12</v>
      </c>
      <c r="CX94" t="s">
        <v>12</v>
      </c>
      <c r="CY94" t="s">
        <v>12</v>
      </c>
      <c r="DA94" t="s">
        <v>104</v>
      </c>
      <c r="DD94" t="s">
        <v>93</v>
      </c>
      <c r="DQ94" t="s">
        <v>94</v>
      </c>
      <c r="DR94" t="s">
        <v>94</v>
      </c>
      <c r="DS94" t="s">
        <v>94</v>
      </c>
      <c r="DT94" t="s">
        <v>94</v>
      </c>
      <c r="DU94" t="s">
        <v>94</v>
      </c>
      <c r="DV94" t="s">
        <v>94</v>
      </c>
      <c r="DW94" t="s">
        <v>94</v>
      </c>
      <c r="DX94" s="2" t="s">
        <v>94</v>
      </c>
      <c r="DY94" t="s">
        <v>94</v>
      </c>
      <c r="DZ94" t="s">
        <v>94</v>
      </c>
      <c r="EA94" t="s">
        <v>94</v>
      </c>
      <c r="EB94" t="s">
        <v>94</v>
      </c>
      <c r="EC94" t="s">
        <v>94</v>
      </c>
      <c r="ED94" t="s">
        <v>94</v>
      </c>
      <c r="EE94" t="s">
        <v>89</v>
      </c>
      <c r="EF94" t="s">
        <v>425</v>
      </c>
      <c r="EG94" t="s">
        <v>105</v>
      </c>
      <c r="EJ94" t="s">
        <v>166</v>
      </c>
      <c r="EK94" t="b">
        <v>0</v>
      </c>
      <c r="EL94" t="b">
        <v>0</v>
      </c>
      <c r="EM94" t="b">
        <v>0</v>
      </c>
      <c r="EO94" t="s">
        <v>177</v>
      </c>
      <c r="EP94" t="s">
        <v>1344</v>
      </c>
    </row>
    <row r="95" spans="3:146" ht="15">
      <c r="C95" s="82">
        <v>0</v>
      </c>
      <c r="D95" s="5"/>
      <c r="E95" s="4">
        <v>1</v>
      </c>
      <c r="F95" s="5">
        <v>0.8</v>
      </c>
      <c r="G95" s="5" t="s">
        <v>1246</v>
      </c>
      <c r="H95" s="4" t="s">
        <v>1343</v>
      </c>
      <c r="I95" s="81" t="s">
        <v>164</v>
      </c>
      <c r="J95" s="21"/>
      <c r="K95" s="22" t="s">
        <v>1325</v>
      </c>
      <c r="L95" s="22">
        <v>1100271750049</v>
      </c>
      <c r="M95" s="23" t="s">
        <v>447</v>
      </c>
      <c r="N95" s="23">
        <v>43729</v>
      </c>
      <c r="O95" s="24" t="s">
        <v>102</v>
      </c>
      <c r="P95" s="24" t="s">
        <v>179</v>
      </c>
      <c r="Q95" s="24">
        <v>1</v>
      </c>
      <c r="R95" s="24">
        <v>0.8</v>
      </c>
      <c r="S95" t="s">
        <v>319</v>
      </c>
      <c r="T95">
        <v>20</v>
      </c>
      <c r="U95" s="2" t="s">
        <v>163</v>
      </c>
      <c r="V95">
        <v>43729.790370370371</v>
      </c>
      <c r="W95" s="2" t="s">
        <v>444</v>
      </c>
      <c r="X95">
        <v>43733.444074074076</v>
      </c>
      <c r="AB95" t="s">
        <v>9</v>
      </c>
      <c r="AC95" t="s">
        <v>1326</v>
      </c>
      <c r="AD95" t="s">
        <v>182</v>
      </c>
      <c r="AE95">
        <v>21314</v>
      </c>
      <c r="AF95">
        <v>21314</v>
      </c>
      <c r="AG95" t="s">
        <v>183</v>
      </c>
      <c r="AH95" t="s">
        <v>1327</v>
      </c>
      <c r="AI95" t="s">
        <v>1327</v>
      </c>
      <c r="AJ95" t="s">
        <v>1072</v>
      </c>
      <c r="AK95" t="s">
        <v>1073</v>
      </c>
      <c r="AL95" t="s">
        <v>1328</v>
      </c>
      <c r="AM95" t="s">
        <v>1329</v>
      </c>
      <c r="AO95" t="s">
        <v>1330</v>
      </c>
      <c r="AP95" t="s">
        <v>1331</v>
      </c>
      <c r="AR95" t="s">
        <v>1332</v>
      </c>
      <c r="AS95">
        <v>243441155576205</v>
      </c>
      <c r="AT95" t="s">
        <v>1333</v>
      </c>
      <c r="AU95" t="s">
        <v>10</v>
      </c>
      <c r="AV95" t="s">
        <v>1334</v>
      </c>
      <c r="AW95" t="s">
        <v>1334</v>
      </c>
      <c r="AX95" t="s">
        <v>1335</v>
      </c>
      <c r="AY95" s="2" t="s">
        <v>1336</v>
      </c>
      <c r="AZ95" t="s">
        <v>1337</v>
      </c>
      <c r="BA95" t="s">
        <v>186</v>
      </c>
      <c r="BB95" t="s">
        <v>187</v>
      </c>
      <c r="BC95" t="s">
        <v>188</v>
      </c>
      <c r="BD95">
        <v>518100</v>
      </c>
      <c r="BE95">
        <v>-13509663661</v>
      </c>
      <c r="BF95" t="s">
        <v>1338</v>
      </c>
      <c r="BG95" t="b">
        <v>0</v>
      </c>
      <c r="BH95" s="6" t="s">
        <v>1339</v>
      </c>
      <c r="BI95" t="s">
        <v>1340</v>
      </c>
      <c r="BJ95">
        <v>4453163191</v>
      </c>
      <c r="BK95" t="s">
        <v>162</v>
      </c>
      <c r="BL95" t="s">
        <v>161</v>
      </c>
      <c r="BM95" s="2"/>
      <c r="BO95" t="s">
        <v>89</v>
      </c>
      <c r="BP95">
        <v>4016999090</v>
      </c>
      <c r="BR95" t="s">
        <v>189</v>
      </c>
      <c r="BS95" t="s">
        <v>103</v>
      </c>
      <c r="BU95">
        <v>0</v>
      </c>
      <c r="BV95">
        <v>0</v>
      </c>
      <c r="BW95">
        <v>0</v>
      </c>
      <c r="BX95">
        <v>0</v>
      </c>
      <c r="BY95">
        <v>0</v>
      </c>
      <c r="BZ95">
        <v>0</v>
      </c>
      <c r="CA95">
        <v>0</v>
      </c>
      <c r="CF95" s="2"/>
      <c r="CH95" s="2"/>
      <c r="CJ95">
        <v>5.31420199501352E+17</v>
      </c>
      <c r="CK95" t="s">
        <v>445</v>
      </c>
      <c r="CL95">
        <v>43729.562013888892</v>
      </c>
      <c r="CO95" t="s">
        <v>11</v>
      </c>
      <c r="CP95">
        <v>140.62</v>
      </c>
      <c r="CQ95" t="s">
        <v>11</v>
      </c>
      <c r="CR95">
        <v>140.62</v>
      </c>
      <c r="CV95" t="s">
        <v>190</v>
      </c>
      <c r="CW95" t="s">
        <v>12</v>
      </c>
      <c r="CX95" t="s">
        <v>12</v>
      </c>
      <c r="CY95" t="s">
        <v>12</v>
      </c>
      <c r="DA95" t="s">
        <v>104</v>
      </c>
      <c r="DD95" t="s">
        <v>93</v>
      </c>
      <c r="DQ95" t="s">
        <v>94</v>
      </c>
      <c r="DR95" t="s">
        <v>94</v>
      </c>
      <c r="DS95" t="s">
        <v>94</v>
      </c>
      <c r="DT95" t="s">
        <v>94</v>
      </c>
      <c r="DU95" t="s">
        <v>94</v>
      </c>
      <c r="DV95" t="s">
        <v>94</v>
      </c>
      <c r="DW95" t="s">
        <v>94</v>
      </c>
      <c r="DX95" s="2" t="s">
        <v>94</v>
      </c>
      <c r="DY95" t="s">
        <v>94</v>
      </c>
      <c r="DZ95" t="s">
        <v>94</v>
      </c>
      <c r="EA95" t="s">
        <v>94</v>
      </c>
      <c r="EB95" t="s">
        <v>94</v>
      </c>
      <c r="EC95" t="s">
        <v>94</v>
      </c>
      <c r="ED95" t="s">
        <v>94</v>
      </c>
      <c r="EE95" t="s">
        <v>89</v>
      </c>
      <c r="EF95" t="s">
        <v>425</v>
      </c>
      <c r="EG95" t="s">
        <v>105</v>
      </c>
      <c r="EJ95" t="s">
        <v>166</v>
      </c>
      <c r="EK95" t="b">
        <v>0</v>
      </c>
      <c r="EL95" t="b">
        <v>0</v>
      </c>
      <c r="EM95" t="b">
        <v>0</v>
      </c>
      <c r="EO95" t="s">
        <v>177</v>
      </c>
      <c r="EP95" t="s">
        <v>1345</v>
      </c>
    </row>
    <row r="96" spans="3:146" ht="15">
      <c r="C96" s="82">
        <v>0</v>
      </c>
      <c r="D96" s="5"/>
      <c r="E96" s="4">
        <v>1</v>
      </c>
      <c r="F96" s="5">
        <v>5.4</v>
      </c>
      <c r="G96" s="5" t="s">
        <v>1246</v>
      </c>
      <c r="H96" s="4" t="s">
        <v>1405</v>
      </c>
      <c r="I96" s="81" t="s">
        <v>164</v>
      </c>
      <c r="J96" s="21"/>
      <c r="K96" s="22" t="s">
        <v>1362</v>
      </c>
      <c r="L96" s="22" t="s">
        <v>1406</v>
      </c>
      <c r="M96" s="23" t="s">
        <v>447</v>
      </c>
      <c r="N96" s="23">
        <v>43729</v>
      </c>
      <c r="O96" s="24" t="s">
        <v>102</v>
      </c>
      <c r="P96" s="24" t="s">
        <v>179</v>
      </c>
      <c r="Q96" s="24">
        <v>1</v>
      </c>
      <c r="R96" s="24">
        <v>5.4</v>
      </c>
      <c r="S96" t="s">
        <v>11</v>
      </c>
      <c r="T96">
        <v>270</v>
      </c>
      <c r="U96" s="2" t="s">
        <v>163</v>
      </c>
      <c r="V96">
        <v>43729.790520833332</v>
      </c>
      <c r="W96" s="2" t="s">
        <v>444</v>
      </c>
      <c r="X96">
        <v>43733.444074074076</v>
      </c>
      <c r="AB96" t="s">
        <v>9</v>
      </c>
      <c r="AC96" t="s">
        <v>1363</v>
      </c>
      <c r="AD96" t="s">
        <v>182</v>
      </c>
      <c r="AE96" t="s">
        <v>183</v>
      </c>
      <c r="AF96" t="s">
        <v>183</v>
      </c>
      <c r="AG96" t="s">
        <v>1407</v>
      </c>
      <c r="AH96" t="s">
        <v>1364</v>
      </c>
      <c r="AI96" t="s">
        <v>1364</v>
      </c>
      <c r="AJ96" t="s">
        <v>184</v>
      </c>
      <c r="AK96" t="s">
        <v>185</v>
      </c>
      <c r="AL96" t="s">
        <v>1365</v>
      </c>
      <c r="AO96" t="s">
        <v>1366</v>
      </c>
      <c r="AP96" t="s">
        <v>1367</v>
      </c>
      <c r="AQ96" t="s">
        <v>1368</v>
      </c>
      <c r="AR96" t="s">
        <v>1369</v>
      </c>
      <c r="AS96">
        <v>7789886971</v>
      </c>
      <c r="AT96" t="s">
        <v>1370</v>
      </c>
      <c r="AU96" t="s">
        <v>10</v>
      </c>
      <c r="AV96" t="s">
        <v>1371</v>
      </c>
      <c r="AW96" t="s">
        <v>1371</v>
      </c>
      <c r="AX96" t="s">
        <v>1372</v>
      </c>
      <c r="AY96" s="2" t="s">
        <v>1373</v>
      </c>
      <c r="AZ96" t="s">
        <v>1374</v>
      </c>
      <c r="BA96" t="s">
        <v>1002</v>
      </c>
      <c r="BB96" t="s">
        <v>187</v>
      </c>
      <c r="BC96" t="s">
        <v>188</v>
      </c>
      <c r="BD96">
        <v>518111</v>
      </c>
      <c r="BE96" t="s">
        <v>1375</v>
      </c>
      <c r="BF96" t="s">
        <v>1376</v>
      </c>
      <c r="BG96" t="b">
        <v>0</v>
      </c>
      <c r="BH96" s="6" t="s">
        <v>1377</v>
      </c>
      <c r="BI96" t="s">
        <v>1378</v>
      </c>
      <c r="BJ96">
        <v>4453163191</v>
      </c>
      <c r="BK96" t="s">
        <v>162</v>
      </c>
      <c r="BL96" t="s">
        <v>161</v>
      </c>
      <c r="BM96" s="2"/>
      <c r="BN96" t="s">
        <v>1379</v>
      </c>
      <c r="BO96" t="s">
        <v>89</v>
      </c>
      <c r="BP96">
        <v>94054090</v>
      </c>
      <c r="BR96" t="s">
        <v>180</v>
      </c>
      <c r="BS96" t="s">
        <v>103</v>
      </c>
      <c r="BU96">
        <v>0</v>
      </c>
      <c r="BV96">
        <v>0</v>
      </c>
      <c r="BW96">
        <v>0</v>
      </c>
      <c r="BX96">
        <v>0</v>
      </c>
      <c r="BY96">
        <v>0</v>
      </c>
      <c r="BZ96">
        <v>0</v>
      </c>
      <c r="CA96">
        <v>0</v>
      </c>
      <c r="CF96" s="2"/>
      <c r="CH96" s="2"/>
      <c r="CJ96" t="s">
        <v>1023</v>
      </c>
      <c r="CK96" t="s">
        <v>445</v>
      </c>
      <c r="CL96">
        <v>43729.562534722223</v>
      </c>
      <c r="CO96" t="s">
        <v>11</v>
      </c>
      <c r="CP96">
        <v>270</v>
      </c>
      <c r="CQ96" t="s">
        <v>11</v>
      </c>
      <c r="CR96">
        <v>270</v>
      </c>
      <c r="CV96" t="s">
        <v>525</v>
      </c>
      <c r="CW96" t="s">
        <v>12</v>
      </c>
      <c r="CX96" t="s">
        <v>12</v>
      </c>
      <c r="CY96" t="s">
        <v>12</v>
      </c>
      <c r="DA96" t="s">
        <v>104</v>
      </c>
      <c r="DD96" t="s">
        <v>93</v>
      </c>
      <c r="DQ96" t="s">
        <v>94</v>
      </c>
      <c r="DR96" t="s">
        <v>94</v>
      </c>
      <c r="DS96" t="s">
        <v>94</v>
      </c>
      <c r="DT96" t="s">
        <v>94</v>
      </c>
      <c r="DU96" t="s">
        <v>94</v>
      </c>
      <c r="DV96" t="s">
        <v>94</v>
      </c>
      <c r="DW96" t="s">
        <v>94</v>
      </c>
      <c r="DX96" s="2" t="s">
        <v>94</v>
      </c>
      <c r="DY96" t="s">
        <v>94</v>
      </c>
      <c r="DZ96" t="s">
        <v>94</v>
      </c>
      <c r="EA96" t="s">
        <v>94</v>
      </c>
      <c r="EB96" t="s">
        <v>94</v>
      </c>
      <c r="EC96" t="s">
        <v>94</v>
      </c>
      <c r="ED96" t="s">
        <v>94</v>
      </c>
      <c r="EE96" t="s">
        <v>89</v>
      </c>
      <c r="EF96" t="s">
        <v>425</v>
      </c>
      <c r="EG96" t="s">
        <v>105</v>
      </c>
      <c r="EJ96" t="s">
        <v>166</v>
      </c>
      <c r="EK96" t="b">
        <v>0</v>
      </c>
      <c r="EL96" t="b">
        <v>0</v>
      </c>
      <c r="EM96" t="b">
        <v>0</v>
      </c>
      <c r="EO96" t="s">
        <v>177</v>
      </c>
      <c r="EP96" t="s">
        <v>1408</v>
      </c>
    </row>
    <row r="97" spans="3:146">
      <c r="C97" s="4">
        <v>2</v>
      </c>
      <c r="D97" s="4"/>
      <c r="E97" s="4">
        <v>2</v>
      </c>
      <c r="F97" s="4">
        <v>32</v>
      </c>
      <c r="G97" s="5" t="s">
        <v>1246</v>
      </c>
      <c r="H97" s="4" t="s">
        <v>1409</v>
      </c>
      <c r="I97" s="4" t="s">
        <v>164</v>
      </c>
      <c r="J97" s="5"/>
      <c r="K97" s="22" t="s">
        <v>1380</v>
      </c>
      <c r="L97" s="22" t="s">
        <v>1406</v>
      </c>
      <c r="M97" s="23" t="s">
        <v>447</v>
      </c>
      <c r="N97" s="23">
        <v>43729</v>
      </c>
      <c r="O97" s="24" t="s">
        <v>102</v>
      </c>
      <c r="P97" s="24" t="s">
        <v>181</v>
      </c>
      <c r="Q97" s="24">
        <v>2</v>
      </c>
      <c r="R97" s="24">
        <v>32</v>
      </c>
      <c r="S97" t="s">
        <v>11</v>
      </c>
      <c r="T97">
        <v>1550</v>
      </c>
      <c r="U97" s="2" t="s">
        <v>163</v>
      </c>
      <c r="V97">
        <v>43729.790532407409</v>
      </c>
      <c r="W97" s="2" t="s">
        <v>444</v>
      </c>
      <c r="X97">
        <v>43733.444074074076</v>
      </c>
      <c r="AB97" t="s">
        <v>9</v>
      </c>
      <c r="AC97" t="s">
        <v>1381</v>
      </c>
      <c r="AD97" t="s">
        <v>182</v>
      </c>
      <c r="AE97" t="s">
        <v>1410</v>
      </c>
      <c r="AF97" t="s">
        <v>1410</v>
      </c>
      <c r="AG97" t="s">
        <v>183</v>
      </c>
      <c r="AH97" t="s">
        <v>1382</v>
      </c>
      <c r="AI97" t="s">
        <v>1382</v>
      </c>
      <c r="AJ97" t="s">
        <v>776</v>
      </c>
      <c r="AK97" t="s">
        <v>777</v>
      </c>
      <c r="AL97" t="s">
        <v>1383</v>
      </c>
      <c r="AO97" t="s">
        <v>1384</v>
      </c>
      <c r="AP97" t="s">
        <v>1385</v>
      </c>
      <c r="AQ97" t="s">
        <v>1386</v>
      </c>
      <c r="AR97" t="s">
        <v>1411</v>
      </c>
      <c r="AS97">
        <v>758291136</v>
      </c>
      <c r="AT97" t="s">
        <v>1387</v>
      </c>
      <c r="AU97" t="s">
        <v>10</v>
      </c>
      <c r="AV97" t="s">
        <v>1388</v>
      </c>
      <c r="AW97" t="s">
        <v>1388</v>
      </c>
      <c r="AX97" t="s">
        <v>1389</v>
      </c>
      <c r="AY97" t="s">
        <v>1390</v>
      </c>
      <c r="BA97" t="s">
        <v>194</v>
      </c>
      <c r="BB97" t="s">
        <v>187</v>
      </c>
      <c r="BC97" t="s">
        <v>188</v>
      </c>
      <c r="BD97">
        <v>518102</v>
      </c>
      <c r="BE97" t="s">
        <v>1412</v>
      </c>
      <c r="BF97" t="s">
        <v>1391</v>
      </c>
      <c r="BG97" t="b">
        <v>0</v>
      </c>
      <c r="BH97" s="6"/>
      <c r="BI97" t="s">
        <v>1392</v>
      </c>
      <c r="BJ97">
        <v>4453163191</v>
      </c>
      <c r="BK97" t="s">
        <v>162</v>
      </c>
      <c r="BL97" t="s">
        <v>161</v>
      </c>
      <c r="BM97" s="2"/>
      <c r="BO97" t="s">
        <v>89</v>
      </c>
      <c r="BP97">
        <v>3926909090</v>
      </c>
      <c r="BR97" t="s">
        <v>597</v>
      </c>
      <c r="BS97" t="s">
        <v>103</v>
      </c>
      <c r="BU97">
        <v>155</v>
      </c>
      <c r="BV97">
        <v>221.65</v>
      </c>
      <c r="BW97">
        <v>0</v>
      </c>
      <c r="BX97">
        <v>0</v>
      </c>
      <c r="BY97">
        <v>0</v>
      </c>
      <c r="BZ97">
        <v>0</v>
      </c>
      <c r="CA97">
        <v>376.65</v>
      </c>
      <c r="CF97" s="2"/>
      <c r="CH97" s="2"/>
      <c r="CJ97" t="s">
        <v>1023</v>
      </c>
      <c r="CK97" t="s">
        <v>445</v>
      </c>
      <c r="CL97">
        <v>43729.563101851854</v>
      </c>
      <c r="CO97" t="s">
        <v>11</v>
      </c>
      <c r="CP97">
        <v>1550</v>
      </c>
      <c r="CQ97" t="s">
        <v>11</v>
      </c>
      <c r="CR97">
        <v>1550</v>
      </c>
      <c r="CV97" t="s">
        <v>190</v>
      </c>
      <c r="CW97" t="s">
        <v>12</v>
      </c>
      <c r="CX97" t="s">
        <v>12</v>
      </c>
      <c r="CY97" t="s">
        <v>12</v>
      </c>
      <c r="DA97" t="s">
        <v>104</v>
      </c>
      <c r="DD97" t="s">
        <v>93</v>
      </c>
      <c r="DQ97" t="s">
        <v>94</v>
      </c>
      <c r="DR97" t="s">
        <v>94</v>
      </c>
      <c r="DS97" t="s">
        <v>94</v>
      </c>
      <c r="DT97" t="s">
        <v>94</v>
      </c>
      <c r="DU97" t="s">
        <v>94</v>
      </c>
      <c r="DV97" t="s">
        <v>94</v>
      </c>
      <c r="DW97" t="s">
        <v>94</v>
      </c>
      <c r="DX97" s="2" t="s">
        <v>94</v>
      </c>
      <c r="DY97" t="s">
        <v>94</v>
      </c>
      <c r="DZ97" t="s">
        <v>94</v>
      </c>
      <c r="EA97" t="s">
        <v>94</v>
      </c>
      <c r="EB97" t="s">
        <v>94</v>
      </c>
      <c r="EC97" t="s">
        <v>94</v>
      </c>
      <c r="ED97" t="s">
        <v>94</v>
      </c>
      <c r="EE97" t="s">
        <v>89</v>
      </c>
      <c r="EF97" t="s">
        <v>425</v>
      </c>
      <c r="EG97" t="s">
        <v>105</v>
      </c>
      <c r="EJ97" t="s">
        <v>166</v>
      </c>
      <c r="EK97" t="b">
        <v>0</v>
      </c>
      <c r="EL97" t="b">
        <v>0</v>
      </c>
      <c r="EM97" t="b">
        <v>0</v>
      </c>
      <c r="EO97" t="s">
        <v>177</v>
      </c>
      <c r="EP97" t="s">
        <v>1408</v>
      </c>
    </row>
    <row r="98" spans="3:146" ht="15">
      <c r="C98" s="82">
        <v>0</v>
      </c>
      <c r="D98" s="5"/>
      <c r="E98" s="4">
        <v>1</v>
      </c>
      <c r="F98" s="5">
        <v>5.4</v>
      </c>
      <c r="G98" s="5" t="s">
        <v>1246</v>
      </c>
      <c r="H98" s="4" t="s">
        <v>1405</v>
      </c>
      <c r="I98" s="81" t="s">
        <v>164</v>
      </c>
      <c r="J98" s="21"/>
      <c r="K98" s="22" t="s">
        <v>1362</v>
      </c>
      <c r="L98" s="84" t="s">
        <v>1406</v>
      </c>
      <c r="M98" s="23" t="s">
        <v>447</v>
      </c>
      <c r="N98" s="23">
        <v>43729</v>
      </c>
      <c r="O98" s="24" t="s">
        <v>102</v>
      </c>
      <c r="P98" s="24" t="s">
        <v>179</v>
      </c>
      <c r="Q98" s="24">
        <v>1</v>
      </c>
      <c r="R98" s="24">
        <v>5.4</v>
      </c>
      <c r="S98" t="s">
        <v>11</v>
      </c>
      <c r="T98">
        <v>270</v>
      </c>
      <c r="U98" s="2" t="s">
        <v>163</v>
      </c>
      <c r="V98">
        <v>43729.790520833332</v>
      </c>
      <c r="W98" s="2" t="s">
        <v>444</v>
      </c>
      <c r="X98">
        <v>43733.444074074076</v>
      </c>
      <c r="AB98" t="s">
        <v>9</v>
      </c>
      <c r="AC98" t="s">
        <v>1363</v>
      </c>
      <c r="AD98" t="s">
        <v>182</v>
      </c>
      <c r="AE98" t="s">
        <v>183</v>
      </c>
      <c r="AF98" t="s">
        <v>183</v>
      </c>
      <c r="AG98" t="s">
        <v>1407</v>
      </c>
      <c r="AH98" t="s">
        <v>1364</v>
      </c>
      <c r="AI98" t="s">
        <v>1364</v>
      </c>
      <c r="AJ98" t="s">
        <v>184</v>
      </c>
      <c r="AK98" t="s">
        <v>185</v>
      </c>
      <c r="AL98" t="s">
        <v>1365</v>
      </c>
      <c r="AO98" t="s">
        <v>1366</v>
      </c>
      <c r="AP98" t="s">
        <v>1367</v>
      </c>
      <c r="AQ98" t="s">
        <v>1368</v>
      </c>
      <c r="AR98" t="s">
        <v>1369</v>
      </c>
      <c r="AS98">
        <v>7789886971</v>
      </c>
      <c r="AT98" t="s">
        <v>1370</v>
      </c>
      <c r="AU98" t="s">
        <v>10</v>
      </c>
      <c r="AV98" t="s">
        <v>1371</v>
      </c>
      <c r="AW98" t="s">
        <v>1371</v>
      </c>
      <c r="AX98" t="s">
        <v>1372</v>
      </c>
      <c r="AY98" s="2" t="s">
        <v>1373</v>
      </c>
      <c r="AZ98" t="s">
        <v>1374</v>
      </c>
      <c r="BA98" t="s">
        <v>1002</v>
      </c>
      <c r="BB98" t="s">
        <v>187</v>
      </c>
      <c r="BC98" t="s">
        <v>188</v>
      </c>
      <c r="BD98">
        <v>518111</v>
      </c>
      <c r="BE98" t="s">
        <v>1375</v>
      </c>
      <c r="BF98" t="s">
        <v>1376</v>
      </c>
      <c r="BG98" t="b">
        <v>0</v>
      </c>
      <c r="BH98" s="6" t="s">
        <v>1377</v>
      </c>
      <c r="BI98" t="s">
        <v>1378</v>
      </c>
      <c r="BJ98">
        <v>4453163191</v>
      </c>
      <c r="BK98" t="s">
        <v>162</v>
      </c>
      <c r="BL98" t="s">
        <v>161</v>
      </c>
      <c r="BM98" s="2"/>
      <c r="BN98" t="s">
        <v>1379</v>
      </c>
      <c r="BO98" t="s">
        <v>89</v>
      </c>
      <c r="BP98">
        <v>94054090</v>
      </c>
      <c r="BR98" t="s">
        <v>180</v>
      </c>
      <c r="BS98" t="s">
        <v>103</v>
      </c>
      <c r="BU98">
        <v>0</v>
      </c>
      <c r="BV98">
        <v>0</v>
      </c>
      <c r="BW98">
        <v>0</v>
      </c>
      <c r="BX98">
        <v>0</v>
      </c>
      <c r="BY98">
        <v>0</v>
      </c>
      <c r="BZ98">
        <v>0</v>
      </c>
      <c r="CA98">
        <v>0</v>
      </c>
      <c r="CF98" s="2"/>
      <c r="CH98" s="2"/>
      <c r="CJ98" t="s">
        <v>1023</v>
      </c>
      <c r="CK98" t="s">
        <v>445</v>
      </c>
      <c r="CL98">
        <v>43729.562534722223</v>
      </c>
      <c r="CO98" t="s">
        <v>11</v>
      </c>
      <c r="CP98">
        <v>270</v>
      </c>
      <c r="CQ98" t="s">
        <v>11</v>
      </c>
      <c r="CR98">
        <v>270</v>
      </c>
      <c r="CV98" t="s">
        <v>525</v>
      </c>
      <c r="CW98" t="s">
        <v>12</v>
      </c>
      <c r="CX98" t="s">
        <v>12</v>
      </c>
      <c r="CY98" t="s">
        <v>12</v>
      </c>
      <c r="DA98" t="s">
        <v>104</v>
      </c>
      <c r="DD98" t="s">
        <v>93</v>
      </c>
      <c r="DQ98" t="s">
        <v>94</v>
      </c>
      <c r="DR98" t="s">
        <v>94</v>
      </c>
      <c r="DS98" t="s">
        <v>94</v>
      </c>
      <c r="DT98" t="s">
        <v>94</v>
      </c>
      <c r="DU98" t="s">
        <v>94</v>
      </c>
      <c r="DV98" t="s">
        <v>94</v>
      </c>
      <c r="DW98" t="s">
        <v>94</v>
      </c>
      <c r="DX98" s="2" t="s">
        <v>94</v>
      </c>
      <c r="DY98" t="s">
        <v>94</v>
      </c>
      <c r="DZ98" t="s">
        <v>94</v>
      </c>
      <c r="EA98" t="s">
        <v>94</v>
      </c>
      <c r="EB98" t="s">
        <v>94</v>
      </c>
      <c r="EC98" t="s">
        <v>94</v>
      </c>
      <c r="ED98" t="s">
        <v>94</v>
      </c>
      <c r="EE98" t="s">
        <v>89</v>
      </c>
      <c r="EF98" t="s">
        <v>425</v>
      </c>
      <c r="EG98" t="s">
        <v>105</v>
      </c>
      <c r="EJ98" t="s">
        <v>166</v>
      </c>
      <c r="EK98" t="b">
        <v>0</v>
      </c>
      <c r="EL98" t="b">
        <v>0</v>
      </c>
      <c r="EM98" t="b">
        <v>0</v>
      </c>
      <c r="EO98" t="s">
        <v>177</v>
      </c>
      <c r="EP98" t="s">
        <v>1413</v>
      </c>
    </row>
    <row r="99" spans="3:146">
      <c r="C99" s="4">
        <v>2</v>
      </c>
      <c r="D99" s="4"/>
      <c r="E99" s="4">
        <v>2</v>
      </c>
      <c r="F99" s="4">
        <v>32</v>
      </c>
      <c r="G99" s="5" t="s">
        <v>1246</v>
      </c>
      <c r="H99" s="4" t="s">
        <v>1409</v>
      </c>
      <c r="I99" s="4" t="s">
        <v>164</v>
      </c>
      <c r="J99" s="5"/>
      <c r="K99" s="22" t="s">
        <v>1380</v>
      </c>
      <c r="L99" s="84" t="s">
        <v>1406</v>
      </c>
      <c r="M99" s="23" t="s">
        <v>447</v>
      </c>
      <c r="N99" s="23">
        <v>43729</v>
      </c>
      <c r="O99" s="24" t="s">
        <v>102</v>
      </c>
      <c r="P99" s="24" t="s">
        <v>181</v>
      </c>
      <c r="Q99" s="24">
        <v>2</v>
      </c>
      <c r="R99" s="24">
        <v>32</v>
      </c>
      <c r="S99" t="s">
        <v>11</v>
      </c>
      <c r="T99">
        <v>1550</v>
      </c>
      <c r="U99" s="2" t="s">
        <v>163</v>
      </c>
      <c r="V99">
        <v>43729.790532407409</v>
      </c>
      <c r="W99" s="2" t="s">
        <v>444</v>
      </c>
      <c r="X99">
        <v>43733.444074074076</v>
      </c>
      <c r="AB99" t="s">
        <v>9</v>
      </c>
      <c r="AC99" t="s">
        <v>1381</v>
      </c>
      <c r="AD99" t="s">
        <v>182</v>
      </c>
      <c r="AE99" t="s">
        <v>1410</v>
      </c>
      <c r="AF99" t="s">
        <v>1410</v>
      </c>
      <c r="AG99" t="s">
        <v>183</v>
      </c>
      <c r="AH99" t="s">
        <v>1382</v>
      </c>
      <c r="AI99" t="s">
        <v>1382</v>
      </c>
      <c r="AJ99" t="s">
        <v>776</v>
      </c>
      <c r="AK99" t="s">
        <v>777</v>
      </c>
      <c r="AL99" t="s">
        <v>1383</v>
      </c>
      <c r="AO99" t="s">
        <v>1384</v>
      </c>
      <c r="AP99" t="s">
        <v>1385</v>
      </c>
      <c r="AQ99" t="s">
        <v>1386</v>
      </c>
      <c r="AR99" t="s">
        <v>1411</v>
      </c>
      <c r="AS99">
        <v>758291136</v>
      </c>
      <c r="AT99" t="s">
        <v>1387</v>
      </c>
      <c r="AU99" t="s">
        <v>10</v>
      </c>
      <c r="AV99" t="s">
        <v>1388</v>
      </c>
      <c r="AW99" t="s">
        <v>1388</v>
      </c>
      <c r="AX99" t="s">
        <v>1389</v>
      </c>
      <c r="AY99" t="s">
        <v>1390</v>
      </c>
      <c r="BA99" t="s">
        <v>194</v>
      </c>
      <c r="BB99" t="s">
        <v>187</v>
      </c>
      <c r="BC99" t="s">
        <v>188</v>
      </c>
      <c r="BD99">
        <v>518102</v>
      </c>
      <c r="BE99" t="s">
        <v>1412</v>
      </c>
      <c r="BF99" t="s">
        <v>1391</v>
      </c>
      <c r="BG99" t="b">
        <v>0</v>
      </c>
      <c r="BH99" s="6"/>
      <c r="BI99" t="s">
        <v>1392</v>
      </c>
      <c r="BJ99">
        <v>4453163191</v>
      </c>
      <c r="BK99" t="s">
        <v>162</v>
      </c>
      <c r="BL99" t="s">
        <v>161</v>
      </c>
      <c r="BM99" s="2"/>
      <c r="BO99" t="s">
        <v>89</v>
      </c>
      <c r="BP99">
        <v>3926909090</v>
      </c>
      <c r="BR99" t="s">
        <v>597</v>
      </c>
      <c r="BS99" t="s">
        <v>103</v>
      </c>
      <c r="BU99">
        <v>155</v>
      </c>
      <c r="BV99">
        <v>221.65</v>
      </c>
      <c r="BW99">
        <v>0</v>
      </c>
      <c r="BX99">
        <v>0</v>
      </c>
      <c r="BY99">
        <v>0</v>
      </c>
      <c r="BZ99">
        <v>0</v>
      </c>
      <c r="CA99">
        <v>376.65</v>
      </c>
      <c r="CF99" s="2"/>
      <c r="CH99" s="2"/>
      <c r="CJ99" t="s">
        <v>1023</v>
      </c>
      <c r="CK99" t="s">
        <v>445</v>
      </c>
      <c r="CL99">
        <v>43729.563101851854</v>
      </c>
      <c r="CO99" t="s">
        <v>11</v>
      </c>
      <c r="CP99">
        <v>1550</v>
      </c>
      <c r="CQ99" t="s">
        <v>11</v>
      </c>
      <c r="CR99">
        <v>1550</v>
      </c>
      <c r="CV99" t="s">
        <v>190</v>
      </c>
      <c r="CW99" t="s">
        <v>12</v>
      </c>
      <c r="CX99" t="s">
        <v>12</v>
      </c>
      <c r="CY99" t="s">
        <v>12</v>
      </c>
      <c r="DA99" t="s">
        <v>104</v>
      </c>
      <c r="DD99" t="s">
        <v>93</v>
      </c>
      <c r="DQ99" t="s">
        <v>94</v>
      </c>
      <c r="DR99" t="s">
        <v>94</v>
      </c>
      <c r="DS99" t="s">
        <v>94</v>
      </c>
      <c r="DT99" t="s">
        <v>94</v>
      </c>
      <c r="DU99" t="s">
        <v>94</v>
      </c>
      <c r="DV99" t="s">
        <v>94</v>
      </c>
      <c r="DW99" t="s">
        <v>94</v>
      </c>
      <c r="DX99" s="2" t="s">
        <v>94</v>
      </c>
      <c r="DY99" t="s">
        <v>94</v>
      </c>
      <c r="DZ99" t="s">
        <v>94</v>
      </c>
      <c r="EA99" t="s">
        <v>94</v>
      </c>
      <c r="EB99" t="s">
        <v>94</v>
      </c>
      <c r="EC99" t="s">
        <v>94</v>
      </c>
      <c r="ED99" t="s">
        <v>94</v>
      </c>
      <c r="EE99" t="s">
        <v>89</v>
      </c>
      <c r="EF99" t="s">
        <v>425</v>
      </c>
      <c r="EG99" t="s">
        <v>105</v>
      </c>
      <c r="EJ99" t="s">
        <v>166</v>
      </c>
      <c r="EK99" t="b">
        <v>0</v>
      </c>
      <c r="EL99" t="b">
        <v>0</v>
      </c>
      <c r="EM99" t="b">
        <v>0</v>
      </c>
      <c r="EO99" t="s">
        <v>177</v>
      </c>
      <c r="EP99" t="s">
        <v>1413</v>
      </c>
    </row>
    <row r="100" spans="3:146" ht="15">
      <c r="C100" s="82">
        <v>0</v>
      </c>
      <c r="D100" s="5"/>
      <c r="E100" s="4">
        <v>1</v>
      </c>
      <c r="F100" s="5">
        <v>5.4</v>
      </c>
      <c r="G100" s="5" t="s">
        <v>1246</v>
      </c>
      <c r="H100" s="4" t="s">
        <v>1405</v>
      </c>
      <c r="I100" s="81" t="s">
        <v>164</v>
      </c>
      <c r="J100" s="21"/>
      <c r="K100" s="22" t="s">
        <v>1362</v>
      </c>
      <c r="L100" s="84" t="s">
        <v>1414</v>
      </c>
      <c r="M100" s="23" t="s">
        <v>447</v>
      </c>
      <c r="N100" s="23">
        <v>43729</v>
      </c>
      <c r="O100" s="24" t="s">
        <v>102</v>
      </c>
      <c r="P100" s="24" t="s">
        <v>179</v>
      </c>
      <c r="Q100" s="24">
        <v>1</v>
      </c>
      <c r="R100" s="24">
        <v>5.4</v>
      </c>
      <c r="S100" t="s">
        <v>11</v>
      </c>
      <c r="T100">
        <v>270</v>
      </c>
      <c r="U100" s="2" t="s">
        <v>163</v>
      </c>
      <c r="V100">
        <v>43729.790520833332</v>
      </c>
      <c r="W100" s="2" t="s">
        <v>444</v>
      </c>
      <c r="X100">
        <v>43733.444074074076</v>
      </c>
      <c r="AB100" t="s">
        <v>9</v>
      </c>
      <c r="AC100" t="s">
        <v>1363</v>
      </c>
      <c r="AD100" t="s">
        <v>182</v>
      </c>
      <c r="AE100" t="s">
        <v>183</v>
      </c>
      <c r="AF100" t="s">
        <v>183</v>
      </c>
      <c r="AG100" t="s">
        <v>1407</v>
      </c>
      <c r="AH100" t="s">
        <v>1364</v>
      </c>
      <c r="AI100" t="s">
        <v>1364</v>
      </c>
      <c r="AJ100" t="s">
        <v>184</v>
      </c>
      <c r="AK100" t="s">
        <v>185</v>
      </c>
      <c r="AL100" t="s">
        <v>1365</v>
      </c>
      <c r="AO100" t="s">
        <v>1366</v>
      </c>
      <c r="AP100" t="s">
        <v>1367</v>
      </c>
      <c r="AQ100" t="s">
        <v>1368</v>
      </c>
      <c r="AR100" t="s">
        <v>1369</v>
      </c>
      <c r="AS100">
        <v>7789886971</v>
      </c>
      <c r="AT100" t="s">
        <v>1370</v>
      </c>
      <c r="AU100" t="s">
        <v>10</v>
      </c>
      <c r="AV100" t="s">
        <v>1371</v>
      </c>
      <c r="AW100" t="s">
        <v>1371</v>
      </c>
      <c r="AX100" t="s">
        <v>1372</v>
      </c>
      <c r="AY100" s="2" t="s">
        <v>1373</v>
      </c>
      <c r="AZ100" t="s">
        <v>1374</v>
      </c>
      <c r="BA100" t="s">
        <v>1002</v>
      </c>
      <c r="BB100" t="s">
        <v>187</v>
      </c>
      <c r="BC100" t="s">
        <v>188</v>
      </c>
      <c r="BD100">
        <v>518111</v>
      </c>
      <c r="BE100" t="s">
        <v>1375</v>
      </c>
      <c r="BF100" t="s">
        <v>1376</v>
      </c>
      <c r="BG100" t="b">
        <v>0</v>
      </c>
      <c r="BH100" s="6" t="s">
        <v>1377</v>
      </c>
      <c r="BI100" t="s">
        <v>1378</v>
      </c>
      <c r="BJ100">
        <v>4453163191</v>
      </c>
      <c r="BK100" t="s">
        <v>162</v>
      </c>
      <c r="BL100" t="s">
        <v>161</v>
      </c>
      <c r="BM100" s="2"/>
      <c r="BN100" t="s">
        <v>1379</v>
      </c>
      <c r="BO100" t="s">
        <v>89</v>
      </c>
      <c r="BP100">
        <v>94054090</v>
      </c>
      <c r="BR100" t="s">
        <v>180</v>
      </c>
      <c r="BS100" t="s">
        <v>103</v>
      </c>
      <c r="BU100">
        <v>0</v>
      </c>
      <c r="BV100">
        <v>0</v>
      </c>
      <c r="BW100">
        <v>0</v>
      </c>
      <c r="BX100">
        <v>0</v>
      </c>
      <c r="BY100">
        <v>0</v>
      </c>
      <c r="BZ100">
        <v>0</v>
      </c>
      <c r="CA100">
        <v>0</v>
      </c>
      <c r="CF100" s="2"/>
      <c r="CH100" s="2"/>
      <c r="CJ100" t="s">
        <v>1023</v>
      </c>
      <c r="CK100" t="s">
        <v>445</v>
      </c>
      <c r="CL100">
        <v>43729.562534722223</v>
      </c>
      <c r="CO100" t="s">
        <v>11</v>
      </c>
      <c r="CP100">
        <v>270</v>
      </c>
      <c r="CQ100" t="s">
        <v>11</v>
      </c>
      <c r="CR100">
        <v>270</v>
      </c>
      <c r="CV100" t="s">
        <v>525</v>
      </c>
      <c r="CW100" t="s">
        <v>12</v>
      </c>
      <c r="CX100" t="s">
        <v>12</v>
      </c>
      <c r="CY100" t="s">
        <v>12</v>
      </c>
      <c r="DA100" t="s">
        <v>104</v>
      </c>
      <c r="DD100" t="s">
        <v>93</v>
      </c>
      <c r="DQ100" t="s">
        <v>94</v>
      </c>
      <c r="DR100" t="s">
        <v>94</v>
      </c>
      <c r="DS100" t="s">
        <v>94</v>
      </c>
      <c r="DT100" t="s">
        <v>94</v>
      </c>
      <c r="DU100" t="s">
        <v>94</v>
      </c>
      <c r="DV100" t="s">
        <v>94</v>
      </c>
      <c r="DW100" t="s">
        <v>94</v>
      </c>
      <c r="DX100" s="2" t="s">
        <v>94</v>
      </c>
      <c r="DY100" t="s">
        <v>94</v>
      </c>
      <c r="DZ100" t="s">
        <v>94</v>
      </c>
      <c r="EA100" t="s">
        <v>94</v>
      </c>
      <c r="EB100" t="s">
        <v>94</v>
      </c>
      <c r="EC100" t="s">
        <v>94</v>
      </c>
      <c r="ED100" t="s">
        <v>94</v>
      </c>
      <c r="EE100" t="s">
        <v>89</v>
      </c>
      <c r="EF100" t="s">
        <v>425</v>
      </c>
      <c r="EG100" t="s">
        <v>105</v>
      </c>
      <c r="EJ100" t="s">
        <v>166</v>
      </c>
      <c r="EK100" t="b">
        <v>0</v>
      </c>
      <c r="EL100" t="b">
        <v>0</v>
      </c>
      <c r="EM100" t="b">
        <v>0</v>
      </c>
      <c r="EO100" t="s">
        <v>177</v>
      </c>
      <c r="EP100" t="s">
        <v>1417</v>
      </c>
    </row>
    <row r="101" spans="3:146">
      <c r="C101" s="4">
        <v>2</v>
      </c>
      <c r="D101" s="4"/>
      <c r="E101" s="4">
        <v>2</v>
      </c>
      <c r="F101" s="4">
        <v>32</v>
      </c>
      <c r="G101" s="5" t="s">
        <v>1246</v>
      </c>
      <c r="H101" s="4" t="s">
        <v>1409</v>
      </c>
      <c r="I101" s="4" t="s">
        <v>164</v>
      </c>
      <c r="J101" s="5"/>
      <c r="K101" s="22" t="s">
        <v>1380</v>
      </c>
      <c r="L101" s="84" t="s">
        <v>1414</v>
      </c>
      <c r="M101" s="23" t="s">
        <v>447</v>
      </c>
      <c r="N101" s="23">
        <v>43729</v>
      </c>
      <c r="O101" s="24" t="s">
        <v>102</v>
      </c>
      <c r="P101" s="24" t="s">
        <v>181</v>
      </c>
      <c r="Q101" s="24">
        <v>2</v>
      </c>
      <c r="R101" s="24">
        <v>32</v>
      </c>
      <c r="S101" t="s">
        <v>11</v>
      </c>
      <c r="T101">
        <v>1550</v>
      </c>
      <c r="U101" s="2" t="s">
        <v>163</v>
      </c>
      <c r="V101">
        <v>43729.790532407409</v>
      </c>
      <c r="W101" s="2" t="s">
        <v>444</v>
      </c>
      <c r="X101">
        <v>43733.444074074076</v>
      </c>
      <c r="AB101" t="s">
        <v>9</v>
      </c>
      <c r="AC101" t="s">
        <v>1381</v>
      </c>
      <c r="AD101" t="s">
        <v>182</v>
      </c>
      <c r="AE101" t="s">
        <v>1410</v>
      </c>
      <c r="AF101" t="s">
        <v>1410</v>
      </c>
      <c r="AG101" t="s">
        <v>183</v>
      </c>
      <c r="AH101" t="s">
        <v>1382</v>
      </c>
      <c r="AI101" t="s">
        <v>1382</v>
      </c>
      <c r="AJ101" t="s">
        <v>776</v>
      </c>
      <c r="AK101" t="s">
        <v>777</v>
      </c>
      <c r="AL101" t="s">
        <v>1383</v>
      </c>
      <c r="AO101" t="s">
        <v>1384</v>
      </c>
      <c r="AP101" t="s">
        <v>1385</v>
      </c>
      <c r="AQ101" t="s">
        <v>1386</v>
      </c>
      <c r="AR101" t="s">
        <v>1411</v>
      </c>
      <c r="AS101">
        <v>758291136</v>
      </c>
      <c r="AT101" t="s">
        <v>1387</v>
      </c>
      <c r="AU101" t="s">
        <v>10</v>
      </c>
      <c r="AV101" t="s">
        <v>1388</v>
      </c>
      <c r="AW101" t="s">
        <v>1388</v>
      </c>
      <c r="AX101" t="s">
        <v>1389</v>
      </c>
      <c r="AY101" t="s">
        <v>1390</v>
      </c>
      <c r="BA101" t="s">
        <v>194</v>
      </c>
      <c r="BB101" t="s">
        <v>187</v>
      </c>
      <c r="BC101" t="s">
        <v>188</v>
      </c>
      <c r="BD101">
        <v>518102</v>
      </c>
      <c r="BE101" t="s">
        <v>1412</v>
      </c>
      <c r="BF101" t="s">
        <v>1391</v>
      </c>
      <c r="BG101" t="b">
        <v>0</v>
      </c>
      <c r="BH101" s="6"/>
      <c r="BI101" t="s">
        <v>1392</v>
      </c>
      <c r="BJ101">
        <v>4453163191</v>
      </c>
      <c r="BK101" t="s">
        <v>162</v>
      </c>
      <c r="BL101" t="s">
        <v>161</v>
      </c>
      <c r="BM101" s="2"/>
      <c r="BO101" t="s">
        <v>89</v>
      </c>
      <c r="BP101">
        <v>3926909090</v>
      </c>
      <c r="BR101" t="s">
        <v>597</v>
      </c>
      <c r="BS101" t="s">
        <v>103</v>
      </c>
      <c r="BU101">
        <v>155</v>
      </c>
      <c r="BV101">
        <v>221.65</v>
      </c>
      <c r="BW101">
        <v>0</v>
      </c>
      <c r="BX101">
        <v>0</v>
      </c>
      <c r="BY101">
        <v>0</v>
      </c>
      <c r="BZ101">
        <v>0</v>
      </c>
      <c r="CA101">
        <v>376.65</v>
      </c>
      <c r="CF101" s="2"/>
      <c r="CH101" s="2"/>
      <c r="CJ101" t="s">
        <v>1023</v>
      </c>
      <c r="CK101" t="s">
        <v>445</v>
      </c>
      <c r="CL101">
        <v>43729.563101851854</v>
      </c>
      <c r="CO101" t="s">
        <v>11</v>
      </c>
      <c r="CP101">
        <v>1550</v>
      </c>
      <c r="CQ101" t="s">
        <v>11</v>
      </c>
      <c r="CR101">
        <v>1550</v>
      </c>
      <c r="CV101" t="s">
        <v>190</v>
      </c>
      <c r="CW101" t="s">
        <v>12</v>
      </c>
      <c r="CX101" t="s">
        <v>12</v>
      </c>
      <c r="CY101" t="s">
        <v>12</v>
      </c>
      <c r="DA101" t="s">
        <v>104</v>
      </c>
      <c r="DD101" t="s">
        <v>93</v>
      </c>
      <c r="DQ101" t="s">
        <v>94</v>
      </c>
      <c r="DR101" t="s">
        <v>94</v>
      </c>
      <c r="DS101" t="s">
        <v>94</v>
      </c>
      <c r="DT101" t="s">
        <v>94</v>
      </c>
      <c r="DU101" t="s">
        <v>94</v>
      </c>
      <c r="DV101" t="s">
        <v>94</v>
      </c>
      <c r="DW101" t="s">
        <v>94</v>
      </c>
      <c r="DX101" s="2" t="s">
        <v>94</v>
      </c>
      <c r="DY101" t="s">
        <v>94</v>
      </c>
      <c r="DZ101" t="s">
        <v>94</v>
      </c>
      <c r="EA101" t="s">
        <v>94</v>
      </c>
      <c r="EB101" t="s">
        <v>94</v>
      </c>
      <c r="EC101" t="s">
        <v>94</v>
      </c>
      <c r="ED101" t="s">
        <v>94</v>
      </c>
      <c r="EE101" t="s">
        <v>89</v>
      </c>
      <c r="EF101" t="s">
        <v>425</v>
      </c>
      <c r="EG101" t="s">
        <v>105</v>
      </c>
      <c r="EJ101" t="s">
        <v>166</v>
      </c>
      <c r="EK101" t="b">
        <v>0</v>
      </c>
      <c r="EL101" t="b">
        <v>0</v>
      </c>
      <c r="EM101" t="b">
        <v>0</v>
      </c>
      <c r="EO101" t="s">
        <v>177</v>
      </c>
      <c r="EP101" t="s">
        <v>1417</v>
      </c>
    </row>
    <row r="102" spans="3:146" ht="15">
      <c r="C102" s="82">
        <v>1</v>
      </c>
      <c r="D102" s="5"/>
      <c r="E102" s="4">
        <v>3</v>
      </c>
      <c r="F102" s="5">
        <v>28.95</v>
      </c>
      <c r="G102" s="5" t="s">
        <v>901</v>
      </c>
      <c r="H102" s="4" t="s">
        <v>1419</v>
      </c>
      <c r="I102" s="81" t="s">
        <v>164</v>
      </c>
      <c r="J102" s="21"/>
      <c r="K102" s="22" t="s">
        <v>1346</v>
      </c>
      <c r="L102" s="84" t="s">
        <v>1418</v>
      </c>
      <c r="M102" s="23" t="s">
        <v>164</v>
      </c>
      <c r="N102" s="23">
        <v>43722</v>
      </c>
      <c r="O102" s="24" t="s">
        <v>102</v>
      </c>
      <c r="P102" s="24" t="s">
        <v>181</v>
      </c>
      <c r="Q102" s="24">
        <v>3</v>
      </c>
      <c r="R102" s="24">
        <v>28.95</v>
      </c>
      <c r="S102" t="s">
        <v>11</v>
      </c>
      <c r="T102">
        <v>2710</v>
      </c>
      <c r="U102" s="2" t="s">
        <v>163</v>
      </c>
      <c r="V102">
        <v>43726.458298611113</v>
      </c>
      <c r="W102" s="2" t="s">
        <v>444</v>
      </c>
      <c r="X102">
        <v>43734.432905092595</v>
      </c>
      <c r="AB102" t="s">
        <v>9</v>
      </c>
      <c r="AC102" t="s">
        <v>1347</v>
      </c>
      <c r="AD102" t="s">
        <v>182</v>
      </c>
      <c r="AE102" t="s">
        <v>1420</v>
      </c>
      <c r="AF102" t="s">
        <v>1420</v>
      </c>
      <c r="AG102" t="s">
        <v>183</v>
      </c>
      <c r="AH102" t="s">
        <v>1348</v>
      </c>
      <c r="AI102" t="s">
        <v>1348</v>
      </c>
      <c r="AJ102" t="s">
        <v>369</v>
      </c>
      <c r="AK102" t="s">
        <v>370</v>
      </c>
      <c r="AL102" t="s">
        <v>1349</v>
      </c>
      <c r="AO102" t="s">
        <v>1350</v>
      </c>
      <c r="AP102" t="s">
        <v>1351</v>
      </c>
      <c r="AQ102" t="s">
        <v>1352</v>
      </c>
      <c r="AR102" t="s">
        <v>1421</v>
      </c>
      <c r="AS102">
        <v>399880685</v>
      </c>
      <c r="AT102" t="s">
        <v>1353</v>
      </c>
      <c r="AU102" t="s">
        <v>10</v>
      </c>
      <c r="AV102" t="s">
        <v>1354</v>
      </c>
      <c r="AW102" t="s">
        <v>1355</v>
      </c>
      <c r="AX102" t="s">
        <v>1356</v>
      </c>
      <c r="AY102" s="2" t="s">
        <v>1357</v>
      </c>
      <c r="AZ102" t="s">
        <v>1358</v>
      </c>
      <c r="BA102" t="s">
        <v>186</v>
      </c>
      <c r="BB102" t="s">
        <v>187</v>
      </c>
      <c r="BC102" t="s">
        <v>188</v>
      </c>
      <c r="BD102">
        <v>518107</v>
      </c>
      <c r="BE102" t="s">
        <v>1422</v>
      </c>
      <c r="BF102" t="s">
        <v>1359</v>
      </c>
      <c r="BG102" t="b">
        <v>0</v>
      </c>
      <c r="BH102" s="6" t="s">
        <v>1360</v>
      </c>
      <c r="BI102" t="s">
        <v>1361</v>
      </c>
      <c r="BJ102">
        <v>4453163191</v>
      </c>
      <c r="BK102" t="s">
        <v>162</v>
      </c>
      <c r="BL102" t="s">
        <v>161</v>
      </c>
      <c r="BM102" s="2"/>
      <c r="BO102" t="s">
        <v>89</v>
      </c>
      <c r="BP102">
        <v>85285211</v>
      </c>
      <c r="BR102" t="s">
        <v>189</v>
      </c>
      <c r="BS102" t="s">
        <v>103</v>
      </c>
      <c r="BU102">
        <v>0</v>
      </c>
      <c r="BV102">
        <v>352.3</v>
      </c>
      <c r="BW102">
        <v>0</v>
      </c>
      <c r="BX102">
        <v>0</v>
      </c>
      <c r="BY102">
        <v>0</v>
      </c>
      <c r="BZ102">
        <v>100</v>
      </c>
      <c r="CA102">
        <v>452.3</v>
      </c>
      <c r="CF102" s="2"/>
      <c r="CH102" s="2"/>
      <c r="CJ102" t="s">
        <v>1023</v>
      </c>
      <c r="CK102" t="s">
        <v>500</v>
      </c>
      <c r="CL102">
        <v>43722.577627314815</v>
      </c>
      <c r="CO102" t="s">
        <v>11</v>
      </c>
      <c r="CP102">
        <v>2710</v>
      </c>
      <c r="CQ102" t="s">
        <v>11</v>
      </c>
      <c r="CR102">
        <v>2710</v>
      </c>
      <c r="CV102" t="s">
        <v>190</v>
      </c>
      <c r="CW102" t="s">
        <v>12</v>
      </c>
      <c r="CX102" t="s">
        <v>12</v>
      </c>
      <c r="CY102" t="s">
        <v>12</v>
      </c>
      <c r="DA102" t="s">
        <v>104</v>
      </c>
      <c r="DD102" t="s">
        <v>93</v>
      </c>
      <c r="DQ102" t="s">
        <v>94</v>
      </c>
      <c r="DR102" t="s">
        <v>94</v>
      </c>
      <c r="DS102" t="s">
        <v>94</v>
      </c>
      <c r="DT102" t="s">
        <v>94</v>
      </c>
      <c r="DU102" t="s">
        <v>94</v>
      </c>
      <c r="DV102" t="s">
        <v>94</v>
      </c>
      <c r="DW102" t="s">
        <v>94</v>
      </c>
      <c r="DX102" s="2" t="s">
        <v>94</v>
      </c>
      <c r="DY102" t="s">
        <v>94</v>
      </c>
      <c r="DZ102" t="s">
        <v>94</v>
      </c>
      <c r="EA102" t="s">
        <v>94</v>
      </c>
      <c r="EB102" t="s">
        <v>94</v>
      </c>
      <c r="EC102" t="s">
        <v>94</v>
      </c>
      <c r="ED102" t="s">
        <v>94</v>
      </c>
      <c r="EE102" t="s">
        <v>89</v>
      </c>
      <c r="EF102" t="s">
        <v>94</v>
      </c>
      <c r="EG102" t="s">
        <v>105</v>
      </c>
      <c r="EJ102" t="s">
        <v>526</v>
      </c>
      <c r="EK102" t="b">
        <v>0</v>
      </c>
      <c r="EL102" t="b">
        <v>0</v>
      </c>
      <c r="EM102" t="b">
        <v>0</v>
      </c>
      <c r="EO102" t="s">
        <v>177</v>
      </c>
      <c r="EP102" t="s">
        <v>1423</v>
      </c>
    </row>
    <row r="103" spans="3:146" ht="15">
      <c r="C103" s="82">
        <v>0</v>
      </c>
      <c r="D103" s="5"/>
      <c r="E103" s="4">
        <v>1</v>
      </c>
      <c r="F103" s="5">
        <v>0.6</v>
      </c>
      <c r="G103" s="5" t="s">
        <v>1119</v>
      </c>
      <c r="H103" s="4" t="s">
        <v>1341</v>
      </c>
      <c r="I103" s="81" t="s">
        <v>817</v>
      </c>
      <c r="J103" s="21"/>
      <c r="K103" s="22" t="s">
        <v>1308</v>
      </c>
      <c r="L103" s="84" t="s">
        <v>1415</v>
      </c>
      <c r="M103" s="23" t="s">
        <v>817</v>
      </c>
      <c r="N103" s="23">
        <v>43730</v>
      </c>
      <c r="O103" s="24" t="s">
        <v>102</v>
      </c>
      <c r="P103" s="24" t="s">
        <v>179</v>
      </c>
      <c r="Q103" s="24">
        <v>1</v>
      </c>
      <c r="R103" s="24">
        <v>0.6</v>
      </c>
      <c r="S103" t="s">
        <v>372</v>
      </c>
      <c r="T103">
        <v>30</v>
      </c>
      <c r="U103" s="2" t="s">
        <v>163</v>
      </c>
      <c r="V103">
        <v>43730.665486111109</v>
      </c>
      <c r="W103" s="2" t="s">
        <v>444</v>
      </c>
      <c r="X103">
        <v>43734.52553240741</v>
      </c>
      <c r="AB103" t="s">
        <v>9</v>
      </c>
      <c r="AC103" t="s">
        <v>1309</v>
      </c>
      <c r="AD103" t="s">
        <v>182</v>
      </c>
      <c r="AE103" t="s">
        <v>1424</v>
      </c>
      <c r="AF103" t="s">
        <v>1424</v>
      </c>
      <c r="AG103" t="s">
        <v>183</v>
      </c>
      <c r="AH103" t="s">
        <v>1310</v>
      </c>
      <c r="AI103" t="s">
        <v>1310</v>
      </c>
      <c r="AJ103" t="s">
        <v>184</v>
      </c>
      <c r="AK103" t="s">
        <v>185</v>
      </c>
      <c r="AL103" t="s">
        <v>1311</v>
      </c>
      <c r="AM103" t="s">
        <v>1312</v>
      </c>
      <c r="AO103" t="s">
        <v>1313</v>
      </c>
      <c r="AP103" t="s">
        <v>1314</v>
      </c>
      <c r="AQ103" t="s">
        <v>1315</v>
      </c>
      <c r="AR103" t="s">
        <v>1316</v>
      </c>
      <c r="AS103">
        <v>1214727206</v>
      </c>
      <c r="AT103" t="s">
        <v>1317</v>
      </c>
      <c r="AU103" t="s">
        <v>10</v>
      </c>
      <c r="AV103" t="s">
        <v>1318</v>
      </c>
      <c r="AW103" t="s">
        <v>1318</v>
      </c>
      <c r="AX103" t="s">
        <v>1319</v>
      </c>
      <c r="AY103" s="2" t="s">
        <v>1320</v>
      </c>
      <c r="AZ103" t="s">
        <v>1321</v>
      </c>
      <c r="BA103" t="s">
        <v>194</v>
      </c>
      <c r="BB103" t="s">
        <v>272</v>
      </c>
      <c r="BC103" t="s">
        <v>188</v>
      </c>
      <c r="BD103">
        <v>518081</v>
      </c>
      <c r="BE103" t="s">
        <v>1425</v>
      </c>
      <c r="BF103" t="s">
        <v>1322</v>
      </c>
      <c r="BG103" t="b">
        <v>0</v>
      </c>
      <c r="BH103" s="6" t="s">
        <v>1323</v>
      </c>
      <c r="BI103" t="s">
        <v>1324</v>
      </c>
      <c r="BJ103">
        <v>4453163191</v>
      </c>
      <c r="BK103" t="s">
        <v>162</v>
      </c>
      <c r="BL103" t="s">
        <v>161</v>
      </c>
      <c r="BM103" s="2"/>
      <c r="BO103" t="s">
        <v>89</v>
      </c>
      <c r="BP103">
        <v>90049090</v>
      </c>
      <c r="BR103" t="s">
        <v>180</v>
      </c>
      <c r="BS103" t="s">
        <v>103</v>
      </c>
      <c r="BU103">
        <v>0</v>
      </c>
      <c r="BV103">
        <v>0</v>
      </c>
      <c r="BW103">
        <v>0</v>
      </c>
      <c r="BX103">
        <v>0</v>
      </c>
      <c r="BY103">
        <v>0</v>
      </c>
      <c r="BZ103">
        <v>0</v>
      </c>
      <c r="CA103">
        <v>0</v>
      </c>
      <c r="CF103" s="2"/>
      <c r="CH103" s="2"/>
      <c r="CJ103" t="s">
        <v>1023</v>
      </c>
      <c r="CK103" t="s">
        <v>165</v>
      </c>
      <c r="CL103">
        <v>43730.333634259259</v>
      </c>
      <c r="CO103" t="s">
        <v>11</v>
      </c>
      <c r="CP103">
        <v>255.27</v>
      </c>
      <c r="CQ103" t="s">
        <v>11</v>
      </c>
      <c r="CR103">
        <v>255.27</v>
      </c>
      <c r="CV103" t="s">
        <v>190</v>
      </c>
      <c r="CW103" t="s">
        <v>12</v>
      </c>
      <c r="CX103" t="s">
        <v>12</v>
      </c>
      <c r="CY103" t="s">
        <v>12</v>
      </c>
      <c r="DA103" t="s">
        <v>104</v>
      </c>
      <c r="DD103" t="s">
        <v>93</v>
      </c>
      <c r="DQ103" t="s">
        <v>94</v>
      </c>
      <c r="DR103" t="s">
        <v>94</v>
      </c>
      <c r="DS103" t="s">
        <v>94</v>
      </c>
      <c r="DT103" t="s">
        <v>94</v>
      </c>
      <c r="DU103" t="s">
        <v>94</v>
      </c>
      <c r="DV103" t="s">
        <v>94</v>
      </c>
      <c r="DW103" t="s">
        <v>94</v>
      </c>
      <c r="DX103" s="2" t="s">
        <v>94</v>
      </c>
      <c r="DY103" t="s">
        <v>94</v>
      </c>
      <c r="DZ103" t="s">
        <v>94</v>
      </c>
      <c r="EA103" t="s">
        <v>94</v>
      </c>
      <c r="EB103" t="s">
        <v>94</v>
      </c>
      <c r="EC103" t="s">
        <v>94</v>
      </c>
      <c r="ED103" t="s">
        <v>94</v>
      </c>
      <c r="EE103" t="s">
        <v>89</v>
      </c>
      <c r="EF103" t="s">
        <v>425</v>
      </c>
      <c r="EG103" t="s">
        <v>105</v>
      </c>
      <c r="EJ103" t="s">
        <v>166</v>
      </c>
      <c r="EK103" t="b">
        <v>0</v>
      </c>
      <c r="EL103" t="b">
        <v>0</v>
      </c>
      <c r="EM103" t="b">
        <v>0</v>
      </c>
      <c r="EO103" t="s">
        <v>177</v>
      </c>
      <c r="EP103" t="s">
        <v>1426</v>
      </c>
    </row>
    <row r="104" spans="3:146" ht="15">
      <c r="C104" s="82">
        <v>41</v>
      </c>
      <c r="D104" s="5"/>
      <c r="E104" s="4">
        <v>1</v>
      </c>
      <c r="F104" s="5">
        <v>23</v>
      </c>
      <c r="G104" s="5" t="s">
        <v>1427</v>
      </c>
      <c r="H104" s="4" t="s">
        <v>1428</v>
      </c>
      <c r="I104" s="81" t="s">
        <v>164</v>
      </c>
      <c r="J104" s="21"/>
      <c r="K104" s="22" t="s">
        <v>1393</v>
      </c>
      <c r="L104" s="84" t="s">
        <v>1416</v>
      </c>
      <c r="M104" s="23" t="s">
        <v>164</v>
      </c>
      <c r="N104" s="23">
        <v>43717</v>
      </c>
      <c r="O104" s="24" t="s">
        <v>102</v>
      </c>
      <c r="P104" s="24" t="s">
        <v>181</v>
      </c>
      <c r="Q104" s="24">
        <v>1</v>
      </c>
      <c r="R104" s="24">
        <v>23</v>
      </c>
      <c r="S104" t="s">
        <v>11</v>
      </c>
      <c r="T104">
        <v>3100</v>
      </c>
      <c r="U104" s="2" t="s">
        <v>163</v>
      </c>
      <c r="V104">
        <v>43717.789918981478</v>
      </c>
      <c r="W104" s="2" t="s">
        <v>444</v>
      </c>
      <c r="X104">
        <v>43735.678587962961</v>
      </c>
      <c r="AB104" t="s">
        <v>9</v>
      </c>
      <c r="AC104" t="s">
        <v>1394</v>
      </c>
      <c r="AD104" t="s">
        <v>209</v>
      </c>
      <c r="AE104" t="s">
        <v>1429</v>
      </c>
      <c r="AF104" t="s">
        <v>1429</v>
      </c>
      <c r="AG104" t="s">
        <v>183</v>
      </c>
      <c r="AH104" t="s">
        <v>1395</v>
      </c>
      <c r="AI104" t="s">
        <v>1395</v>
      </c>
      <c r="AJ104" t="s">
        <v>601</v>
      </c>
      <c r="AK104" t="s">
        <v>602</v>
      </c>
      <c r="AL104" t="s">
        <v>1396</v>
      </c>
      <c r="AO104" t="s">
        <v>1397</v>
      </c>
      <c r="AP104" t="s">
        <v>1398</v>
      </c>
      <c r="AQ104" t="s">
        <v>1397</v>
      </c>
      <c r="AR104" t="s">
        <v>1430</v>
      </c>
      <c r="AS104">
        <v>0</v>
      </c>
      <c r="AT104" t="s">
        <v>1399</v>
      </c>
      <c r="AU104" t="s">
        <v>10</v>
      </c>
      <c r="AV104" t="s">
        <v>1400</v>
      </c>
      <c r="AW104" t="s">
        <v>1400</v>
      </c>
      <c r="AX104" t="s">
        <v>1401</v>
      </c>
      <c r="AY104" s="2"/>
      <c r="BA104" t="s">
        <v>1402</v>
      </c>
      <c r="BB104" t="s">
        <v>300</v>
      </c>
      <c r="BC104" t="s">
        <v>1402</v>
      </c>
      <c r="BD104">
        <v>511442</v>
      </c>
      <c r="BE104" t="s">
        <v>1431</v>
      </c>
      <c r="BF104" t="s">
        <v>422</v>
      </c>
      <c r="BG104" t="b">
        <v>0</v>
      </c>
      <c r="BH104" s="6" t="s">
        <v>1403</v>
      </c>
      <c r="BI104" t="s">
        <v>1404</v>
      </c>
      <c r="BJ104">
        <v>4453163191</v>
      </c>
      <c r="BK104" t="s">
        <v>162</v>
      </c>
      <c r="BL104" t="s">
        <v>161</v>
      </c>
      <c r="BM104" s="2"/>
      <c r="BO104" t="s">
        <v>89</v>
      </c>
      <c r="BP104">
        <v>61044200</v>
      </c>
      <c r="BR104" t="s">
        <v>180</v>
      </c>
      <c r="BS104" t="s">
        <v>103</v>
      </c>
      <c r="BU104">
        <v>186</v>
      </c>
      <c r="BV104">
        <v>427.19</v>
      </c>
      <c r="BW104">
        <v>0</v>
      </c>
      <c r="BX104">
        <v>0</v>
      </c>
      <c r="BY104">
        <v>0</v>
      </c>
      <c r="BZ104">
        <v>0</v>
      </c>
      <c r="CA104">
        <v>613.19000000000005</v>
      </c>
      <c r="CF104" s="2"/>
      <c r="CH104" s="2"/>
      <c r="CJ104" t="s">
        <v>1023</v>
      </c>
      <c r="CK104" t="s">
        <v>500</v>
      </c>
      <c r="CL104">
        <v>43717.384675925925</v>
      </c>
      <c r="CO104" t="s">
        <v>11</v>
      </c>
      <c r="CP104">
        <v>3100</v>
      </c>
      <c r="CQ104" t="s">
        <v>11</v>
      </c>
      <c r="CR104">
        <v>3100</v>
      </c>
      <c r="CV104" t="s">
        <v>190</v>
      </c>
      <c r="CW104" t="s">
        <v>12</v>
      </c>
      <c r="CX104" t="s">
        <v>12</v>
      </c>
      <c r="CY104" t="s">
        <v>12</v>
      </c>
      <c r="DA104" t="s">
        <v>104</v>
      </c>
      <c r="DD104" t="s">
        <v>93</v>
      </c>
      <c r="DQ104" t="s">
        <v>94</v>
      </c>
      <c r="DR104" t="s">
        <v>94</v>
      </c>
      <c r="DS104" t="s">
        <v>94</v>
      </c>
      <c r="DT104" t="s">
        <v>94</v>
      </c>
      <c r="DU104" t="s">
        <v>94</v>
      </c>
      <c r="DV104" t="s">
        <v>94</v>
      </c>
      <c r="DW104" t="s">
        <v>94</v>
      </c>
      <c r="DX104" s="2" t="s">
        <v>94</v>
      </c>
      <c r="DY104" t="s">
        <v>94</v>
      </c>
      <c r="DZ104" t="s">
        <v>94</v>
      </c>
      <c r="EA104" t="s">
        <v>94</v>
      </c>
      <c r="EB104" t="s">
        <v>94</v>
      </c>
      <c r="EC104" t="s">
        <v>94</v>
      </c>
      <c r="ED104" t="s">
        <v>94</v>
      </c>
      <c r="EE104" t="s">
        <v>89</v>
      </c>
      <c r="EF104" t="s">
        <v>425</v>
      </c>
      <c r="EG104" t="s">
        <v>105</v>
      </c>
      <c r="EJ104" t="s">
        <v>166</v>
      </c>
      <c r="EK104" t="b">
        <v>0</v>
      </c>
      <c r="EL104" t="b">
        <v>0</v>
      </c>
      <c r="EM104" t="b">
        <v>0</v>
      </c>
      <c r="EO104" t="s">
        <v>177</v>
      </c>
      <c r="EP104" t="s">
        <v>1432</v>
      </c>
    </row>
    <row r="105" spans="3:146" ht="15">
      <c r="C105" s="82">
        <v>12</v>
      </c>
      <c r="D105" s="5"/>
      <c r="E105" s="4">
        <v>1</v>
      </c>
      <c r="F105" s="5">
        <v>6</v>
      </c>
      <c r="G105" s="5" t="s">
        <v>1246</v>
      </c>
      <c r="H105" s="4" t="s">
        <v>1464</v>
      </c>
      <c r="I105" s="81" t="s">
        <v>164</v>
      </c>
      <c r="J105" s="21"/>
      <c r="K105" s="22" t="s">
        <v>1433</v>
      </c>
      <c r="L105" s="84" t="s">
        <v>1414</v>
      </c>
      <c r="M105" s="23" t="s">
        <v>447</v>
      </c>
      <c r="N105" s="23">
        <v>43729</v>
      </c>
      <c r="O105" s="24" t="s">
        <v>102</v>
      </c>
      <c r="P105" s="24" t="s">
        <v>181</v>
      </c>
      <c r="Q105" s="24">
        <v>1</v>
      </c>
      <c r="R105" s="24">
        <v>6</v>
      </c>
      <c r="S105" t="s">
        <v>11</v>
      </c>
      <c r="T105">
        <v>640</v>
      </c>
      <c r="U105" s="2" t="s">
        <v>163</v>
      </c>
      <c r="V105">
        <v>43729.790671296294</v>
      </c>
      <c r="W105" s="2" t="s">
        <v>444</v>
      </c>
      <c r="X105">
        <v>43733.444074074076</v>
      </c>
      <c r="AB105" t="s">
        <v>9</v>
      </c>
      <c r="AC105" t="s">
        <v>1434</v>
      </c>
      <c r="AD105" t="s">
        <v>209</v>
      </c>
      <c r="AE105">
        <v>1490</v>
      </c>
      <c r="AF105">
        <v>1490</v>
      </c>
      <c r="AG105" t="s">
        <v>183</v>
      </c>
      <c r="AH105" t="s">
        <v>1435</v>
      </c>
      <c r="AI105" t="s">
        <v>1435</v>
      </c>
      <c r="AJ105" t="s">
        <v>1436</v>
      </c>
      <c r="AK105" t="s">
        <v>1437</v>
      </c>
      <c r="AL105" t="s">
        <v>1438</v>
      </c>
      <c r="AM105" t="s">
        <v>1439</v>
      </c>
      <c r="AO105" t="s">
        <v>1440</v>
      </c>
      <c r="AP105" t="s">
        <v>1441</v>
      </c>
      <c r="AR105">
        <v>7000</v>
      </c>
      <c r="AS105">
        <v>21627311215</v>
      </c>
      <c r="AT105" t="s">
        <v>1442</v>
      </c>
      <c r="AU105" t="s">
        <v>10</v>
      </c>
      <c r="AV105" t="s">
        <v>1443</v>
      </c>
      <c r="AW105" t="s">
        <v>1443</v>
      </c>
      <c r="AX105" t="s">
        <v>1444</v>
      </c>
      <c r="AY105" s="2" t="s">
        <v>1445</v>
      </c>
      <c r="BA105" t="s">
        <v>1446</v>
      </c>
      <c r="BB105" t="s">
        <v>223</v>
      </c>
      <c r="BC105" t="s">
        <v>188</v>
      </c>
      <c r="BD105">
        <v>510730</v>
      </c>
      <c r="BE105">
        <v>-28218073</v>
      </c>
      <c r="BF105" t="s">
        <v>1447</v>
      </c>
      <c r="BG105" t="b">
        <v>0</v>
      </c>
      <c r="BH105" s="6" t="s">
        <v>1448</v>
      </c>
      <c r="BI105" t="s">
        <v>1449</v>
      </c>
      <c r="BJ105">
        <v>4453163191</v>
      </c>
      <c r="BK105" t="s">
        <v>162</v>
      </c>
      <c r="BL105" t="s">
        <v>161</v>
      </c>
      <c r="BM105" s="2"/>
      <c r="BO105" t="s">
        <v>89</v>
      </c>
      <c r="BP105">
        <v>62045200</v>
      </c>
      <c r="BR105" t="s">
        <v>180</v>
      </c>
      <c r="BS105" t="s">
        <v>103</v>
      </c>
      <c r="BU105">
        <v>0</v>
      </c>
      <c r="BV105">
        <v>88.2</v>
      </c>
      <c r="BW105">
        <v>0</v>
      </c>
      <c r="BX105">
        <v>0</v>
      </c>
      <c r="BY105">
        <v>0</v>
      </c>
      <c r="BZ105">
        <v>0</v>
      </c>
      <c r="CA105">
        <v>88.2</v>
      </c>
      <c r="CF105" s="2"/>
      <c r="CH105" s="2"/>
      <c r="CJ105">
        <v>5.31420199501352E+17</v>
      </c>
      <c r="CK105" t="s">
        <v>445</v>
      </c>
      <c r="CL105">
        <v>43729.562094907407</v>
      </c>
      <c r="CO105" t="s">
        <v>11</v>
      </c>
      <c r="CP105">
        <v>640</v>
      </c>
      <c r="CQ105" t="s">
        <v>11</v>
      </c>
      <c r="CR105">
        <v>640</v>
      </c>
      <c r="CV105" t="s">
        <v>190</v>
      </c>
      <c r="CW105" t="s">
        <v>12</v>
      </c>
      <c r="CX105" t="s">
        <v>12</v>
      </c>
      <c r="CY105" t="s">
        <v>12</v>
      </c>
      <c r="DA105" t="s">
        <v>104</v>
      </c>
      <c r="DD105" t="s">
        <v>93</v>
      </c>
      <c r="DQ105" t="s">
        <v>94</v>
      </c>
      <c r="DR105" t="s">
        <v>94</v>
      </c>
      <c r="DS105" t="s">
        <v>94</v>
      </c>
      <c r="DT105" t="s">
        <v>94</v>
      </c>
      <c r="DU105" t="s">
        <v>94</v>
      </c>
      <c r="DV105" t="s">
        <v>94</v>
      </c>
      <c r="DW105" t="s">
        <v>94</v>
      </c>
      <c r="DX105" s="2" t="s">
        <v>94</v>
      </c>
      <c r="DY105" t="s">
        <v>94</v>
      </c>
      <c r="DZ105" t="s">
        <v>94</v>
      </c>
      <c r="EA105" t="s">
        <v>94</v>
      </c>
      <c r="EB105" t="s">
        <v>94</v>
      </c>
      <c r="EC105" t="s">
        <v>94</v>
      </c>
      <c r="ED105" t="s">
        <v>94</v>
      </c>
      <c r="EE105" t="s">
        <v>89</v>
      </c>
      <c r="EF105" t="s">
        <v>425</v>
      </c>
      <c r="EG105" t="s">
        <v>105</v>
      </c>
      <c r="EJ105" t="s">
        <v>166</v>
      </c>
      <c r="EK105" t="b">
        <v>0</v>
      </c>
      <c r="EL105" t="b">
        <v>0</v>
      </c>
      <c r="EM105" t="b">
        <v>0</v>
      </c>
      <c r="EO105" t="s">
        <v>177</v>
      </c>
      <c r="EP105" t="s">
        <v>1465</v>
      </c>
    </row>
    <row r="106" spans="3:146" ht="15">
      <c r="C106" s="82">
        <v>424</v>
      </c>
      <c r="D106" s="5"/>
      <c r="E106" s="4">
        <v>1</v>
      </c>
      <c r="F106" s="5">
        <v>4.4800000000000004</v>
      </c>
      <c r="G106" s="5" t="s">
        <v>1119</v>
      </c>
      <c r="H106" s="4" t="s">
        <v>1466</v>
      </c>
      <c r="I106" s="81" t="s">
        <v>817</v>
      </c>
      <c r="J106" s="21"/>
      <c r="K106" s="22" t="s">
        <v>1450</v>
      </c>
      <c r="L106" s="84" t="s">
        <v>1415</v>
      </c>
      <c r="M106" s="23" t="s">
        <v>817</v>
      </c>
      <c r="N106" s="23">
        <v>43730</v>
      </c>
      <c r="O106" s="24" t="s">
        <v>102</v>
      </c>
      <c r="P106" s="24" t="s">
        <v>181</v>
      </c>
      <c r="Q106" s="24">
        <v>1</v>
      </c>
      <c r="R106" s="24">
        <v>4.4800000000000004</v>
      </c>
      <c r="S106" t="s">
        <v>1451</v>
      </c>
      <c r="T106">
        <v>1000</v>
      </c>
      <c r="U106" s="2" t="s">
        <v>163</v>
      </c>
      <c r="V106">
        <v>43730.665601851855</v>
      </c>
      <c r="W106" s="2" t="s">
        <v>444</v>
      </c>
      <c r="X106">
        <v>43734.52553240741</v>
      </c>
      <c r="AB106" t="s">
        <v>9</v>
      </c>
      <c r="AC106" t="s">
        <v>1143</v>
      </c>
      <c r="AD106" t="s">
        <v>182</v>
      </c>
      <c r="AE106">
        <v>317309</v>
      </c>
      <c r="AF106">
        <v>317309</v>
      </c>
      <c r="AG106" t="s">
        <v>183</v>
      </c>
      <c r="AH106" t="s">
        <v>1452</v>
      </c>
      <c r="AI106" t="s">
        <v>1452</v>
      </c>
      <c r="AJ106" t="s">
        <v>644</v>
      </c>
      <c r="AK106" t="s">
        <v>645</v>
      </c>
      <c r="AL106" t="s">
        <v>1453</v>
      </c>
      <c r="AM106" t="s">
        <v>1454</v>
      </c>
      <c r="AO106" t="s">
        <v>1455</v>
      </c>
      <c r="AP106" t="s">
        <v>1149</v>
      </c>
      <c r="AR106">
        <v>11950</v>
      </c>
      <c r="AS106">
        <v>164300063</v>
      </c>
      <c r="AT106" t="s">
        <v>1456</v>
      </c>
      <c r="AU106" t="s">
        <v>10</v>
      </c>
      <c r="AV106" t="s">
        <v>1457</v>
      </c>
      <c r="AW106" t="s">
        <v>1457</v>
      </c>
      <c r="AX106" t="s">
        <v>1458</v>
      </c>
      <c r="AY106" s="2" t="s">
        <v>1459</v>
      </c>
      <c r="AZ106" t="s">
        <v>1460</v>
      </c>
      <c r="BA106" t="s">
        <v>1002</v>
      </c>
      <c r="BB106" t="s">
        <v>187</v>
      </c>
      <c r="BC106" t="s">
        <v>188</v>
      </c>
      <c r="BD106">
        <v>518112</v>
      </c>
      <c r="BE106">
        <v>8618750599021</v>
      </c>
      <c r="BF106" t="s">
        <v>1461</v>
      </c>
      <c r="BG106" t="b">
        <v>0</v>
      </c>
      <c r="BH106" s="6" t="s">
        <v>1462</v>
      </c>
      <c r="BI106" t="s">
        <v>1463</v>
      </c>
      <c r="BJ106">
        <v>4453163191</v>
      </c>
      <c r="BK106" t="s">
        <v>162</v>
      </c>
      <c r="BL106" t="s">
        <v>161</v>
      </c>
      <c r="BM106" s="2"/>
      <c r="BO106" t="s">
        <v>89</v>
      </c>
      <c r="BP106">
        <v>73269090</v>
      </c>
      <c r="BR106" t="s">
        <v>180</v>
      </c>
      <c r="BS106" t="s">
        <v>103</v>
      </c>
      <c r="BU106">
        <v>134.6</v>
      </c>
      <c r="BV106">
        <v>236.22</v>
      </c>
      <c r="BW106">
        <v>0</v>
      </c>
      <c r="BX106">
        <v>0</v>
      </c>
      <c r="BY106">
        <v>0</v>
      </c>
      <c r="BZ106">
        <v>0</v>
      </c>
      <c r="CA106">
        <v>370.82</v>
      </c>
      <c r="CF106" s="2"/>
      <c r="CH106" s="2"/>
      <c r="CJ106">
        <v>5.3142019950135501E+17</v>
      </c>
      <c r="CK106" t="s">
        <v>165</v>
      </c>
      <c r="CL106">
        <v>43730.334583333337</v>
      </c>
      <c r="CO106" t="s">
        <v>11</v>
      </c>
      <c r="CP106">
        <v>1682.5</v>
      </c>
      <c r="CQ106" t="s">
        <v>11</v>
      </c>
      <c r="CR106">
        <v>1682.5</v>
      </c>
      <c r="CV106" t="s">
        <v>190</v>
      </c>
      <c r="CW106" t="s">
        <v>12</v>
      </c>
      <c r="CX106" t="s">
        <v>12</v>
      </c>
      <c r="CY106" t="s">
        <v>12</v>
      </c>
      <c r="DA106" t="s">
        <v>104</v>
      </c>
      <c r="DD106" t="s">
        <v>93</v>
      </c>
      <c r="DQ106" t="s">
        <v>94</v>
      </c>
      <c r="DR106" t="s">
        <v>94</v>
      </c>
      <c r="DS106" t="s">
        <v>94</v>
      </c>
      <c r="DT106" t="s">
        <v>94</v>
      </c>
      <c r="DU106" t="s">
        <v>94</v>
      </c>
      <c r="DV106" t="s">
        <v>94</v>
      </c>
      <c r="DW106" t="s">
        <v>94</v>
      </c>
      <c r="DX106" s="2" t="s">
        <v>94</v>
      </c>
      <c r="DY106" t="s">
        <v>94</v>
      </c>
      <c r="DZ106" t="s">
        <v>94</v>
      </c>
      <c r="EA106" t="s">
        <v>94</v>
      </c>
      <c r="EB106" t="s">
        <v>94</v>
      </c>
      <c r="EC106" t="s">
        <v>94</v>
      </c>
      <c r="ED106" t="s">
        <v>94</v>
      </c>
      <c r="EE106" t="s">
        <v>89</v>
      </c>
      <c r="EF106" t="s">
        <v>425</v>
      </c>
      <c r="EG106" t="s">
        <v>105</v>
      </c>
      <c r="EJ106" t="s">
        <v>166</v>
      </c>
      <c r="EK106" t="b">
        <v>0</v>
      </c>
      <c r="EL106" t="b">
        <v>0</v>
      </c>
      <c r="EM106" t="b">
        <v>0</v>
      </c>
      <c r="EO106" t="s">
        <v>177</v>
      </c>
      <c r="EP106" t="s">
        <v>1467</v>
      </c>
    </row>
    <row r="107" spans="3:146" ht="15">
      <c r="C107" s="82">
        <v>12</v>
      </c>
      <c r="D107" s="5"/>
      <c r="E107" s="4">
        <v>1</v>
      </c>
      <c r="F107" s="5">
        <v>22</v>
      </c>
      <c r="G107" s="5" t="s">
        <v>1621</v>
      </c>
      <c r="H107" s="4" t="s">
        <v>1622</v>
      </c>
      <c r="I107" s="81" t="s">
        <v>164</v>
      </c>
      <c r="J107" s="21"/>
      <c r="K107" s="22" t="s">
        <v>1468</v>
      </c>
      <c r="L107" s="84" t="s">
        <v>1469</v>
      </c>
      <c r="M107" s="23" t="s">
        <v>164</v>
      </c>
      <c r="N107" s="23">
        <v>43697</v>
      </c>
      <c r="O107" s="24" t="s">
        <v>102</v>
      </c>
      <c r="P107" s="24" t="s">
        <v>181</v>
      </c>
      <c r="Q107" s="24">
        <v>1</v>
      </c>
      <c r="R107" s="24">
        <v>22</v>
      </c>
      <c r="S107" t="s">
        <v>319</v>
      </c>
      <c r="T107" t="s">
        <v>1623</v>
      </c>
      <c r="U107" s="2" t="s">
        <v>163</v>
      </c>
      <c r="V107">
        <v>43697.784733796296</v>
      </c>
      <c r="W107" s="2" t="s">
        <v>444</v>
      </c>
      <c r="X107">
        <v>43734.430138888885</v>
      </c>
      <c r="AB107" t="s">
        <v>9</v>
      </c>
      <c r="AC107" t="s">
        <v>1230</v>
      </c>
      <c r="AD107" t="s">
        <v>191</v>
      </c>
      <c r="AE107" t="s">
        <v>1624</v>
      </c>
      <c r="AF107" t="s">
        <v>1624</v>
      </c>
      <c r="AG107" t="s">
        <v>183</v>
      </c>
      <c r="AH107" t="s">
        <v>1470</v>
      </c>
      <c r="AI107" t="s">
        <v>1470</v>
      </c>
      <c r="AJ107" t="s">
        <v>1232</v>
      </c>
      <c r="AK107" t="s">
        <v>1233</v>
      </c>
      <c r="AL107" t="s">
        <v>1471</v>
      </c>
      <c r="AM107" t="s">
        <v>1625</v>
      </c>
      <c r="AN107" t="s">
        <v>1472</v>
      </c>
      <c r="AO107" t="s">
        <v>1236</v>
      </c>
      <c r="AP107" t="s">
        <v>1233</v>
      </c>
      <c r="AR107">
        <v>409032</v>
      </c>
      <c r="AS107">
        <v>6567461308</v>
      </c>
      <c r="AT107" t="s">
        <v>1473</v>
      </c>
      <c r="AU107" t="s">
        <v>10</v>
      </c>
      <c r="AV107" t="s">
        <v>1474</v>
      </c>
      <c r="AW107" t="s">
        <v>1474</v>
      </c>
      <c r="AX107" t="s">
        <v>1475</v>
      </c>
      <c r="AY107" s="2" t="s">
        <v>1476</v>
      </c>
      <c r="AZ107" t="s">
        <v>1477</v>
      </c>
      <c r="BA107" t="s">
        <v>726</v>
      </c>
      <c r="BB107" t="s">
        <v>192</v>
      </c>
      <c r="BC107" t="s">
        <v>188</v>
      </c>
      <c r="BD107">
        <v>523750</v>
      </c>
      <c r="BE107" t="s">
        <v>1626</v>
      </c>
      <c r="BF107" t="s">
        <v>1478</v>
      </c>
      <c r="BG107" t="b">
        <v>0</v>
      </c>
      <c r="BH107" s="6" t="s">
        <v>1479</v>
      </c>
      <c r="BI107" t="s">
        <v>1480</v>
      </c>
      <c r="BJ107">
        <v>4453163191</v>
      </c>
      <c r="BK107" t="s">
        <v>162</v>
      </c>
      <c r="BL107" t="s">
        <v>161</v>
      </c>
      <c r="BM107" s="2"/>
      <c r="BO107" t="s">
        <v>89</v>
      </c>
      <c r="BP107">
        <v>8504401990</v>
      </c>
      <c r="BR107" t="s">
        <v>189</v>
      </c>
      <c r="BS107" t="s">
        <v>103</v>
      </c>
      <c r="BU107">
        <v>0</v>
      </c>
      <c r="BV107">
        <v>268.43</v>
      </c>
      <c r="BW107">
        <v>0</v>
      </c>
      <c r="BX107">
        <v>0</v>
      </c>
      <c r="BY107">
        <v>0</v>
      </c>
      <c r="BZ107">
        <v>0</v>
      </c>
      <c r="CA107">
        <v>268.43</v>
      </c>
      <c r="CF107" s="2"/>
      <c r="CH107" s="2"/>
      <c r="CJ107">
        <v>5.3142019950116698E+17</v>
      </c>
      <c r="CK107" t="s">
        <v>165</v>
      </c>
      <c r="CL107">
        <v>43697.370983796296</v>
      </c>
      <c r="CO107" t="s">
        <v>11</v>
      </c>
      <c r="CP107">
        <v>2109.36</v>
      </c>
      <c r="CQ107" t="s">
        <v>11</v>
      </c>
      <c r="CR107">
        <v>2109.36</v>
      </c>
      <c r="CV107" t="s">
        <v>190</v>
      </c>
      <c r="CW107" t="s">
        <v>12</v>
      </c>
      <c r="CX107" t="s">
        <v>12</v>
      </c>
      <c r="CY107" t="s">
        <v>12</v>
      </c>
      <c r="DA107" t="s">
        <v>104</v>
      </c>
      <c r="DD107" t="s">
        <v>93</v>
      </c>
      <c r="DQ107" t="s">
        <v>94</v>
      </c>
      <c r="DR107" t="s">
        <v>94</v>
      </c>
      <c r="DS107" t="s">
        <v>94</v>
      </c>
      <c r="DT107" t="s">
        <v>94</v>
      </c>
      <c r="DU107" t="s">
        <v>94</v>
      </c>
      <c r="DV107" t="s">
        <v>94</v>
      </c>
      <c r="DW107" t="s">
        <v>94</v>
      </c>
      <c r="DX107" s="2" t="s">
        <v>94</v>
      </c>
      <c r="DY107" t="s">
        <v>94</v>
      </c>
      <c r="DZ107" t="s">
        <v>94</v>
      </c>
      <c r="EA107" t="s">
        <v>94</v>
      </c>
      <c r="EB107" t="s">
        <v>94</v>
      </c>
      <c r="EC107" t="s">
        <v>94</v>
      </c>
      <c r="ED107" t="s">
        <v>94</v>
      </c>
      <c r="EE107" t="s">
        <v>89</v>
      </c>
      <c r="EF107" t="s">
        <v>425</v>
      </c>
      <c r="EG107" t="s">
        <v>543</v>
      </c>
      <c r="EJ107" t="s">
        <v>166</v>
      </c>
      <c r="EK107" t="b">
        <v>0</v>
      </c>
      <c r="EL107" t="b">
        <v>0</v>
      </c>
      <c r="EM107" t="b">
        <v>0</v>
      </c>
      <c r="EO107" t="s">
        <v>177</v>
      </c>
      <c r="EP107" t="s">
        <v>1627</v>
      </c>
    </row>
    <row r="108" spans="3:146" ht="15">
      <c r="C108" s="82">
        <v>14</v>
      </c>
      <c r="D108" s="5"/>
      <c r="E108" s="4">
        <v>1</v>
      </c>
      <c r="F108" s="5">
        <v>4.2</v>
      </c>
      <c r="G108" s="5" t="s">
        <v>1119</v>
      </c>
      <c r="H108" s="4" t="s">
        <v>1628</v>
      </c>
      <c r="I108" s="81" t="s">
        <v>817</v>
      </c>
      <c r="J108" s="21"/>
      <c r="K108" s="22" t="s">
        <v>1481</v>
      </c>
      <c r="L108" s="84" t="s">
        <v>1415</v>
      </c>
      <c r="M108" s="23" t="s">
        <v>817</v>
      </c>
      <c r="N108" s="23">
        <v>43730</v>
      </c>
      <c r="O108" s="24" t="s">
        <v>102</v>
      </c>
      <c r="P108" s="24" t="s">
        <v>179</v>
      </c>
      <c r="Q108" s="24">
        <v>1</v>
      </c>
      <c r="R108" s="24">
        <v>4.2</v>
      </c>
      <c r="S108" t="s">
        <v>11</v>
      </c>
      <c r="T108" t="s">
        <v>1629</v>
      </c>
      <c r="U108" s="2" t="s">
        <v>163</v>
      </c>
      <c r="V108">
        <v>43730.665324074071</v>
      </c>
      <c r="W108" s="2" t="s">
        <v>444</v>
      </c>
      <c r="X108">
        <v>43734.52553240741</v>
      </c>
      <c r="AB108" t="s">
        <v>9</v>
      </c>
      <c r="AC108" t="s">
        <v>1482</v>
      </c>
      <c r="AD108" t="s">
        <v>482</v>
      </c>
      <c r="AE108" t="s">
        <v>1630</v>
      </c>
      <c r="AF108" t="s">
        <v>1630</v>
      </c>
      <c r="AG108" t="s">
        <v>183</v>
      </c>
      <c r="AH108" t="s">
        <v>1483</v>
      </c>
      <c r="AI108" t="s">
        <v>1483</v>
      </c>
      <c r="AJ108" t="s">
        <v>776</v>
      </c>
      <c r="AK108" t="s">
        <v>777</v>
      </c>
      <c r="AL108" t="s">
        <v>1484</v>
      </c>
      <c r="AO108" t="s">
        <v>1485</v>
      </c>
      <c r="AP108" t="s">
        <v>1486</v>
      </c>
      <c r="AQ108" t="s">
        <v>1012</v>
      </c>
      <c r="AR108">
        <v>35435</v>
      </c>
      <c r="AS108">
        <v>641803529</v>
      </c>
      <c r="AT108" t="s">
        <v>1487</v>
      </c>
      <c r="AU108" t="s">
        <v>10</v>
      </c>
      <c r="AV108" t="s">
        <v>1488</v>
      </c>
      <c r="AW108" t="s">
        <v>1488</v>
      </c>
      <c r="AX108" t="s">
        <v>1489</v>
      </c>
      <c r="AY108" s="2" t="s">
        <v>1490</v>
      </c>
      <c r="AZ108" t="s">
        <v>1491</v>
      </c>
      <c r="BA108" t="s">
        <v>1492</v>
      </c>
      <c r="BB108" t="s">
        <v>1493</v>
      </c>
      <c r="BC108" t="s">
        <v>496</v>
      </c>
      <c r="BD108">
        <v>412000</v>
      </c>
      <c r="BE108" t="s">
        <v>1631</v>
      </c>
      <c r="BF108" t="s">
        <v>1494</v>
      </c>
      <c r="BG108" t="b">
        <v>0</v>
      </c>
      <c r="BH108" s="6" t="s">
        <v>1495</v>
      </c>
      <c r="BI108" t="s">
        <v>1496</v>
      </c>
      <c r="BJ108">
        <v>4453163191</v>
      </c>
      <c r="BK108" t="s">
        <v>162</v>
      </c>
      <c r="BL108" t="s">
        <v>161</v>
      </c>
      <c r="BM108" s="2"/>
      <c r="BO108" t="s">
        <v>89</v>
      </c>
      <c r="BP108">
        <v>28030000</v>
      </c>
      <c r="BR108" t="s">
        <v>189</v>
      </c>
      <c r="BS108" t="s">
        <v>103</v>
      </c>
      <c r="BU108">
        <v>0</v>
      </c>
      <c r="BV108">
        <v>0</v>
      </c>
      <c r="BW108">
        <v>0</v>
      </c>
      <c r="BX108">
        <v>0</v>
      </c>
      <c r="BY108">
        <v>0</v>
      </c>
      <c r="BZ108">
        <v>0</v>
      </c>
      <c r="CA108">
        <v>0</v>
      </c>
      <c r="CF108" s="2"/>
      <c r="CH108" s="2"/>
      <c r="CJ108">
        <v>5.3142019950135501E+17</v>
      </c>
      <c r="CK108" t="s">
        <v>165</v>
      </c>
      <c r="CL108">
        <v>43730.334004629629</v>
      </c>
      <c r="CO108" t="s">
        <v>11</v>
      </c>
      <c r="CP108">
        <v>210</v>
      </c>
      <c r="CQ108" t="s">
        <v>11</v>
      </c>
      <c r="CR108">
        <v>210</v>
      </c>
      <c r="CV108" t="s">
        <v>190</v>
      </c>
      <c r="CW108" t="s">
        <v>12</v>
      </c>
      <c r="CX108" t="s">
        <v>12</v>
      </c>
      <c r="CY108" t="s">
        <v>12</v>
      </c>
      <c r="DA108" t="s">
        <v>104</v>
      </c>
      <c r="DD108" t="s">
        <v>93</v>
      </c>
      <c r="DQ108" t="s">
        <v>94</v>
      </c>
      <c r="DR108" t="s">
        <v>94</v>
      </c>
      <c r="DS108" t="s">
        <v>94</v>
      </c>
      <c r="DT108" t="s">
        <v>94</v>
      </c>
      <c r="DU108" t="s">
        <v>94</v>
      </c>
      <c r="DV108" t="s">
        <v>94</v>
      </c>
      <c r="DW108" t="s">
        <v>94</v>
      </c>
      <c r="DX108" s="2" t="s">
        <v>94</v>
      </c>
      <c r="DY108" t="s">
        <v>94</v>
      </c>
      <c r="DZ108" t="s">
        <v>94</v>
      </c>
      <c r="EA108" t="s">
        <v>94</v>
      </c>
      <c r="EB108" t="s">
        <v>94</v>
      </c>
      <c r="EC108" t="s">
        <v>94</v>
      </c>
      <c r="ED108" t="s">
        <v>94</v>
      </c>
      <c r="EE108" t="s">
        <v>89</v>
      </c>
      <c r="EF108" t="s">
        <v>425</v>
      </c>
      <c r="EG108" t="s">
        <v>105</v>
      </c>
      <c r="EJ108" t="s">
        <v>166</v>
      </c>
      <c r="EK108" t="b">
        <v>0</v>
      </c>
      <c r="EL108" t="b">
        <v>0</v>
      </c>
      <c r="EM108" t="b">
        <v>0</v>
      </c>
      <c r="EO108" t="s">
        <v>177</v>
      </c>
      <c r="EP108" t="s">
        <v>1632</v>
      </c>
    </row>
    <row r="109" spans="3:146" ht="15">
      <c r="C109" s="82">
        <v>133</v>
      </c>
      <c r="D109" s="5"/>
      <c r="E109" s="4">
        <v>1</v>
      </c>
      <c r="F109" s="5">
        <v>9.5</v>
      </c>
      <c r="G109" s="5" t="s">
        <v>1633</v>
      </c>
      <c r="H109" s="4" t="s">
        <v>1634</v>
      </c>
      <c r="I109" s="81" t="s">
        <v>164</v>
      </c>
      <c r="J109" s="21"/>
      <c r="K109" s="22" t="s">
        <v>1497</v>
      </c>
      <c r="L109" s="84" t="s">
        <v>1498</v>
      </c>
      <c r="M109" s="23" t="s">
        <v>447</v>
      </c>
      <c r="N109" s="23">
        <v>43734</v>
      </c>
      <c r="O109" s="24" t="s">
        <v>102</v>
      </c>
      <c r="P109" s="24" t="s">
        <v>181</v>
      </c>
      <c r="Q109" s="24">
        <v>1</v>
      </c>
      <c r="R109" s="24">
        <v>9.5</v>
      </c>
      <c r="S109" t="s">
        <v>528</v>
      </c>
      <c r="T109" t="s">
        <v>1635</v>
      </c>
      <c r="U109" s="2" t="s">
        <v>163</v>
      </c>
      <c r="V109">
        <v>43734.862476851849</v>
      </c>
      <c r="W109" s="2" t="s">
        <v>444</v>
      </c>
      <c r="X109">
        <v>43734.869201388887</v>
      </c>
      <c r="AB109" t="s">
        <v>9</v>
      </c>
      <c r="AC109" t="s">
        <v>1499</v>
      </c>
      <c r="AD109" t="s">
        <v>182</v>
      </c>
      <c r="AE109" t="s">
        <v>1636</v>
      </c>
      <c r="AF109" t="s">
        <v>1636</v>
      </c>
      <c r="AG109" t="s">
        <v>183</v>
      </c>
      <c r="AH109" t="s">
        <v>1500</v>
      </c>
      <c r="AI109" t="s">
        <v>1500</v>
      </c>
      <c r="AJ109" t="s">
        <v>776</v>
      </c>
      <c r="AK109" t="s">
        <v>777</v>
      </c>
      <c r="AL109" t="s">
        <v>1501</v>
      </c>
      <c r="AO109" t="s">
        <v>1010</v>
      </c>
      <c r="AP109" t="s">
        <v>1502</v>
      </c>
      <c r="AQ109" t="s">
        <v>1012</v>
      </c>
      <c r="AR109">
        <v>65451</v>
      </c>
      <c r="AS109">
        <v>6107750713</v>
      </c>
      <c r="AT109" t="s">
        <v>1503</v>
      </c>
      <c r="AU109" t="s">
        <v>10</v>
      </c>
      <c r="AV109" t="s">
        <v>1504</v>
      </c>
      <c r="AW109" t="s">
        <v>1504</v>
      </c>
      <c r="AX109" t="s">
        <v>1505</v>
      </c>
      <c r="AY109" s="2"/>
      <c r="BA109" t="s">
        <v>194</v>
      </c>
      <c r="BB109" t="s">
        <v>187</v>
      </c>
      <c r="BC109" t="s">
        <v>188</v>
      </c>
      <c r="BD109">
        <v>518110</v>
      </c>
      <c r="BE109" t="s">
        <v>1637</v>
      </c>
      <c r="BF109" t="s">
        <v>1506</v>
      </c>
      <c r="BG109" t="b">
        <v>0</v>
      </c>
      <c r="BH109" s="6" t="s">
        <v>1507</v>
      </c>
      <c r="BI109" t="s">
        <v>1508</v>
      </c>
      <c r="BJ109">
        <v>4453163191</v>
      </c>
      <c r="BK109" t="s">
        <v>162</v>
      </c>
      <c r="BL109" t="s">
        <v>161</v>
      </c>
      <c r="BM109" s="2"/>
      <c r="BO109" t="s">
        <v>89</v>
      </c>
      <c r="BP109">
        <v>85312000</v>
      </c>
      <c r="BR109" t="s">
        <v>180</v>
      </c>
      <c r="BS109" t="s">
        <v>103</v>
      </c>
      <c r="BU109">
        <v>0</v>
      </c>
      <c r="BV109">
        <v>563.4</v>
      </c>
      <c r="BW109">
        <v>0</v>
      </c>
      <c r="BX109">
        <v>0</v>
      </c>
      <c r="BY109">
        <v>0</v>
      </c>
      <c r="BZ109">
        <v>0</v>
      </c>
      <c r="CA109">
        <v>563.4</v>
      </c>
      <c r="CF109" s="2"/>
      <c r="CH109" s="2"/>
      <c r="CJ109">
        <v>5.3142019950137997E+17</v>
      </c>
      <c r="CK109" t="s">
        <v>1509</v>
      </c>
      <c r="CL109">
        <v>43734.375474537039</v>
      </c>
      <c r="CO109" t="s">
        <v>11</v>
      </c>
      <c r="CP109">
        <v>4333.84</v>
      </c>
      <c r="CQ109" t="s">
        <v>11</v>
      </c>
      <c r="CR109">
        <v>4333.84</v>
      </c>
      <c r="CV109" t="s">
        <v>190</v>
      </c>
      <c r="CW109" t="s">
        <v>12</v>
      </c>
      <c r="CX109" t="s">
        <v>12</v>
      </c>
      <c r="CY109" t="s">
        <v>12</v>
      </c>
      <c r="DA109" t="s">
        <v>104</v>
      </c>
      <c r="DD109" t="s">
        <v>93</v>
      </c>
      <c r="DQ109" t="s">
        <v>94</v>
      </c>
      <c r="DR109" t="s">
        <v>94</v>
      </c>
      <c r="DS109" t="s">
        <v>94</v>
      </c>
      <c r="DT109" t="s">
        <v>94</v>
      </c>
      <c r="DU109" t="s">
        <v>94</v>
      </c>
      <c r="DV109" t="s">
        <v>94</v>
      </c>
      <c r="DW109" t="s">
        <v>94</v>
      </c>
      <c r="DX109" s="2" t="s">
        <v>94</v>
      </c>
      <c r="DY109" t="s">
        <v>94</v>
      </c>
      <c r="DZ109" t="s">
        <v>94</v>
      </c>
      <c r="EA109" t="s">
        <v>94</v>
      </c>
      <c r="EB109" t="s">
        <v>94</v>
      </c>
      <c r="EC109" t="s">
        <v>94</v>
      </c>
      <c r="ED109" t="s">
        <v>94</v>
      </c>
      <c r="EE109" t="s">
        <v>89</v>
      </c>
      <c r="EF109" t="s">
        <v>425</v>
      </c>
      <c r="EG109" t="s">
        <v>105</v>
      </c>
      <c r="EJ109" t="s">
        <v>166</v>
      </c>
      <c r="EK109" t="b">
        <v>0</v>
      </c>
      <c r="EL109" t="b">
        <v>0</v>
      </c>
      <c r="EM109" t="b">
        <v>0</v>
      </c>
      <c r="EO109" t="s">
        <v>177</v>
      </c>
      <c r="EP109" t="s">
        <v>1638</v>
      </c>
    </row>
    <row r="110" spans="3:146" ht="15">
      <c r="C110" s="82" t="s">
        <v>1639</v>
      </c>
      <c r="D110" s="5"/>
      <c r="E110" s="4">
        <v>2</v>
      </c>
      <c r="F110" s="5">
        <v>25</v>
      </c>
      <c r="G110" s="5" t="s">
        <v>808</v>
      </c>
      <c r="H110" s="4" t="s">
        <v>1640</v>
      </c>
      <c r="I110" s="81" t="s">
        <v>164</v>
      </c>
      <c r="J110" s="21"/>
      <c r="K110" s="22" t="s">
        <v>1580</v>
      </c>
      <c r="L110" s="84" t="s">
        <v>1581</v>
      </c>
      <c r="M110" s="23" t="s">
        <v>164</v>
      </c>
      <c r="N110" s="23">
        <v>43725</v>
      </c>
      <c r="O110" s="24" t="s">
        <v>102</v>
      </c>
      <c r="P110" s="24" t="s">
        <v>181</v>
      </c>
      <c r="Q110" s="24">
        <v>2</v>
      </c>
      <c r="R110" s="24">
        <v>25</v>
      </c>
      <c r="S110" t="s">
        <v>11</v>
      </c>
      <c r="T110" t="s">
        <v>1641</v>
      </c>
      <c r="U110" s="2" t="s">
        <v>163</v>
      </c>
      <c r="V110">
        <v>43727.566678240742</v>
      </c>
      <c r="W110" s="2" t="s">
        <v>444</v>
      </c>
      <c r="X110">
        <v>43733.407222222224</v>
      </c>
      <c r="AB110" t="s">
        <v>9</v>
      </c>
      <c r="AC110" t="s">
        <v>1582</v>
      </c>
      <c r="AD110" t="s">
        <v>209</v>
      </c>
      <c r="AE110" t="s">
        <v>183</v>
      </c>
      <c r="AF110" t="s">
        <v>183</v>
      </c>
      <c r="AG110" t="s">
        <v>1642</v>
      </c>
      <c r="AH110" t="s">
        <v>1583</v>
      </c>
      <c r="AI110" t="s">
        <v>1583</v>
      </c>
      <c r="AJ110" t="s">
        <v>1584</v>
      </c>
      <c r="AK110" t="s">
        <v>1585</v>
      </c>
      <c r="AL110" t="s">
        <v>1586</v>
      </c>
      <c r="AM110" t="s">
        <v>1587</v>
      </c>
      <c r="AN110" t="s">
        <v>1588</v>
      </c>
      <c r="AO110" t="s">
        <v>1589</v>
      </c>
      <c r="AP110" t="s">
        <v>1590</v>
      </c>
      <c r="AQ110" t="s">
        <v>1589</v>
      </c>
      <c r="AR110">
        <v>11411</v>
      </c>
      <c r="AS110">
        <v>966507233783</v>
      </c>
      <c r="AT110" t="s">
        <v>1591</v>
      </c>
      <c r="AU110" t="s">
        <v>10</v>
      </c>
      <c r="AV110" t="s">
        <v>1592</v>
      </c>
      <c r="AW110" t="s">
        <v>1592</v>
      </c>
      <c r="AX110" t="s">
        <v>1593</v>
      </c>
      <c r="AY110" s="2" t="s">
        <v>1594</v>
      </c>
      <c r="BA110" t="s">
        <v>538</v>
      </c>
      <c r="BB110" t="s">
        <v>223</v>
      </c>
      <c r="BC110" t="s">
        <v>188</v>
      </c>
      <c r="BD110">
        <v>510405</v>
      </c>
      <c r="BE110" t="s">
        <v>1595</v>
      </c>
      <c r="BF110" t="s">
        <v>1596</v>
      </c>
      <c r="BG110" t="b">
        <v>0</v>
      </c>
      <c r="BH110" s="6" t="s">
        <v>1597</v>
      </c>
      <c r="BI110" t="s">
        <v>1598</v>
      </c>
      <c r="BJ110">
        <v>4453163191</v>
      </c>
      <c r="BK110" t="s">
        <v>162</v>
      </c>
      <c r="BL110" t="s">
        <v>161</v>
      </c>
      <c r="BM110" s="2"/>
      <c r="BN110" t="s">
        <v>1643</v>
      </c>
      <c r="BO110" t="s">
        <v>89</v>
      </c>
      <c r="BP110">
        <v>8481804090</v>
      </c>
      <c r="BR110" t="s">
        <v>180</v>
      </c>
      <c r="BS110" t="s">
        <v>103</v>
      </c>
      <c r="BU110">
        <v>314.49</v>
      </c>
      <c r="BV110">
        <v>638.63</v>
      </c>
      <c r="BW110">
        <v>0</v>
      </c>
      <c r="BX110">
        <v>0</v>
      </c>
      <c r="BY110">
        <v>0</v>
      </c>
      <c r="BZ110">
        <v>0</v>
      </c>
      <c r="CA110">
        <v>953.12</v>
      </c>
      <c r="CF110" s="2"/>
      <c r="CH110" s="2"/>
      <c r="CJ110">
        <v>5.3142019950132102E+17</v>
      </c>
      <c r="CK110" t="s">
        <v>500</v>
      </c>
      <c r="CL110">
        <v>43725.577407407407</v>
      </c>
      <c r="CO110" t="s">
        <v>11</v>
      </c>
      <c r="CP110">
        <v>4598</v>
      </c>
      <c r="CQ110" t="s">
        <v>11</v>
      </c>
      <c r="CR110">
        <v>4598</v>
      </c>
      <c r="CV110" t="s">
        <v>525</v>
      </c>
      <c r="CW110" t="s">
        <v>12</v>
      </c>
      <c r="CX110" t="s">
        <v>12</v>
      </c>
      <c r="CY110" t="s">
        <v>12</v>
      </c>
      <c r="DA110" t="s">
        <v>104</v>
      </c>
      <c r="DD110" t="s">
        <v>93</v>
      </c>
      <c r="DQ110" t="s">
        <v>94</v>
      </c>
      <c r="DR110" t="s">
        <v>94</v>
      </c>
      <c r="DS110" t="s">
        <v>94</v>
      </c>
      <c r="DT110" t="s">
        <v>94</v>
      </c>
      <c r="DU110" t="s">
        <v>94</v>
      </c>
      <c r="DV110" t="s">
        <v>94</v>
      </c>
      <c r="DW110" t="s">
        <v>94</v>
      </c>
      <c r="DX110" s="2" t="s">
        <v>94</v>
      </c>
      <c r="DY110" t="s">
        <v>94</v>
      </c>
      <c r="DZ110" t="s">
        <v>94</v>
      </c>
      <c r="EA110" t="s">
        <v>94</v>
      </c>
      <c r="EB110" t="s">
        <v>94</v>
      </c>
      <c r="EC110" t="s">
        <v>94</v>
      </c>
      <c r="ED110" t="s">
        <v>94</v>
      </c>
      <c r="EE110" t="s">
        <v>89</v>
      </c>
      <c r="EF110" t="s">
        <v>425</v>
      </c>
      <c r="EG110" t="s">
        <v>105</v>
      </c>
      <c r="EJ110" t="s">
        <v>526</v>
      </c>
      <c r="EK110" t="b">
        <v>0</v>
      </c>
      <c r="EL110" t="b">
        <v>0</v>
      </c>
      <c r="EM110" t="b">
        <v>0</v>
      </c>
      <c r="EO110" t="s">
        <v>177</v>
      </c>
      <c r="EP110" t="s">
        <v>1644</v>
      </c>
    </row>
    <row r="111" spans="3:146" ht="15">
      <c r="C111" s="82">
        <v>23</v>
      </c>
      <c r="D111" s="5"/>
      <c r="E111" s="4">
        <v>1</v>
      </c>
      <c r="F111" s="5">
        <v>0.24</v>
      </c>
      <c r="G111" s="5" t="s">
        <v>1246</v>
      </c>
      <c r="H111" s="4" t="s">
        <v>1645</v>
      </c>
      <c r="I111" s="81" t="s">
        <v>164</v>
      </c>
      <c r="J111" s="21"/>
      <c r="K111" s="22" t="s">
        <v>1565</v>
      </c>
      <c r="L111" s="84" t="s">
        <v>1414</v>
      </c>
      <c r="M111" s="23" t="s">
        <v>447</v>
      </c>
      <c r="N111" s="23">
        <v>43729</v>
      </c>
      <c r="O111" s="24" t="s">
        <v>102</v>
      </c>
      <c r="P111" s="24" t="s">
        <v>179</v>
      </c>
      <c r="Q111" s="24">
        <v>1</v>
      </c>
      <c r="R111" s="24">
        <v>0.24</v>
      </c>
      <c r="S111" t="s">
        <v>528</v>
      </c>
      <c r="T111" t="s">
        <v>1646</v>
      </c>
      <c r="U111" s="2" t="s">
        <v>163</v>
      </c>
      <c r="V111">
        <v>43729.790694444448</v>
      </c>
      <c r="W111" s="2" t="s">
        <v>444</v>
      </c>
      <c r="X111">
        <v>43733.444074074076</v>
      </c>
      <c r="AB111" t="s">
        <v>9</v>
      </c>
      <c r="AC111" t="s">
        <v>1566</v>
      </c>
      <c r="AD111" t="s">
        <v>209</v>
      </c>
      <c r="AE111" t="s">
        <v>1647</v>
      </c>
      <c r="AF111" t="s">
        <v>1647</v>
      </c>
      <c r="AG111" t="s">
        <v>183</v>
      </c>
      <c r="AH111" t="s">
        <v>1567</v>
      </c>
      <c r="AI111" t="s">
        <v>1567</v>
      </c>
      <c r="AJ111" t="s">
        <v>601</v>
      </c>
      <c r="AK111" t="s">
        <v>602</v>
      </c>
      <c r="AL111" t="s">
        <v>1568</v>
      </c>
      <c r="AO111" t="s">
        <v>1569</v>
      </c>
      <c r="AP111" t="s">
        <v>1570</v>
      </c>
      <c r="AQ111" t="s">
        <v>1569</v>
      </c>
      <c r="AR111">
        <v>63074</v>
      </c>
      <c r="AS111">
        <v>0</v>
      </c>
      <c r="AT111" t="s">
        <v>1571</v>
      </c>
      <c r="AU111" t="s">
        <v>10</v>
      </c>
      <c r="AV111" t="s">
        <v>1572</v>
      </c>
      <c r="AW111" t="s">
        <v>1572</v>
      </c>
      <c r="AX111" t="s">
        <v>1573</v>
      </c>
      <c r="AY111" s="2" t="s">
        <v>1574</v>
      </c>
      <c r="BA111" t="s">
        <v>1575</v>
      </c>
      <c r="BB111" t="s">
        <v>1576</v>
      </c>
      <c r="BC111" t="s">
        <v>1575</v>
      </c>
      <c r="BD111">
        <v>510890</v>
      </c>
      <c r="BE111" t="s">
        <v>1648</v>
      </c>
      <c r="BF111" t="s">
        <v>1577</v>
      </c>
      <c r="BG111" t="b">
        <v>0</v>
      </c>
      <c r="BH111" s="6" t="s">
        <v>1578</v>
      </c>
      <c r="BI111" t="s">
        <v>1579</v>
      </c>
      <c r="BJ111">
        <v>4453163191</v>
      </c>
      <c r="BK111" t="s">
        <v>162</v>
      </c>
      <c r="BL111" t="s">
        <v>161</v>
      </c>
      <c r="BM111" s="2"/>
      <c r="BO111" t="s">
        <v>89</v>
      </c>
      <c r="BP111">
        <v>6211120090</v>
      </c>
      <c r="BR111" t="s">
        <v>180</v>
      </c>
      <c r="BS111" t="s">
        <v>103</v>
      </c>
      <c r="BU111">
        <v>0</v>
      </c>
      <c r="BV111">
        <v>0</v>
      </c>
      <c r="BW111">
        <v>0</v>
      </c>
      <c r="BX111">
        <v>0</v>
      </c>
      <c r="BY111">
        <v>0</v>
      </c>
      <c r="BZ111">
        <v>0</v>
      </c>
      <c r="CA111">
        <v>0</v>
      </c>
      <c r="CF111" s="2"/>
      <c r="CH111" s="2"/>
      <c r="CJ111">
        <v>5.31420199501352E+17</v>
      </c>
      <c r="CK111" t="s">
        <v>445</v>
      </c>
      <c r="CL111">
        <v>43729.562858796293</v>
      </c>
      <c r="CO111" t="s">
        <v>11</v>
      </c>
      <c r="CP111">
        <v>165.47</v>
      </c>
      <c r="CQ111" t="s">
        <v>11</v>
      </c>
      <c r="CR111">
        <v>165.47</v>
      </c>
      <c r="CV111" t="s">
        <v>190</v>
      </c>
      <c r="CW111" t="s">
        <v>12</v>
      </c>
      <c r="CX111" t="s">
        <v>12</v>
      </c>
      <c r="CY111" t="s">
        <v>12</v>
      </c>
      <c r="DA111" t="s">
        <v>104</v>
      </c>
      <c r="DD111" t="s">
        <v>93</v>
      </c>
      <c r="DQ111" t="s">
        <v>94</v>
      </c>
      <c r="DR111" t="s">
        <v>94</v>
      </c>
      <c r="DS111" t="s">
        <v>94</v>
      </c>
      <c r="DT111" t="s">
        <v>94</v>
      </c>
      <c r="DU111" t="s">
        <v>94</v>
      </c>
      <c r="DV111" t="s">
        <v>94</v>
      </c>
      <c r="DW111" t="s">
        <v>94</v>
      </c>
      <c r="DX111" s="2" t="s">
        <v>94</v>
      </c>
      <c r="DY111" t="s">
        <v>94</v>
      </c>
      <c r="DZ111" t="s">
        <v>94</v>
      </c>
      <c r="EA111" t="s">
        <v>94</v>
      </c>
      <c r="EB111" t="s">
        <v>94</v>
      </c>
      <c r="EC111" t="s">
        <v>94</v>
      </c>
      <c r="ED111" t="s">
        <v>94</v>
      </c>
      <c r="EE111" t="s">
        <v>89</v>
      </c>
      <c r="EF111" t="s">
        <v>425</v>
      </c>
      <c r="EG111" t="s">
        <v>105</v>
      </c>
      <c r="EJ111" t="s">
        <v>166</v>
      </c>
      <c r="EK111" t="b">
        <v>0</v>
      </c>
      <c r="EL111" t="b">
        <v>0</v>
      </c>
      <c r="EM111" t="b">
        <v>0</v>
      </c>
      <c r="EO111" t="s">
        <v>177</v>
      </c>
      <c r="EP111" t="s">
        <v>1649</v>
      </c>
    </row>
    <row r="112" spans="3:146" ht="15">
      <c r="C112" s="82">
        <v>1213</v>
      </c>
      <c r="D112" s="5"/>
      <c r="E112" s="4">
        <v>1</v>
      </c>
      <c r="F112" s="5">
        <v>3.26</v>
      </c>
      <c r="G112" s="5" t="s">
        <v>1650</v>
      </c>
      <c r="H112" s="4" t="s">
        <v>1651</v>
      </c>
      <c r="I112" s="81" t="s">
        <v>920</v>
      </c>
      <c r="J112" s="21"/>
      <c r="K112" s="22" t="s">
        <v>1550</v>
      </c>
      <c r="L112" s="84" t="s">
        <v>1551</v>
      </c>
      <c r="M112" s="23" t="s">
        <v>905</v>
      </c>
      <c r="N112" s="23">
        <v>43736</v>
      </c>
      <c r="O112" s="24" t="s">
        <v>102</v>
      </c>
      <c r="P112" s="24" t="s">
        <v>181</v>
      </c>
      <c r="Q112" s="24">
        <v>1</v>
      </c>
      <c r="R112" s="24">
        <v>3.26</v>
      </c>
      <c r="S112" t="s">
        <v>528</v>
      </c>
      <c r="T112" t="s">
        <v>1652</v>
      </c>
      <c r="U112" s="2" t="s">
        <v>163</v>
      </c>
      <c r="V112">
        <v>43736.782164351855</v>
      </c>
      <c r="W112" s="2" t="s">
        <v>444</v>
      </c>
      <c r="X112">
        <v>43736.821145833332</v>
      </c>
      <c r="AB112" t="s">
        <v>9</v>
      </c>
      <c r="AC112" t="s">
        <v>1552</v>
      </c>
      <c r="AD112" t="s">
        <v>819</v>
      </c>
      <c r="AE112" t="s">
        <v>1653</v>
      </c>
      <c r="AF112" t="s">
        <v>1653</v>
      </c>
      <c r="AG112" t="s">
        <v>183</v>
      </c>
      <c r="AH112" t="s">
        <v>1553</v>
      </c>
      <c r="AI112" t="s">
        <v>1553</v>
      </c>
      <c r="AJ112" t="s">
        <v>776</v>
      </c>
      <c r="AK112" t="s">
        <v>777</v>
      </c>
      <c r="AL112" t="s">
        <v>1554</v>
      </c>
      <c r="AO112" t="s">
        <v>1555</v>
      </c>
      <c r="AP112" t="s">
        <v>1556</v>
      </c>
      <c r="AQ112" t="s">
        <v>1555</v>
      </c>
      <c r="AR112">
        <v>22529</v>
      </c>
      <c r="AS112">
        <v>-494073445660</v>
      </c>
      <c r="AT112" t="s">
        <v>1557</v>
      </c>
      <c r="AU112" t="s">
        <v>10</v>
      </c>
      <c r="AV112" t="s">
        <v>1558</v>
      </c>
      <c r="AW112" t="s">
        <v>1558</v>
      </c>
      <c r="AX112" t="s">
        <v>1559</v>
      </c>
      <c r="AY112" s="2" t="s">
        <v>1560</v>
      </c>
      <c r="BA112" t="s">
        <v>1561</v>
      </c>
      <c r="BB112" t="s">
        <v>832</v>
      </c>
      <c r="BC112" t="s">
        <v>188</v>
      </c>
      <c r="BD112">
        <v>519060</v>
      </c>
      <c r="BE112" t="s">
        <v>1654</v>
      </c>
      <c r="BF112" t="s">
        <v>1562</v>
      </c>
      <c r="BG112" t="b">
        <v>0</v>
      </c>
      <c r="BH112" s="6" t="s">
        <v>1563</v>
      </c>
      <c r="BI112" t="s">
        <v>1564</v>
      </c>
      <c r="BJ112">
        <v>4453163191</v>
      </c>
      <c r="BK112" t="s">
        <v>162</v>
      </c>
      <c r="BL112" t="s">
        <v>161</v>
      </c>
      <c r="BM112" s="2"/>
      <c r="BO112" t="s">
        <v>89</v>
      </c>
      <c r="BP112">
        <v>85340010</v>
      </c>
      <c r="BR112" t="s">
        <v>180</v>
      </c>
      <c r="BS112" t="s">
        <v>103</v>
      </c>
      <c r="BU112">
        <v>0</v>
      </c>
      <c r="BV112">
        <v>637.04</v>
      </c>
      <c r="BW112">
        <v>0</v>
      </c>
      <c r="BX112">
        <v>0</v>
      </c>
      <c r="BY112">
        <v>0</v>
      </c>
      <c r="BZ112">
        <v>0</v>
      </c>
      <c r="CA112">
        <v>637.04</v>
      </c>
      <c r="CF112" s="2"/>
      <c r="CH112" s="2"/>
      <c r="CJ112">
        <v>5.3142019950139398E+17</v>
      </c>
      <c r="CK112" t="s">
        <v>1509</v>
      </c>
      <c r="CL112">
        <v>43736.375902777778</v>
      </c>
      <c r="CO112" t="s">
        <v>11</v>
      </c>
      <c r="CP112">
        <v>4900.3100000000004</v>
      </c>
      <c r="CQ112" t="s">
        <v>11</v>
      </c>
      <c r="CR112">
        <v>4900.3100000000004</v>
      </c>
      <c r="CV112" t="s">
        <v>190</v>
      </c>
      <c r="CW112" t="s">
        <v>12</v>
      </c>
      <c r="CX112" t="s">
        <v>12</v>
      </c>
      <c r="CY112" t="s">
        <v>12</v>
      </c>
      <c r="DA112" t="s">
        <v>104</v>
      </c>
      <c r="DD112" t="s">
        <v>93</v>
      </c>
      <c r="DQ112" t="s">
        <v>94</v>
      </c>
      <c r="DR112" t="s">
        <v>94</v>
      </c>
      <c r="DS112" t="s">
        <v>94</v>
      </c>
      <c r="DT112" t="s">
        <v>94</v>
      </c>
      <c r="DU112" t="s">
        <v>94</v>
      </c>
      <c r="DV112" t="s">
        <v>94</v>
      </c>
      <c r="DW112" t="s">
        <v>94</v>
      </c>
      <c r="DX112" s="2" t="s">
        <v>94</v>
      </c>
      <c r="DY112" t="s">
        <v>94</v>
      </c>
      <c r="DZ112" t="s">
        <v>94</v>
      </c>
      <c r="EA112" t="s">
        <v>94</v>
      </c>
      <c r="EB112" t="s">
        <v>94</v>
      </c>
      <c r="EC112" t="s">
        <v>94</v>
      </c>
      <c r="ED112" t="s">
        <v>94</v>
      </c>
      <c r="EE112" t="s">
        <v>89</v>
      </c>
      <c r="EF112" t="s">
        <v>425</v>
      </c>
      <c r="EG112" t="s">
        <v>105</v>
      </c>
      <c r="EJ112" t="s">
        <v>166</v>
      </c>
      <c r="EK112" t="b">
        <v>0</v>
      </c>
      <c r="EL112" t="b">
        <v>0</v>
      </c>
      <c r="EM112" t="b">
        <v>0</v>
      </c>
      <c r="EO112" t="s">
        <v>177</v>
      </c>
      <c r="EP112" t="s">
        <v>1655</v>
      </c>
    </row>
    <row r="113" spans="3:146" ht="15">
      <c r="C113" s="82">
        <v>133</v>
      </c>
      <c r="D113" s="5"/>
      <c r="E113" s="4">
        <v>1</v>
      </c>
      <c r="F113" s="5">
        <v>1.1499999999999999</v>
      </c>
      <c r="G113" s="5" t="s">
        <v>959</v>
      </c>
      <c r="H113" s="4" t="s">
        <v>1656</v>
      </c>
      <c r="I113" s="81" t="s">
        <v>920</v>
      </c>
      <c r="J113" s="21"/>
      <c r="K113" s="22" t="s">
        <v>1530</v>
      </c>
      <c r="L113" s="84" t="s">
        <v>1620</v>
      </c>
      <c r="M113" s="23" t="s">
        <v>905</v>
      </c>
      <c r="N113" s="23">
        <v>43728</v>
      </c>
      <c r="O113" s="24" t="s">
        <v>102</v>
      </c>
      <c r="P113" s="24" t="s">
        <v>179</v>
      </c>
      <c r="Q113" s="24">
        <v>1</v>
      </c>
      <c r="R113" s="24">
        <v>1.1499999999999999</v>
      </c>
      <c r="S113" t="s">
        <v>319</v>
      </c>
      <c r="T113" t="s">
        <v>1657</v>
      </c>
      <c r="U113" s="2" t="s">
        <v>163</v>
      </c>
      <c r="V113">
        <v>43728.840115740742</v>
      </c>
      <c r="W113" s="2" t="s">
        <v>444</v>
      </c>
      <c r="X113">
        <v>43734.523020833331</v>
      </c>
      <c r="AB113" t="s">
        <v>9</v>
      </c>
      <c r="AC113" t="s">
        <v>1531</v>
      </c>
      <c r="AD113" t="s">
        <v>191</v>
      </c>
      <c r="AE113" t="s">
        <v>183</v>
      </c>
      <c r="AF113" t="s">
        <v>183</v>
      </c>
      <c r="AG113" t="s">
        <v>1658</v>
      </c>
      <c r="AH113" t="s">
        <v>1532</v>
      </c>
      <c r="AI113" t="s">
        <v>1532</v>
      </c>
      <c r="AJ113" t="s">
        <v>1533</v>
      </c>
      <c r="AK113" t="s">
        <v>1534</v>
      </c>
      <c r="AL113" t="s">
        <v>1535</v>
      </c>
      <c r="AM113" t="s">
        <v>1536</v>
      </c>
      <c r="AO113" t="s">
        <v>1537</v>
      </c>
      <c r="AP113" t="s">
        <v>1538</v>
      </c>
      <c r="AQ113" t="s">
        <v>1539</v>
      </c>
      <c r="AR113">
        <v>1050004</v>
      </c>
      <c r="AS113">
        <v>7035133373</v>
      </c>
      <c r="AT113" t="s">
        <v>1540</v>
      </c>
      <c r="AU113" t="s">
        <v>10</v>
      </c>
      <c r="AV113" t="s">
        <v>1541</v>
      </c>
      <c r="AW113" t="s">
        <v>1541</v>
      </c>
      <c r="AX113" t="s">
        <v>1542</v>
      </c>
      <c r="AY113" s="2" t="s">
        <v>1543</v>
      </c>
      <c r="AZ113" t="s">
        <v>1544</v>
      </c>
      <c r="BA113" t="s">
        <v>371</v>
      </c>
      <c r="BB113" t="s">
        <v>192</v>
      </c>
      <c r="BC113" t="s">
        <v>188</v>
      </c>
      <c r="BD113">
        <v>523079</v>
      </c>
      <c r="BE113" t="s">
        <v>1545</v>
      </c>
      <c r="BF113" t="s">
        <v>1546</v>
      </c>
      <c r="BG113" t="b">
        <v>0</v>
      </c>
      <c r="BH113" s="6" t="s">
        <v>1547</v>
      </c>
      <c r="BI113" t="s">
        <v>1548</v>
      </c>
      <c r="BJ113">
        <v>4453163191</v>
      </c>
      <c r="BK113" t="s">
        <v>162</v>
      </c>
      <c r="BL113" t="s">
        <v>161</v>
      </c>
      <c r="BM113" s="2"/>
      <c r="BN113" t="s">
        <v>1549</v>
      </c>
      <c r="BO113" t="s">
        <v>89</v>
      </c>
      <c r="BP113">
        <v>3926909090</v>
      </c>
      <c r="BR113" t="s">
        <v>180</v>
      </c>
      <c r="BS113" t="s">
        <v>103</v>
      </c>
      <c r="BU113">
        <v>0</v>
      </c>
      <c r="BV113">
        <v>0</v>
      </c>
      <c r="BW113">
        <v>0</v>
      </c>
      <c r="BX113">
        <v>0</v>
      </c>
      <c r="BY113">
        <v>0</v>
      </c>
      <c r="BZ113">
        <v>0</v>
      </c>
      <c r="CA113">
        <v>0</v>
      </c>
      <c r="CF113" s="2"/>
      <c r="CH113" s="2"/>
      <c r="CJ113">
        <v>5.3142019950134598E+17</v>
      </c>
      <c r="CK113" t="s">
        <v>500</v>
      </c>
      <c r="CL113">
        <v>43728.564953703702</v>
      </c>
      <c r="CO113" t="s">
        <v>11</v>
      </c>
      <c r="CP113">
        <v>196.87</v>
      </c>
      <c r="CQ113" t="s">
        <v>11</v>
      </c>
      <c r="CR113">
        <v>196.87</v>
      </c>
      <c r="CV113" t="s">
        <v>525</v>
      </c>
      <c r="CW113" t="s">
        <v>12</v>
      </c>
      <c r="CX113" t="s">
        <v>12</v>
      </c>
      <c r="CY113" t="s">
        <v>12</v>
      </c>
      <c r="DA113" t="s">
        <v>104</v>
      </c>
      <c r="DD113" t="s">
        <v>93</v>
      </c>
      <c r="DQ113" t="s">
        <v>94</v>
      </c>
      <c r="DR113" t="s">
        <v>94</v>
      </c>
      <c r="DS113" t="s">
        <v>94</v>
      </c>
      <c r="DT113" t="s">
        <v>94</v>
      </c>
      <c r="DU113" t="s">
        <v>94</v>
      </c>
      <c r="DV113" t="s">
        <v>94</v>
      </c>
      <c r="DW113" t="s">
        <v>94</v>
      </c>
      <c r="DX113" s="2" t="s">
        <v>94</v>
      </c>
      <c r="DY113" t="s">
        <v>94</v>
      </c>
      <c r="DZ113" t="s">
        <v>94</v>
      </c>
      <c r="EA113" t="s">
        <v>94</v>
      </c>
      <c r="EB113" t="s">
        <v>94</v>
      </c>
      <c r="EC113" t="s">
        <v>94</v>
      </c>
      <c r="ED113" t="s">
        <v>94</v>
      </c>
      <c r="EE113" t="s">
        <v>89</v>
      </c>
      <c r="EF113" t="s">
        <v>425</v>
      </c>
      <c r="EG113" t="s">
        <v>105</v>
      </c>
      <c r="EJ113" t="s">
        <v>166</v>
      </c>
      <c r="EK113" t="b">
        <v>0</v>
      </c>
      <c r="EL113" t="b">
        <v>0</v>
      </c>
      <c r="EM113" t="b">
        <v>0</v>
      </c>
      <c r="EO113" t="s">
        <v>177</v>
      </c>
      <c r="EP113" t="s">
        <v>1659</v>
      </c>
    </row>
    <row r="114" spans="3:146" ht="15">
      <c r="C114" s="82" t="s">
        <v>1660</v>
      </c>
      <c r="D114" s="5"/>
      <c r="E114" s="4">
        <v>1</v>
      </c>
      <c r="F114" s="5">
        <v>5.7</v>
      </c>
      <c r="G114" s="5" t="s">
        <v>1206</v>
      </c>
      <c r="H114" s="4" t="s">
        <v>1661</v>
      </c>
      <c r="I114" s="81" t="s">
        <v>164</v>
      </c>
      <c r="J114" s="21"/>
      <c r="K114" s="22" t="s">
        <v>1599</v>
      </c>
      <c r="L114" s="84" t="s">
        <v>1600</v>
      </c>
      <c r="M114" s="23" t="s">
        <v>164</v>
      </c>
      <c r="N114" s="23">
        <v>43731</v>
      </c>
      <c r="O114" s="24" t="s">
        <v>102</v>
      </c>
      <c r="P114" s="24" t="s">
        <v>179</v>
      </c>
      <c r="Q114" s="24">
        <v>1</v>
      </c>
      <c r="R114" s="24">
        <v>5.7</v>
      </c>
      <c r="S114" t="s">
        <v>11</v>
      </c>
      <c r="T114" t="s">
        <v>1623</v>
      </c>
      <c r="U114" s="2" t="s">
        <v>163</v>
      </c>
      <c r="V114">
        <v>43731.785856481481</v>
      </c>
      <c r="W114" s="2" t="s">
        <v>444</v>
      </c>
      <c r="X114">
        <v>43734.526400462964</v>
      </c>
      <c r="AB114" t="s">
        <v>9</v>
      </c>
      <c r="AC114" t="s">
        <v>1601</v>
      </c>
      <c r="AD114" t="s">
        <v>1602</v>
      </c>
      <c r="AE114" t="s">
        <v>1662</v>
      </c>
      <c r="AF114" t="s">
        <v>1662</v>
      </c>
      <c r="AG114" t="s">
        <v>183</v>
      </c>
      <c r="AH114" t="s">
        <v>1603</v>
      </c>
      <c r="AI114" t="s">
        <v>1603</v>
      </c>
      <c r="AJ114" t="s">
        <v>338</v>
      </c>
      <c r="AK114" t="s">
        <v>339</v>
      </c>
      <c r="AL114" t="s">
        <v>1604</v>
      </c>
      <c r="AM114" t="s">
        <v>1605</v>
      </c>
      <c r="AN114" t="s">
        <v>1606</v>
      </c>
      <c r="AO114" t="s">
        <v>1607</v>
      </c>
      <c r="AP114" t="s">
        <v>1608</v>
      </c>
      <c r="AR114">
        <v>15610</v>
      </c>
      <c r="AS114">
        <v>17563777</v>
      </c>
      <c r="AT114" t="s">
        <v>1609</v>
      </c>
      <c r="AU114" t="s">
        <v>10</v>
      </c>
      <c r="AV114" t="s">
        <v>1610</v>
      </c>
      <c r="AW114" t="s">
        <v>1611</v>
      </c>
      <c r="AX114" t="s">
        <v>1612</v>
      </c>
      <c r="AY114" s="2" t="s">
        <v>1613</v>
      </c>
      <c r="AZ114" t="s">
        <v>1614</v>
      </c>
      <c r="BA114" t="s">
        <v>1615</v>
      </c>
      <c r="BB114" t="s">
        <v>1616</v>
      </c>
      <c r="BC114" t="s">
        <v>188</v>
      </c>
      <c r="BD114">
        <v>528463</v>
      </c>
      <c r="BE114" t="s">
        <v>1663</v>
      </c>
      <c r="BF114" t="s">
        <v>1617</v>
      </c>
      <c r="BG114" t="b">
        <v>0</v>
      </c>
      <c r="BH114" s="6" t="s">
        <v>1618</v>
      </c>
      <c r="BI114" t="s">
        <v>1619</v>
      </c>
      <c r="BJ114">
        <v>4453163191</v>
      </c>
      <c r="BK114" t="s">
        <v>162</v>
      </c>
      <c r="BL114" t="s">
        <v>161</v>
      </c>
      <c r="BM114" s="2"/>
      <c r="BO114" t="s">
        <v>89</v>
      </c>
      <c r="BP114">
        <v>42021290</v>
      </c>
      <c r="BR114" t="s">
        <v>180</v>
      </c>
      <c r="BS114" t="s">
        <v>103</v>
      </c>
      <c r="BU114">
        <v>0</v>
      </c>
      <c r="BV114">
        <v>0</v>
      </c>
      <c r="BW114">
        <v>0</v>
      </c>
      <c r="BX114">
        <v>0</v>
      </c>
      <c r="BY114">
        <v>0</v>
      </c>
      <c r="BZ114">
        <v>0</v>
      </c>
      <c r="CA114">
        <v>0</v>
      </c>
      <c r="CF114" s="2"/>
      <c r="CH114" s="2"/>
      <c r="CJ114">
        <v>5.3142019950135699E+17</v>
      </c>
      <c r="CK114" t="s">
        <v>1509</v>
      </c>
      <c r="CL114">
        <v>43731.391435185185</v>
      </c>
      <c r="CO114" t="s">
        <v>11</v>
      </c>
      <c r="CP114">
        <v>300</v>
      </c>
      <c r="CQ114" t="s">
        <v>11</v>
      </c>
      <c r="CR114">
        <v>300</v>
      </c>
      <c r="CV114" t="s">
        <v>190</v>
      </c>
      <c r="CW114" t="s">
        <v>12</v>
      </c>
      <c r="CX114" t="s">
        <v>12</v>
      </c>
      <c r="CY114" t="s">
        <v>12</v>
      </c>
      <c r="DA114" t="s">
        <v>104</v>
      </c>
      <c r="DD114" t="s">
        <v>93</v>
      </c>
      <c r="DQ114" t="s">
        <v>94</v>
      </c>
      <c r="DR114" t="s">
        <v>94</v>
      </c>
      <c r="DS114" t="s">
        <v>94</v>
      </c>
      <c r="DT114" t="s">
        <v>94</v>
      </c>
      <c r="DU114" t="s">
        <v>94</v>
      </c>
      <c r="DV114" t="s">
        <v>94</v>
      </c>
      <c r="DW114" t="s">
        <v>94</v>
      </c>
      <c r="DX114" s="2" t="s">
        <v>94</v>
      </c>
      <c r="DY114" t="s">
        <v>94</v>
      </c>
      <c r="DZ114" t="s">
        <v>94</v>
      </c>
      <c r="EA114" t="s">
        <v>94</v>
      </c>
      <c r="EB114" t="s">
        <v>94</v>
      </c>
      <c r="EC114" t="s">
        <v>94</v>
      </c>
      <c r="ED114" t="s">
        <v>94</v>
      </c>
      <c r="EE114" t="s">
        <v>89</v>
      </c>
      <c r="EF114" t="s">
        <v>425</v>
      </c>
      <c r="EG114" t="s">
        <v>105</v>
      </c>
      <c r="EJ114" t="s">
        <v>166</v>
      </c>
      <c r="EK114" t="b">
        <v>0</v>
      </c>
      <c r="EL114" t="b">
        <v>0</v>
      </c>
      <c r="EM114" t="b">
        <v>0</v>
      </c>
      <c r="EO114" t="s">
        <v>177</v>
      </c>
      <c r="EP114" t="s">
        <v>1664</v>
      </c>
    </row>
    <row r="115" spans="3:146" ht="15">
      <c r="C115" s="82">
        <v>2</v>
      </c>
      <c r="D115" s="5"/>
      <c r="E115" s="4">
        <v>1</v>
      </c>
      <c r="F115" s="5">
        <v>125</v>
      </c>
      <c r="G115" s="5" t="s">
        <v>1686</v>
      </c>
      <c r="H115" s="4" t="s">
        <v>1687</v>
      </c>
      <c r="I115" s="81" t="s">
        <v>164</v>
      </c>
      <c r="J115" s="21"/>
      <c r="K115" s="22" t="s">
        <v>1684</v>
      </c>
      <c r="L115" s="84" t="s">
        <v>1666</v>
      </c>
      <c r="M115" s="23" t="s">
        <v>164</v>
      </c>
      <c r="N115" s="23">
        <v>43733</v>
      </c>
      <c r="O115" s="24" t="s">
        <v>102</v>
      </c>
      <c r="P115" s="24" t="s">
        <v>480</v>
      </c>
      <c r="Q115" s="24">
        <v>1</v>
      </c>
      <c r="R115" s="24">
        <v>125</v>
      </c>
      <c r="S115" t="s">
        <v>528</v>
      </c>
      <c r="T115">
        <v>217724.73</v>
      </c>
      <c r="U115" s="2"/>
      <c r="W115" s="2"/>
      <c r="AB115" t="s">
        <v>9</v>
      </c>
      <c r="AC115" t="s">
        <v>1667</v>
      </c>
      <c r="AD115" t="s">
        <v>182</v>
      </c>
      <c r="AE115" t="s">
        <v>183</v>
      </c>
      <c r="AF115" t="s">
        <v>183</v>
      </c>
      <c r="AG115">
        <v>3104096</v>
      </c>
      <c r="AH115" t="s">
        <v>1668</v>
      </c>
      <c r="AI115" t="s">
        <v>1668</v>
      </c>
      <c r="AJ115" t="s">
        <v>508</v>
      </c>
      <c r="AK115" t="s">
        <v>509</v>
      </c>
      <c r="AL115" t="s">
        <v>1669</v>
      </c>
      <c r="AM115" t="s">
        <v>1670</v>
      </c>
      <c r="AO115" t="s">
        <v>1671</v>
      </c>
      <c r="AP115" t="s">
        <v>1672</v>
      </c>
      <c r="AR115">
        <v>14110</v>
      </c>
      <c r="AS115">
        <v>330231595863</v>
      </c>
      <c r="AT115" t="s">
        <v>1673</v>
      </c>
      <c r="AU115" t="s">
        <v>10</v>
      </c>
      <c r="AV115" t="s">
        <v>1674</v>
      </c>
      <c r="AW115" t="s">
        <v>1675</v>
      </c>
      <c r="AX115" t="s">
        <v>1676</v>
      </c>
      <c r="AY115" s="2" t="s">
        <v>1677</v>
      </c>
      <c r="AZ115" t="s">
        <v>194</v>
      </c>
      <c r="BA115" t="s">
        <v>1678</v>
      </c>
      <c r="BB115" t="s">
        <v>272</v>
      </c>
      <c r="BC115" t="s">
        <v>188</v>
      </c>
      <c r="BD115">
        <v>518001</v>
      </c>
      <c r="BE115" t="s">
        <v>1679</v>
      </c>
      <c r="BF115" t="s">
        <v>1680</v>
      </c>
      <c r="BG115" t="b">
        <v>0</v>
      </c>
      <c r="BH115" s="6" t="s">
        <v>1681</v>
      </c>
      <c r="BI115" t="s">
        <v>1682</v>
      </c>
      <c r="BJ115">
        <v>4453163191</v>
      </c>
      <c r="BK115" t="s">
        <v>162</v>
      </c>
      <c r="BL115" t="s">
        <v>161</v>
      </c>
      <c r="BM115" s="2"/>
      <c r="BN115" t="s">
        <v>1683</v>
      </c>
      <c r="BR115" t="s">
        <v>180</v>
      </c>
      <c r="BS115" t="s">
        <v>103</v>
      </c>
      <c r="BU115">
        <v>0</v>
      </c>
      <c r="BV115">
        <v>0</v>
      </c>
      <c r="BW115">
        <v>0</v>
      </c>
      <c r="BX115">
        <v>0</v>
      </c>
      <c r="BY115">
        <v>0</v>
      </c>
      <c r="BZ115">
        <v>0</v>
      </c>
      <c r="CA115">
        <v>0</v>
      </c>
      <c r="CF115" s="2"/>
      <c r="CH115" s="2"/>
      <c r="CK115" t="s">
        <v>500</v>
      </c>
      <c r="CL115">
        <v>43733.565798611111</v>
      </c>
      <c r="CO115" t="s">
        <v>11</v>
      </c>
      <c r="CP115">
        <v>1715605.55</v>
      </c>
      <c r="CQ115" t="s">
        <v>11</v>
      </c>
      <c r="CR115">
        <v>1715605.55</v>
      </c>
      <c r="CV115" t="s">
        <v>525</v>
      </c>
      <c r="CW115" t="s">
        <v>12</v>
      </c>
      <c r="CX115" t="s">
        <v>12</v>
      </c>
      <c r="CY115" t="s">
        <v>12</v>
      </c>
      <c r="DA115" t="s">
        <v>104</v>
      </c>
      <c r="DD115" t="s">
        <v>93</v>
      </c>
      <c r="DQ115" t="s">
        <v>94</v>
      </c>
      <c r="DR115" t="s">
        <v>94</v>
      </c>
      <c r="DS115" t="s">
        <v>94</v>
      </c>
      <c r="DT115" t="s">
        <v>94</v>
      </c>
      <c r="DU115" t="s">
        <v>94</v>
      </c>
      <c r="DV115" t="s">
        <v>94</v>
      </c>
      <c r="DW115" t="s">
        <v>94</v>
      </c>
      <c r="DX115" s="2" t="s">
        <v>94</v>
      </c>
      <c r="DY115" t="s">
        <v>94</v>
      </c>
      <c r="DZ115" t="s">
        <v>94</v>
      </c>
      <c r="EA115" t="s">
        <v>94</v>
      </c>
      <c r="EB115" t="s">
        <v>94</v>
      </c>
      <c r="EC115" t="s">
        <v>94</v>
      </c>
      <c r="ED115" t="s">
        <v>94</v>
      </c>
      <c r="EE115" t="s">
        <v>89</v>
      </c>
      <c r="EF115" t="s">
        <v>425</v>
      </c>
      <c r="EG115" t="s">
        <v>105</v>
      </c>
      <c r="EJ115" t="s">
        <v>166</v>
      </c>
      <c r="EK115" t="b">
        <v>0</v>
      </c>
      <c r="EL115" t="b">
        <v>0</v>
      </c>
      <c r="EM115" t="b">
        <v>0</v>
      </c>
      <c r="EO115" t="s">
        <v>177</v>
      </c>
      <c r="EP115" t="s">
        <v>1688</v>
      </c>
    </row>
    <row r="116" spans="3:146">
      <c r="C116" s="4">
        <v>2</v>
      </c>
      <c r="D116" s="4"/>
      <c r="E116" s="4">
        <v>4</v>
      </c>
      <c r="F116" s="4">
        <v>235</v>
      </c>
      <c r="G116" s="5" t="s">
        <v>1686</v>
      </c>
      <c r="H116" s="4" t="s">
        <v>1687</v>
      </c>
      <c r="I116" s="4" t="s">
        <v>164</v>
      </c>
      <c r="J116" s="5"/>
      <c r="K116" s="22" t="s">
        <v>1685</v>
      </c>
      <c r="L116" s="84" t="s">
        <v>1666</v>
      </c>
      <c r="M116" s="23" t="s">
        <v>164</v>
      </c>
      <c r="N116" s="23">
        <v>43733</v>
      </c>
      <c r="O116" s="24" t="s">
        <v>102</v>
      </c>
      <c r="P116" s="24" t="s">
        <v>480</v>
      </c>
      <c r="Q116" s="24">
        <v>4</v>
      </c>
      <c r="R116" s="24">
        <v>235</v>
      </c>
      <c r="S116" t="s">
        <v>528</v>
      </c>
      <c r="T116">
        <v>217724.73</v>
      </c>
      <c r="U116" s="2"/>
      <c r="W116" s="2"/>
      <c r="AB116" t="s">
        <v>9</v>
      </c>
      <c r="AC116" t="s">
        <v>1667</v>
      </c>
      <c r="AD116" t="s">
        <v>182</v>
      </c>
      <c r="AE116" t="s">
        <v>183</v>
      </c>
      <c r="AF116" t="s">
        <v>183</v>
      </c>
      <c r="AG116">
        <v>3104096</v>
      </c>
      <c r="AH116" t="s">
        <v>1668</v>
      </c>
      <c r="AI116" t="s">
        <v>1668</v>
      </c>
      <c r="AJ116" t="s">
        <v>508</v>
      </c>
      <c r="AK116" t="s">
        <v>509</v>
      </c>
      <c r="AL116" t="s">
        <v>1669</v>
      </c>
      <c r="AM116" t="s">
        <v>1670</v>
      </c>
      <c r="AO116" t="s">
        <v>1671</v>
      </c>
      <c r="AP116" t="s">
        <v>1672</v>
      </c>
      <c r="AR116">
        <v>14110</v>
      </c>
      <c r="AS116">
        <v>330231595863</v>
      </c>
      <c r="AT116" t="s">
        <v>1673</v>
      </c>
      <c r="AU116" t="s">
        <v>10</v>
      </c>
      <c r="AV116" t="s">
        <v>1674</v>
      </c>
      <c r="AW116" t="s">
        <v>1675</v>
      </c>
      <c r="AX116" t="s">
        <v>1676</v>
      </c>
      <c r="AY116" t="s">
        <v>1677</v>
      </c>
      <c r="AZ116" t="s">
        <v>194</v>
      </c>
      <c r="BA116" t="s">
        <v>1678</v>
      </c>
      <c r="BB116" t="s">
        <v>272</v>
      </c>
      <c r="BC116" t="s">
        <v>188</v>
      </c>
      <c r="BD116">
        <v>518001</v>
      </c>
      <c r="BE116" t="s">
        <v>1679</v>
      </c>
      <c r="BF116" t="s">
        <v>1680</v>
      </c>
      <c r="BG116" t="b">
        <v>0</v>
      </c>
      <c r="BH116" s="6" t="s">
        <v>1681</v>
      </c>
      <c r="BI116" t="s">
        <v>1682</v>
      </c>
      <c r="BJ116">
        <v>4453163191</v>
      </c>
      <c r="BK116" t="s">
        <v>162</v>
      </c>
      <c r="BL116" t="s">
        <v>161</v>
      </c>
      <c r="BM116" s="2"/>
      <c r="BN116" t="s">
        <v>1683</v>
      </c>
      <c r="BR116" t="s">
        <v>180</v>
      </c>
      <c r="BS116" t="s">
        <v>103</v>
      </c>
      <c r="BU116">
        <v>0</v>
      </c>
      <c r="BV116">
        <v>0</v>
      </c>
      <c r="BW116">
        <v>0</v>
      </c>
      <c r="BX116">
        <v>0</v>
      </c>
      <c r="BY116">
        <v>0</v>
      </c>
      <c r="BZ116">
        <v>0</v>
      </c>
      <c r="CA116">
        <v>0</v>
      </c>
      <c r="CF116" s="2"/>
      <c r="CH116" s="2"/>
      <c r="CK116" t="s">
        <v>500</v>
      </c>
      <c r="CL116">
        <v>43733.565798611111</v>
      </c>
      <c r="CO116" t="s">
        <v>11</v>
      </c>
      <c r="CP116">
        <v>1715605.55</v>
      </c>
      <c r="CQ116" t="s">
        <v>11</v>
      </c>
      <c r="CR116">
        <v>1715605.55</v>
      </c>
      <c r="CV116" t="s">
        <v>525</v>
      </c>
      <c r="CW116" t="s">
        <v>12</v>
      </c>
      <c r="CX116" t="s">
        <v>12</v>
      </c>
      <c r="CY116" t="s">
        <v>12</v>
      </c>
      <c r="DA116" t="s">
        <v>104</v>
      </c>
      <c r="DD116" t="s">
        <v>93</v>
      </c>
      <c r="DQ116" t="s">
        <v>94</v>
      </c>
      <c r="DR116" t="s">
        <v>94</v>
      </c>
      <c r="DS116" t="s">
        <v>94</v>
      </c>
      <c r="DT116" t="s">
        <v>94</v>
      </c>
      <c r="DU116" t="s">
        <v>94</v>
      </c>
      <c r="DV116" t="s">
        <v>94</v>
      </c>
      <c r="DW116" t="s">
        <v>94</v>
      </c>
      <c r="DX116" s="2" t="s">
        <v>94</v>
      </c>
      <c r="DY116" t="s">
        <v>94</v>
      </c>
      <c r="DZ116" t="s">
        <v>94</v>
      </c>
      <c r="EA116" t="s">
        <v>94</v>
      </c>
      <c r="EB116" t="s">
        <v>94</v>
      </c>
      <c r="EC116" t="s">
        <v>94</v>
      </c>
      <c r="ED116" t="s">
        <v>94</v>
      </c>
      <c r="EE116" t="s">
        <v>89</v>
      </c>
      <c r="EF116" t="s">
        <v>425</v>
      </c>
      <c r="EG116" t="s">
        <v>105</v>
      </c>
      <c r="EJ116" t="s">
        <v>166</v>
      </c>
      <c r="EK116" t="b">
        <v>0</v>
      </c>
      <c r="EL116" t="b">
        <v>0</v>
      </c>
      <c r="EM116" t="b">
        <v>0</v>
      </c>
      <c r="EO116" t="s">
        <v>177</v>
      </c>
      <c r="EP116" t="s">
        <v>1688</v>
      </c>
    </row>
    <row r="117" spans="3:146" ht="15">
      <c r="C117" s="82">
        <v>2</v>
      </c>
      <c r="D117" s="5">
        <v>24</v>
      </c>
      <c r="E117" s="4">
        <v>2</v>
      </c>
      <c r="F117" s="5">
        <v>24</v>
      </c>
      <c r="G117" s="5" t="s">
        <v>1633</v>
      </c>
      <c r="H117" s="4" t="s">
        <v>1689</v>
      </c>
      <c r="I117" s="81" t="s">
        <v>164</v>
      </c>
      <c r="J117" s="21"/>
      <c r="K117" s="22" t="s">
        <v>1510</v>
      </c>
      <c r="L117" s="84" t="s">
        <v>1498</v>
      </c>
      <c r="M117" s="23" t="s">
        <v>447</v>
      </c>
      <c r="N117" s="23">
        <v>43734</v>
      </c>
      <c r="O117" s="24" t="s">
        <v>102</v>
      </c>
      <c r="P117" s="24" t="s">
        <v>480</v>
      </c>
      <c r="Q117" s="24">
        <v>2</v>
      </c>
      <c r="R117" s="24">
        <v>1</v>
      </c>
      <c r="S117" t="s">
        <v>528</v>
      </c>
      <c r="T117">
        <v>600</v>
      </c>
      <c r="U117" s="2"/>
      <c r="W117" s="2"/>
      <c r="AB117" t="s">
        <v>9</v>
      </c>
      <c r="AC117" t="s">
        <v>1511</v>
      </c>
      <c r="AD117" t="s">
        <v>209</v>
      </c>
      <c r="AE117" t="s">
        <v>183</v>
      </c>
      <c r="AF117" t="s">
        <v>183</v>
      </c>
      <c r="AG117">
        <v>3017808</v>
      </c>
      <c r="AH117" t="s">
        <v>1512</v>
      </c>
      <c r="AI117" t="s">
        <v>1512</v>
      </c>
      <c r="AJ117" t="s">
        <v>644</v>
      </c>
      <c r="AK117" t="s">
        <v>645</v>
      </c>
      <c r="AL117" t="s">
        <v>1513</v>
      </c>
      <c r="AM117" t="s">
        <v>1514</v>
      </c>
      <c r="AN117" t="s">
        <v>1515</v>
      </c>
      <c r="AO117" t="s">
        <v>1516</v>
      </c>
      <c r="AP117" t="s">
        <v>1517</v>
      </c>
      <c r="AR117">
        <v>8000</v>
      </c>
      <c r="AS117">
        <v>6044417802</v>
      </c>
      <c r="AT117" t="s">
        <v>1518</v>
      </c>
      <c r="AU117" t="s">
        <v>10</v>
      </c>
      <c r="AV117" t="s">
        <v>1519</v>
      </c>
      <c r="AW117" t="s">
        <v>1519</v>
      </c>
      <c r="AX117" t="s">
        <v>1520</v>
      </c>
      <c r="AY117" s="2" t="s">
        <v>1521</v>
      </c>
      <c r="AZ117" t="s">
        <v>1522</v>
      </c>
      <c r="BA117" t="s">
        <v>1523</v>
      </c>
      <c r="BB117" t="s">
        <v>1524</v>
      </c>
      <c r="BC117" t="s">
        <v>188</v>
      </c>
      <c r="BD117">
        <v>529000</v>
      </c>
      <c r="BE117" t="s">
        <v>1525</v>
      </c>
      <c r="BF117" t="s">
        <v>1526</v>
      </c>
      <c r="BG117" t="b">
        <v>0</v>
      </c>
      <c r="BH117" s="6" t="s">
        <v>1527</v>
      </c>
      <c r="BI117" t="s">
        <v>1528</v>
      </c>
      <c r="BJ117">
        <v>4453163191</v>
      </c>
      <c r="BK117" t="s">
        <v>162</v>
      </c>
      <c r="BL117" t="s">
        <v>161</v>
      </c>
      <c r="BM117" s="2"/>
      <c r="BN117" t="s">
        <v>1529</v>
      </c>
      <c r="BR117" t="s">
        <v>180</v>
      </c>
      <c r="BS117" t="s">
        <v>103</v>
      </c>
      <c r="BU117">
        <v>0</v>
      </c>
      <c r="BV117">
        <v>0</v>
      </c>
      <c r="BW117">
        <v>0</v>
      </c>
      <c r="BX117">
        <v>0</v>
      </c>
      <c r="BY117">
        <v>0</v>
      </c>
      <c r="BZ117">
        <v>0</v>
      </c>
      <c r="CA117">
        <v>0</v>
      </c>
      <c r="CF117" s="2"/>
      <c r="CH117" s="2"/>
      <c r="CK117" t="s">
        <v>1509</v>
      </c>
      <c r="CL117">
        <v>43734.448368055557</v>
      </c>
      <c r="CO117" t="s">
        <v>11</v>
      </c>
      <c r="CP117">
        <v>4727.82</v>
      </c>
      <c r="CQ117" t="s">
        <v>11</v>
      </c>
      <c r="CR117">
        <v>4727.82</v>
      </c>
      <c r="CV117" t="s">
        <v>525</v>
      </c>
      <c r="CW117" t="s">
        <v>12</v>
      </c>
      <c r="CX117" t="s">
        <v>12</v>
      </c>
      <c r="CY117" t="s">
        <v>12</v>
      </c>
      <c r="DA117" t="s">
        <v>104</v>
      </c>
      <c r="DD117" t="s">
        <v>93</v>
      </c>
      <c r="DQ117" t="s">
        <v>94</v>
      </c>
      <c r="DR117" t="s">
        <v>94</v>
      </c>
      <c r="DS117" t="s">
        <v>94</v>
      </c>
      <c r="DT117" t="s">
        <v>94</v>
      </c>
      <c r="DU117" t="s">
        <v>94</v>
      </c>
      <c r="DV117" t="s">
        <v>94</v>
      </c>
      <c r="DW117" t="s">
        <v>94</v>
      </c>
      <c r="DX117" s="2" t="s">
        <v>94</v>
      </c>
      <c r="DY117" t="s">
        <v>94</v>
      </c>
      <c r="DZ117" t="s">
        <v>94</v>
      </c>
      <c r="EA117" t="s">
        <v>94</v>
      </c>
      <c r="EB117" t="s">
        <v>94</v>
      </c>
      <c r="EC117" t="s">
        <v>94</v>
      </c>
      <c r="ED117" t="s">
        <v>94</v>
      </c>
      <c r="EE117" t="s">
        <v>89</v>
      </c>
      <c r="EF117" t="s">
        <v>425</v>
      </c>
      <c r="EG117" t="s">
        <v>105</v>
      </c>
      <c r="EJ117" t="s">
        <v>166</v>
      </c>
      <c r="EK117" t="b">
        <v>0</v>
      </c>
      <c r="EL117" t="b">
        <v>0</v>
      </c>
      <c r="EM117" t="b">
        <v>0</v>
      </c>
      <c r="EO117" t="s">
        <v>178</v>
      </c>
      <c r="EP117" t="s">
        <v>1690</v>
      </c>
    </row>
    <row r="118" spans="3:146" ht="15">
      <c r="C118" s="82">
        <v>2</v>
      </c>
      <c r="D118" s="5"/>
      <c r="E118" s="4">
        <v>4</v>
      </c>
      <c r="F118" s="5">
        <v>325</v>
      </c>
      <c r="G118" s="5" t="s">
        <v>1686</v>
      </c>
      <c r="H118" s="4" t="s">
        <v>1687</v>
      </c>
      <c r="I118" s="81" t="s">
        <v>164</v>
      </c>
      <c r="J118" s="21"/>
      <c r="K118" s="22" t="s">
        <v>1665</v>
      </c>
      <c r="L118" s="84" t="s">
        <v>1666</v>
      </c>
      <c r="M118" s="23" t="s">
        <v>164</v>
      </c>
      <c r="N118" s="23">
        <v>43733</v>
      </c>
      <c r="O118" s="24" t="s">
        <v>102</v>
      </c>
      <c r="P118" s="24" t="s">
        <v>480</v>
      </c>
      <c r="Q118" s="24">
        <v>4</v>
      </c>
      <c r="R118" s="24">
        <v>325</v>
      </c>
      <c r="S118" t="s">
        <v>528</v>
      </c>
      <c r="T118">
        <v>217724.73</v>
      </c>
      <c r="U118" s="2"/>
      <c r="W118" s="2"/>
      <c r="AB118" t="s">
        <v>9</v>
      </c>
      <c r="AC118" t="s">
        <v>1667</v>
      </c>
      <c r="AD118" t="s">
        <v>182</v>
      </c>
      <c r="AE118" t="s">
        <v>183</v>
      </c>
      <c r="AF118" t="s">
        <v>183</v>
      </c>
      <c r="AG118">
        <v>3104096</v>
      </c>
      <c r="AH118" t="s">
        <v>1668</v>
      </c>
      <c r="AI118" t="s">
        <v>1668</v>
      </c>
      <c r="AJ118" t="s">
        <v>508</v>
      </c>
      <c r="AK118" t="s">
        <v>509</v>
      </c>
      <c r="AL118" t="s">
        <v>1669</v>
      </c>
      <c r="AM118" t="s">
        <v>1670</v>
      </c>
      <c r="AO118" t="s">
        <v>1671</v>
      </c>
      <c r="AP118" t="s">
        <v>1672</v>
      </c>
      <c r="AR118">
        <v>14110</v>
      </c>
      <c r="AS118">
        <v>330231595863</v>
      </c>
      <c r="AT118" t="s">
        <v>1673</v>
      </c>
      <c r="AU118" t="s">
        <v>10</v>
      </c>
      <c r="AV118" t="s">
        <v>1674</v>
      </c>
      <c r="AW118" t="s">
        <v>1675</v>
      </c>
      <c r="AX118" t="s">
        <v>1676</v>
      </c>
      <c r="AY118" s="2" t="s">
        <v>1677</v>
      </c>
      <c r="AZ118" t="s">
        <v>194</v>
      </c>
      <c r="BA118" t="s">
        <v>1678</v>
      </c>
      <c r="BB118" t="s">
        <v>272</v>
      </c>
      <c r="BC118" t="s">
        <v>188</v>
      </c>
      <c r="BD118">
        <v>518001</v>
      </c>
      <c r="BE118" t="s">
        <v>1679</v>
      </c>
      <c r="BF118" t="s">
        <v>1680</v>
      </c>
      <c r="BG118" t="b">
        <v>0</v>
      </c>
      <c r="BH118" s="6" t="s">
        <v>1681</v>
      </c>
      <c r="BI118" t="s">
        <v>1682</v>
      </c>
      <c r="BJ118">
        <v>4453163191</v>
      </c>
      <c r="BK118" t="s">
        <v>162</v>
      </c>
      <c r="BL118" t="s">
        <v>161</v>
      </c>
      <c r="BM118" s="2"/>
      <c r="BN118" t="s">
        <v>1683</v>
      </c>
      <c r="BR118" t="s">
        <v>180</v>
      </c>
      <c r="BS118" t="s">
        <v>103</v>
      </c>
      <c r="BU118">
        <v>0</v>
      </c>
      <c r="BV118">
        <v>0</v>
      </c>
      <c r="BW118">
        <v>0</v>
      </c>
      <c r="BX118">
        <v>0</v>
      </c>
      <c r="BY118">
        <v>0</v>
      </c>
      <c r="BZ118">
        <v>0</v>
      </c>
      <c r="CA118">
        <v>0</v>
      </c>
      <c r="CF118" s="2"/>
      <c r="CH118" s="2"/>
      <c r="CK118" t="s">
        <v>500</v>
      </c>
      <c r="CL118">
        <v>43733.565798611111</v>
      </c>
      <c r="CO118" t="s">
        <v>11</v>
      </c>
      <c r="CP118">
        <v>1715605.55</v>
      </c>
      <c r="CQ118" t="s">
        <v>11</v>
      </c>
      <c r="CR118">
        <v>1715605.55</v>
      </c>
      <c r="CV118" t="s">
        <v>525</v>
      </c>
      <c r="CW118" t="s">
        <v>12</v>
      </c>
      <c r="CX118" t="s">
        <v>12</v>
      </c>
      <c r="CY118" t="s">
        <v>12</v>
      </c>
      <c r="DA118" t="s">
        <v>104</v>
      </c>
      <c r="DD118" t="s">
        <v>93</v>
      </c>
      <c r="DQ118" t="s">
        <v>94</v>
      </c>
      <c r="DR118" t="s">
        <v>94</v>
      </c>
      <c r="DS118" t="s">
        <v>94</v>
      </c>
      <c r="DT118" t="s">
        <v>94</v>
      </c>
      <c r="DU118" t="s">
        <v>94</v>
      </c>
      <c r="DV118" t="s">
        <v>94</v>
      </c>
      <c r="DW118" t="s">
        <v>94</v>
      </c>
      <c r="DX118" s="2" t="s">
        <v>94</v>
      </c>
      <c r="DY118" t="s">
        <v>94</v>
      </c>
      <c r="DZ118" t="s">
        <v>94</v>
      </c>
      <c r="EA118" t="s">
        <v>94</v>
      </c>
      <c r="EB118" t="s">
        <v>94</v>
      </c>
      <c r="EC118" t="s">
        <v>94</v>
      </c>
      <c r="ED118" t="s">
        <v>94</v>
      </c>
      <c r="EE118" t="s">
        <v>89</v>
      </c>
      <c r="EF118" t="s">
        <v>425</v>
      </c>
      <c r="EG118" t="s">
        <v>105</v>
      </c>
      <c r="EJ118" t="s">
        <v>166</v>
      </c>
      <c r="EK118" t="b">
        <v>0</v>
      </c>
      <c r="EL118" t="b">
        <v>0</v>
      </c>
      <c r="EM118" t="b">
        <v>0</v>
      </c>
      <c r="EO118" t="s">
        <v>177</v>
      </c>
      <c r="EP118" t="s">
        <v>1691</v>
      </c>
    </row>
    <row r="119" spans="3:146">
      <c r="C119" s="4">
        <v>2</v>
      </c>
      <c r="D119" s="4"/>
      <c r="E119" s="4">
        <v>1</v>
      </c>
      <c r="F119" s="4">
        <v>125</v>
      </c>
      <c r="G119" s="5" t="s">
        <v>1686</v>
      </c>
      <c r="H119" s="4" t="s">
        <v>1687</v>
      </c>
      <c r="I119" s="4" t="s">
        <v>164</v>
      </c>
      <c r="J119" s="5"/>
      <c r="K119" s="22" t="s">
        <v>1665</v>
      </c>
      <c r="L119" s="84" t="s">
        <v>1666</v>
      </c>
      <c r="M119" s="23" t="s">
        <v>164</v>
      </c>
      <c r="N119" s="23">
        <v>43733</v>
      </c>
      <c r="O119" s="24" t="s">
        <v>102</v>
      </c>
      <c r="P119" s="24" t="s">
        <v>480</v>
      </c>
      <c r="Q119" s="24">
        <v>1</v>
      </c>
      <c r="R119" s="24">
        <v>125</v>
      </c>
      <c r="S119" t="s">
        <v>528</v>
      </c>
      <c r="T119">
        <v>217724.73</v>
      </c>
      <c r="U119" s="2"/>
      <c r="W119" s="2"/>
      <c r="AB119" t="s">
        <v>9</v>
      </c>
      <c r="AC119" t="s">
        <v>1667</v>
      </c>
      <c r="AD119" t="s">
        <v>182</v>
      </c>
      <c r="AE119" t="s">
        <v>183</v>
      </c>
      <c r="AF119" t="s">
        <v>183</v>
      </c>
      <c r="AG119">
        <v>3104096</v>
      </c>
      <c r="AH119" t="s">
        <v>1668</v>
      </c>
      <c r="AI119" t="s">
        <v>1668</v>
      </c>
      <c r="AJ119" t="s">
        <v>508</v>
      </c>
      <c r="AK119" t="s">
        <v>509</v>
      </c>
      <c r="AL119" t="s">
        <v>1669</v>
      </c>
      <c r="AM119" t="s">
        <v>1670</v>
      </c>
      <c r="AO119" t="s">
        <v>1671</v>
      </c>
      <c r="AP119" t="s">
        <v>1672</v>
      </c>
      <c r="AR119">
        <v>14110</v>
      </c>
      <c r="AS119">
        <v>330231595863</v>
      </c>
      <c r="AT119" t="s">
        <v>1673</v>
      </c>
      <c r="AU119" t="s">
        <v>10</v>
      </c>
      <c r="AV119" t="s">
        <v>1674</v>
      </c>
      <c r="AW119" t="s">
        <v>1675</v>
      </c>
      <c r="AX119" t="s">
        <v>1676</v>
      </c>
      <c r="AY119" t="s">
        <v>1677</v>
      </c>
      <c r="AZ119" t="s">
        <v>194</v>
      </c>
      <c r="BA119" t="s">
        <v>1678</v>
      </c>
      <c r="BB119" t="s">
        <v>272</v>
      </c>
      <c r="BC119" t="s">
        <v>188</v>
      </c>
      <c r="BD119">
        <v>518001</v>
      </c>
      <c r="BE119" t="s">
        <v>1679</v>
      </c>
      <c r="BF119" t="s">
        <v>1680</v>
      </c>
      <c r="BG119" t="b">
        <v>0</v>
      </c>
      <c r="BH119" s="6" t="s">
        <v>1681</v>
      </c>
      <c r="BI119" t="s">
        <v>1682</v>
      </c>
      <c r="BJ119">
        <v>4453163191</v>
      </c>
      <c r="BK119" t="s">
        <v>162</v>
      </c>
      <c r="BL119" t="s">
        <v>161</v>
      </c>
      <c r="BM119" s="2"/>
      <c r="BN119" t="s">
        <v>1683</v>
      </c>
      <c r="BR119" t="s">
        <v>180</v>
      </c>
      <c r="BS119" t="s">
        <v>103</v>
      </c>
      <c r="BU119">
        <v>0</v>
      </c>
      <c r="BV119">
        <v>0</v>
      </c>
      <c r="BW119">
        <v>0</v>
      </c>
      <c r="BX119">
        <v>0</v>
      </c>
      <c r="BY119">
        <v>0</v>
      </c>
      <c r="BZ119">
        <v>0</v>
      </c>
      <c r="CA119">
        <v>0</v>
      </c>
      <c r="CF119" s="2"/>
      <c r="CH119" s="2"/>
      <c r="CK119" t="s">
        <v>500</v>
      </c>
      <c r="CL119">
        <v>43733.565798611111</v>
      </c>
      <c r="CO119" t="s">
        <v>11</v>
      </c>
      <c r="CP119">
        <v>1715605.55</v>
      </c>
      <c r="CQ119" t="s">
        <v>11</v>
      </c>
      <c r="CR119">
        <v>1715605.55</v>
      </c>
      <c r="CV119" t="s">
        <v>525</v>
      </c>
      <c r="CW119" t="s">
        <v>12</v>
      </c>
      <c r="CX119" t="s">
        <v>12</v>
      </c>
      <c r="CY119" t="s">
        <v>12</v>
      </c>
      <c r="DA119" t="s">
        <v>104</v>
      </c>
      <c r="DD119" t="s">
        <v>93</v>
      </c>
      <c r="DQ119" t="s">
        <v>94</v>
      </c>
      <c r="DR119" t="s">
        <v>94</v>
      </c>
      <c r="DS119" t="s">
        <v>94</v>
      </c>
      <c r="DT119" t="s">
        <v>94</v>
      </c>
      <c r="DU119" t="s">
        <v>94</v>
      </c>
      <c r="DV119" t="s">
        <v>94</v>
      </c>
      <c r="DW119" t="s">
        <v>94</v>
      </c>
      <c r="DX119" s="2" t="s">
        <v>94</v>
      </c>
      <c r="DY119" t="s">
        <v>94</v>
      </c>
      <c r="DZ119" t="s">
        <v>94</v>
      </c>
      <c r="EA119" t="s">
        <v>94</v>
      </c>
      <c r="EB119" t="s">
        <v>94</v>
      </c>
      <c r="EC119" t="s">
        <v>94</v>
      </c>
      <c r="ED119" t="s">
        <v>94</v>
      </c>
      <c r="EE119" t="s">
        <v>89</v>
      </c>
      <c r="EF119" t="s">
        <v>425</v>
      </c>
      <c r="EG119" t="s">
        <v>105</v>
      </c>
      <c r="EJ119" t="s">
        <v>166</v>
      </c>
      <c r="EK119" t="b">
        <v>0</v>
      </c>
      <c r="EL119" t="b">
        <v>0</v>
      </c>
      <c r="EM119" t="b">
        <v>0</v>
      </c>
      <c r="EO119" t="s">
        <v>177</v>
      </c>
      <c r="EP119" t="s">
        <v>1691</v>
      </c>
    </row>
    <row r="120" spans="3:146" ht="15">
      <c r="C120" s="82">
        <v>2</v>
      </c>
      <c r="D120" s="5"/>
      <c r="E120" s="4">
        <v>1</v>
      </c>
      <c r="F120" s="5">
        <v>125</v>
      </c>
      <c r="G120" s="5" t="s">
        <v>1686</v>
      </c>
      <c r="H120" s="4" t="s">
        <v>1687</v>
      </c>
      <c r="I120" s="81" t="s">
        <v>164</v>
      </c>
      <c r="J120" s="21"/>
      <c r="K120" s="22" t="s">
        <v>1684</v>
      </c>
      <c r="L120" s="84" t="s">
        <v>1666</v>
      </c>
      <c r="M120" s="23" t="s">
        <v>164</v>
      </c>
      <c r="N120" s="23">
        <v>43733</v>
      </c>
      <c r="O120" s="24" t="s">
        <v>102</v>
      </c>
      <c r="P120" s="24" t="s">
        <v>480</v>
      </c>
      <c r="Q120" s="24">
        <v>1</v>
      </c>
      <c r="R120" s="24">
        <v>125</v>
      </c>
      <c r="S120" t="s">
        <v>528</v>
      </c>
      <c r="T120">
        <v>217724.73</v>
      </c>
      <c r="U120" s="2"/>
      <c r="W120" s="2"/>
      <c r="AB120" t="s">
        <v>9</v>
      </c>
      <c r="AC120" t="s">
        <v>1667</v>
      </c>
      <c r="AD120" t="s">
        <v>182</v>
      </c>
      <c r="AE120" t="s">
        <v>183</v>
      </c>
      <c r="AF120" t="s">
        <v>183</v>
      </c>
      <c r="AG120">
        <v>3104096</v>
      </c>
      <c r="AH120" t="s">
        <v>1668</v>
      </c>
      <c r="AI120" t="s">
        <v>1668</v>
      </c>
      <c r="AJ120" t="s">
        <v>508</v>
      </c>
      <c r="AK120" t="s">
        <v>509</v>
      </c>
      <c r="AL120" t="s">
        <v>1669</v>
      </c>
      <c r="AM120" t="s">
        <v>1670</v>
      </c>
      <c r="AO120" t="s">
        <v>1671</v>
      </c>
      <c r="AP120" t="s">
        <v>1672</v>
      </c>
      <c r="AR120">
        <v>14110</v>
      </c>
      <c r="AS120">
        <v>330231595863</v>
      </c>
      <c r="AT120" t="s">
        <v>1673</v>
      </c>
      <c r="AU120" t="s">
        <v>10</v>
      </c>
      <c r="AV120" t="s">
        <v>1674</v>
      </c>
      <c r="AW120" t="s">
        <v>1675</v>
      </c>
      <c r="AX120" t="s">
        <v>1676</v>
      </c>
      <c r="AY120" s="2" t="s">
        <v>1677</v>
      </c>
      <c r="AZ120" t="s">
        <v>194</v>
      </c>
      <c r="BA120" t="s">
        <v>1678</v>
      </c>
      <c r="BB120" t="s">
        <v>272</v>
      </c>
      <c r="BC120" t="s">
        <v>188</v>
      </c>
      <c r="BD120">
        <v>518001</v>
      </c>
      <c r="BE120" t="s">
        <v>1679</v>
      </c>
      <c r="BF120" t="s">
        <v>1680</v>
      </c>
      <c r="BG120" t="b">
        <v>0</v>
      </c>
      <c r="BH120" s="6" t="s">
        <v>1681</v>
      </c>
      <c r="BI120" t="s">
        <v>1682</v>
      </c>
      <c r="BJ120">
        <v>4453163191</v>
      </c>
      <c r="BK120" t="s">
        <v>162</v>
      </c>
      <c r="BL120" t="s">
        <v>161</v>
      </c>
      <c r="BM120" s="2"/>
      <c r="BN120" t="s">
        <v>1683</v>
      </c>
      <c r="BR120" t="s">
        <v>180</v>
      </c>
      <c r="BS120" t="s">
        <v>103</v>
      </c>
      <c r="BU120">
        <v>0</v>
      </c>
      <c r="BV120">
        <v>0</v>
      </c>
      <c r="BW120">
        <v>0</v>
      </c>
      <c r="BX120">
        <v>0</v>
      </c>
      <c r="BY120">
        <v>0</v>
      </c>
      <c r="BZ120">
        <v>0</v>
      </c>
      <c r="CA120">
        <v>0</v>
      </c>
      <c r="CF120" s="2"/>
      <c r="CH120" s="2"/>
      <c r="CK120" t="s">
        <v>500</v>
      </c>
      <c r="CL120">
        <v>43733.565798611111</v>
      </c>
      <c r="CO120" t="s">
        <v>11</v>
      </c>
      <c r="CP120">
        <v>1715605.55</v>
      </c>
      <c r="CQ120" t="s">
        <v>11</v>
      </c>
      <c r="CR120">
        <v>1715605.55</v>
      </c>
      <c r="CV120" t="s">
        <v>525</v>
      </c>
      <c r="CW120" t="s">
        <v>12</v>
      </c>
      <c r="CX120" t="s">
        <v>12</v>
      </c>
      <c r="CY120" t="s">
        <v>12</v>
      </c>
      <c r="DA120" t="s">
        <v>104</v>
      </c>
      <c r="DD120" t="s">
        <v>93</v>
      </c>
      <c r="DQ120" t="s">
        <v>94</v>
      </c>
      <c r="DR120" t="s">
        <v>94</v>
      </c>
      <c r="DS120" t="s">
        <v>94</v>
      </c>
      <c r="DT120" t="s">
        <v>94</v>
      </c>
      <c r="DU120" t="s">
        <v>94</v>
      </c>
      <c r="DV120" t="s">
        <v>94</v>
      </c>
      <c r="DW120" t="s">
        <v>94</v>
      </c>
      <c r="DX120" s="2" t="s">
        <v>94</v>
      </c>
      <c r="DY120" t="s">
        <v>94</v>
      </c>
      <c r="DZ120" t="s">
        <v>94</v>
      </c>
      <c r="EA120" t="s">
        <v>94</v>
      </c>
      <c r="EB120" t="s">
        <v>94</v>
      </c>
      <c r="EC120" t="s">
        <v>94</v>
      </c>
      <c r="ED120" t="s">
        <v>94</v>
      </c>
      <c r="EE120" t="s">
        <v>89</v>
      </c>
      <c r="EF120" t="s">
        <v>425</v>
      </c>
      <c r="EG120" t="s">
        <v>105</v>
      </c>
      <c r="EJ120" t="s">
        <v>166</v>
      </c>
      <c r="EK120" t="b">
        <v>0</v>
      </c>
      <c r="EL120" t="b">
        <v>0</v>
      </c>
      <c r="EM120" t="b">
        <v>0</v>
      </c>
      <c r="EO120" t="s">
        <v>177</v>
      </c>
      <c r="EP120" t="s">
        <v>1692</v>
      </c>
    </row>
    <row r="121" spans="3:146">
      <c r="C121" s="4">
        <v>2</v>
      </c>
      <c r="D121" s="4"/>
      <c r="E121" s="4">
        <v>4</v>
      </c>
      <c r="F121" s="4">
        <v>325</v>
      </c>
      <c r="G121" s="5" t="s">
        <v>1686</v>
      </c>
      <c r="H121" s="4" t="s">
        <v>1687</v>
      </c>
      <c r="I121" s="4" t="s">
        <v>164</v>
      </c>
      <c r="J121" s="5"/>
      <c r="K121" s="22" t="s">
        <v>1685</v>
      </c>
      <c r="L121" s="84" t="s">
        <v>1666</v>
      </c>
      <c r="M121" s="23" t="s">
        <v>164</v>
      </c>
      <c r="N121" s="23">
        <v>43733</v>
      </c>
      <c r="O121" s="24" t="s">
        <v>102</v>
      </c>
      <c r="P121" s="24" t="s">
        <v>480</v>
      </c>
      <c r="Q121" s="24">
        <v>4</v>
      </c>
      <c r="R121" s="24">
        <v>325</v>
      </c>
      <c r="S121" t="s">
        <v>528</v>
      </c>
      <c r="T121">
        <v>217724.73</v>
      </c>
      <c r="U121" s="2"/>
      <c r="W121" s="2"/>
      <c r="AB121" t="s">
        <v>9</v>
      </c>
      <c r="AC121" t="s">
        <v>1667</v>
      </c>
      <c r="AD121" t="s">
        <v>182</v>
      </c>
      <c r="AE121" t="s">
        <v>183</v>
      </c>
      <c r="AF121" t="s">
        <v>183</v>
      </c>
      <c r="AG121">
        <v>3104096</v>
      </c>
      <c r="AH121" t="s">
        <v>1668</v>
      </c>
      <c r="AI121" t="s">
        <v>1668</v>
      </c>
      <c r="AJ121" t="s">
        <v>508</v>
      </c>
      <c r="AK121" t="s">
        <v>509</v>
      </c>
      <c r="AL121" t="s">
        <v>1669</v>
      </c>
      <c r="AM121" t="s">
        <v>1670</v>
      </c>
      <c r="AO121" t="s">
        <v>1671</v>
      </c>
      <c r="AP121" t="s">
        <v>1672</v>
      </c>
      <c r="AR121">
        <v>14110</v>
      </c>
      <c r="AS121">
        <v>330231595863</v>
      </c>
      <c r="AT121" t="s">
        <v>1673</v>
      </c>
      <c r="AU121" t="s">
        <v>10</v>
      </c>
      <c r="AV121" t="s">
        <v>1674</v>
      </c>
      <c r="AW121" t="s">
        <v>1675</v>
      </c>
      <c r="AX121" t="s">
        <v>1676</v>
      </c>
      <c r="AY121" t="s">
        <v>1677</v>
      </c>
      <c r="AZ121" t="s">
        <v>194</v>
      </c>
      <c r="BA121" t="s">
        <v>1678</v>
      </c>
      <c r="BB121" t="s">
        <v>272</v>
      </c>
      <c r="BC121" t="s">
        <v>188</v>
      </c>
      <c r="BD121">
        <v>518001</v>
      </c>
      <c r="BE121" t="s">
        <v>1679</v>
      </c>
      <c r="BF121" t="s">
        <v>1680</v>
      </c>
      <c r="BG121" t="b">
        <v>0</v>
      </c>
      <c r="BH121" s="6" t="s">
        <v>1681</v>
      </c>
      <c r="BI121" t="s">
        <v>1682</v>
      </c>
      <c r="BJ121">
        <v>4453163191</v>
      </c>
      <c r="BK121" t="s">
        <v>162</v>
      </c>
      <c r="BL121" t="s">
        <v>161</v>
      </c>
      <c r="BM121" s="2"/>
      <c r="BN121" t="s">
        <v>1683</v>
      </c>
      <c r="BR121" t="s">
        <v>180</v>
      </c>
      <c r="BS121" t="s">
        <v>103</v>
      </c>
      <c r="BU121">
        <v>0</v>
      </c>
      <c r="BV121">
        <v>0</v>
      </c>
      <c r="BW121">
        <v>0</v>
      </c>
      <c r="BX121">
        <v>0</v>
      </c>
      <c r="BY121">
        <v>0</v>
      </c>
      <c r="BZ121">
        <v>0</v>
      </c>
      <c r="CA121">
        <v>0</v>
      </c>
      <c r="CF121" s="2"/>
      <c r="CH121" s="2"/>
      <c r="CK121" t="s">
        <v>500</v>
      </c>
      <c r="CL121">
        <v>43733.565798611111</v>
      </c>
      <c r="CO121" t="s">
        <v>11</v>
      </c>
      <c r="CP121">
        <v>1715605.55</v>
      </c>
      <c r="CQ121" t="s">
        <v>11</v>
      </c>
      <c r="CR121">
        <v>1715605.55</v>
      </c>
      <c r="CV121" t="s">
        <v>525</v>
      </c>
      <c r="CW121" t="s">
        <v>12</v>
      </c>
      <c r="CX121" t="s">
        <v>12</v>
      </c>
      <c r="CY121" t="s">
        <v>12</v>
      </c>
      <c r="DA121" t="s">
        <v>104</v>
      </c>
      <c r="DD121" t="s">
        <v>93</v>
      </c>
      <c r="DQ121" t="s">
        <v>94</v>
      </c>
      <c r="DR121" t="s">
        <v>94</v>
      </c>
      <c r="DS121" t="s">
        <v>94</v>
      </c>
      <c r="DT121" t="s">
        <v>94</v>
      </c>
      <c r="DU121" t="s">
        <v>94</v>
      </c>
      <c r="DV121" t="s">
        <v>94</v>
      </c>
      <c r="DW121" t="s">
        <v>94</v>
      </c>
      <c r="DX121" s="2" t="s">
        <v>94</v>
      </c>
      <c r="DY121" t="s">
        <v>94</v>
      </c>
      <c r="DZ121" t="s">
        <v>94</v>
      </c>
      <c r="EA121" t="s">
        <v>94</v>
      </c>
      <c r="EB121" t="s">
        <v>94</v>
      </c>
      <c r="EC121" t="s">
        <v>94</v>
      </c>
      <c r="ED121" t="s">
        <v>94</v>
      </c>
      <c r="EE121" t="s">
        <v>89</v>
      </c>
      <c r="EF121" t="s">
        <v>425</v>
      </c>
      <c r="EG121" t="s">
        <v>105</v>
      </c>
      <c r="EJ121" t="s">
        <v>166</v>
      </c>
      <c r="EK121" t="b">
        <v>0</v>
      </c>
      <c r="EL121" t="b">
        <v>0</v>
      </c>
      <c r="EM121" t="b">
        <v>0</v>
      </c>
      <c r="EO121" t="s">
        <v>177</v>
      </c>
      <c r="EP121" t="s">
        <v>1692</v>
      </c>
    </row>
    <row r="122" spans="3:146" ht="15">
      <c r="C122" s="82">
        <v>2</v>
      </c>
      <c r="D122" s="5">
        <v>133</v>
      </c>
      <c r="E122" s="4">
        <v>1</v>
      </c>
      <c r="F122" s="5">
        <v>133</v>
      </c>
      <c r="G122" s="5" t="s">
        <v>1686</v>
      </c>
      <c r="H122" s="4" t="s">
        <v>1687</v>
      </c>
      <c r="I122" s="81" t="s">
        <v>164</v>
      </c>
      <c r="J122" s="21"/>
      <c r="K122" s="22" t="s">
        <v>1684</v>
      </c>
      <c r="L122" s="84" t="s">
        <v>1666</v>
      </c>
      <c r="M122" s="23" t="s">
        <v>164</v>
      </c>
      <c r="N122" s="23">
        <v>43733</v>
      </c>
      <c r="O122" s="24" t="s">
        <v>102</v>
      </c>
      <c r="P122" s="24" t="s">
        <v>480</v>
      </c>
      <c r="Q122" s="24">
        <v>1</v>
      </c>
      <c r="R122" s="24">
        <v>125</v>
      </c>
      <c r="S122" t="s">
        <v>528</v>
      </c>
      <c r="T122">
        <v>217724.73</v>
      </c>
      <c r="U122" s="2"/>
      <c r="W122" s="2"/>
      <c r="AB122" t="s">
        <v>9</v>
      </c>
      <c r="AC122" t="s">
        <v>1667</v>
      </c>
      <c r="AD122" t="s">
        <v>182</v>
      </c>
      <c r="AE122" t="s">
        <v>183</v>
      </c>
      <c r="AF122" t="s">
        <v>183</v>
      </c>
      <c r="AG122">
        <v>3104096</v>
      </c>
      <c r="AH122" t="s">
        <v>1668</v>
      </c>
      <c r="AI122" t="s">
        <v>1668</v>
      </c>
      <c r="AJ122" t="s">
        <v>508</v>
      </c>
      <c r="AK122" t="s">
        <v>509</v>
      </c>
      <c r="AL122" t="s">
        <v>1669</v>
      </c>
      <c r="AM122" t="s">
        <v>1670</v>
      </c>
      <c r="AO122" t="s">
        <v>1671</v>
      </c>
      <c r="AP122" t="s">
        <v>1672</v>
      </c>
      <c r="AR122">
        <v>14110</v>
      </c>
      <c r="AS122">
        <v>330231595863</v>
      </c>
      <c r="AT122" t="s">
        <v>1673</v>
      </c>
      <c r="AU122" t="s">
        <v>10</v>
      </c>
      <c r="AV122" t="s">
        <v>1674</v>
      </c>
      <c r="AW122" t="s">
        <v>1675</v>
      </c>
      <c r="AX122" t="s">
        <v>1676</v>
      </c>
      <c r="AY122" s="2" t="s">
        <v>1677</v>
      </c>
      <c r="AZ122" t="s">
        <v>194</v>
      </c>
      <c r="BA122" t="s">
        <v>1678</v>
      </c>
      <c r="BB122" t="s">
        <v>272</v>
      </c>
      <c r="BC122" t="s">
        <v>188</v>
      </c>
      <c r="BD122">
        <v>518001</v>
      </c>
      <c r="BE122" t="s">
        <v>1679</v>
      </c>
      <c r="BF122" t="s">
        <v>1680</v>
      </c>
      <c r="BG122" t="b">
        <v>0</v>
      </c>
      <c r="BH122" s="6" t="s">
        <v>1681</v>
      </c>
      <c r="BI122" t="s">
        <v>1682</v>
      </c>
      <c r="BJ122">
        <v>4453163191</v>
      </c>
      <c r="BK122" t="s">
        <v>162</v>
      </c>
      <c r="BL122" t="s">
        <v>161</v>
      </c>
      <c r="BM122" s="2"/>
      <c r="BN122" t="s">
        <v>1683</v>
      </c>
      <c r="BR122" t="s">
        <v>180</v>
      </c>
      <c r="BS122" t="s">
        <v>103</v>
      </c>
      <c r="BU122">
        <v>0</v>
      </c>
      <c r="BV122">
        <v>0</v>
      </c>
      <c r="BW122">
        <v>0</v>
      </c>
      <c r="BX122">
        <v>0</v>
      </c>
      <c r="BY122">
        <v>0</v>
      </c>
      <c r="BZ122">
        <v>0</v>
      </c>
      <c r="CA122">
        <v>0</v>
      </c>
      <c r="CF122" s="2"/>
      <c r="CH122" s="2"/>
      <c r="CK122" t="s">
        <v>500</v>
      </c>
      <c r="CL122">
        <v>43733.565798611111</v>
      </c>
      <c r="CO122" t="s">
        <v>11</v>
      </c>
      <c r="CP122">
        <v>1715605.55</v>
      </c>
      <c r="CQ122" t="s">
        <v>11</v>
      </c>
      <c r="CR122">
        <v>1715605.55</v>
      </c>
      <c r="CV122" t="s">
        <v>525</v>
      </c>
      <c r="CW122" t="s">
        <v>12</v>
      </c>
      <c r="CX122" t="s">
        <v>12</v>
      </c>
      <c r="CY122" t="s">
        <v>12</v>
      </c>
      <c r="DA122" t="s">
        <v>104</v>
      </c>
      <c r="DD122" t="s">
        <v>93</v>
      </c>
      <c r="DQ122" t="s">
        <v>94</v>
      </c>
      <c r="DR122" t="s">
        <v>94</v>
      </c>
      <c r="DS122" t="s">
        <v>94</v>
      </c>
      <c r="DT122" t="s">
        <v>94</v>
      </c>
      <c r="DU122" t="s">
        <v>94</v>
      </c>
      <c r="DV122" t="s">
        <v>94</v>
      </c>
      <c r="DW122" t="s">
        <v>94</v>
      </c>
      <c r="DX122" s="2" t="s">
        <v>94</v>
      </c>
      <c r="DY122" t="s">
        <v>94</v>
      </c>
      <c r="DZ122" t="s">
        <v>94</v>
      </c>
      <c r="EA122" t="s">
        <v>94</v>
      </c>
      <c r="EB122" t="s">
        <v>94</v>
      </c>
      <c r="EC122" t="s">
        <v>94</v>
      </c>
      <c r="ED122" t="s">
        <v>94</v>
      </c>
      <c r="EE122" t="s">
        <v>89</v>
      </c>
      <c r="EF122" t="s">
        <v>425</v>
      </c>
      <c r="EG122" t="s">
        <v>105</v>
      </c>
      <c r="EJ122" t="s">
        <v>166</v>
      </c>
      <c r="EK122" t="b">
        <v>0</v>
      </c>
      <c r="EL122" t="b">
        <v>0</v>
      </c>
      <c r="EM122" t="b">
        <v>0</v>
      </c>
      <c r="EO122" t="s">
        <v>178</v>
      </c>
      <c r="EP122" t="s">
        <v>1693</v>
      </c>
    </row>
    <row r="123" spans="3:146" ht="15">
      <c r="C123" s="82">
        <v>2</v>
      </c>
      <c r="D123" s="5"/>
      <c r="E123" s="4">
        <v>1</v>
      </c>
      <c r="F123" s="5">
        <v>125</v>
      </c>
      <c r="G123" s="5" t="s">
        <v>1686</v>
      </c>
      <c r="H123" s="4" t="s">
        <v>1687</v>
      </c>
      <c r="I123" s="81" t="s">
        <v>164</v>
      </c>
      <c r="J123" s="21"/>
      <c r="K123" s="22" t="s">
        <v>1684</v>
      </c>
      <c r="L123" s="84" t="s">
        <v>1666</v>
      </c>
      <c r="M123" s="23" t="s">
        <v>164</v>
      </c>
      <c r="N123" s="23">
        <v>43733</v>
      </c>
      <c r="O123" s="24" t="s">
        <v>102</v>
      </c>
      <c r="P123" s="24" t="s">
        <v>480</v>
      </c>
      <c r="Q123" s="24">
        <v>1</v>
      </c>
      <c r="R123" s="24">
        <v>125</v>
      </c>
      <c r="S123" t="s">
        <v>528</v>
      </c>
      <c r="T123">
        <v>217724.73</v>
      </c>
      <c r="U123" s="2"/>
      <c r="W123" s="2"/>
      <c r="AB123" t="s">
        <v>9</v>
      </c>
      <c r="AC123" t="s">
        <v>1667</v>
      </c>
      <c r="AD123" t="s">
        <v>182</v>
      </c>
      <c r="AE123" t="s">
        <v>183</v>
      </c>
      <c r="AF123" t="s">
        <v>183</v>
      </c>
      <c r="AG123">
        <v>3104096</v>
      </c>
      <c r="AH123" t="s">
        <v>1668</v>
      </c>
      <c r="AI123" t="s">
        <v>1668</v>
      </c>
      <c r="AJ123" t="s">
        <v>508</v>
      </c>
      <c r="AK123" t="s">
        <v>509</v>
      </c>
      <c r="AL123" t="s">
        <v>1669</v>
      </c>
      <c r="AM123" t="s">
        <v>1670</v>
      </c>
      <c r="AO123" t="s">
        <v>1671</v>
      </c>
      <c r="AP123" t="s">
        <v>1672</v>
      </c>
      <c r="AR123">
        <v>14110</v>
      </c>
      <c r="AS123">
        <v>330231595863</v>
      </c>
      <c r="AT123" t="s">
        <v>1673</v>
      </c>
      <c r="AU123" t="s">
        <v>10</v>
      </c>
      <c r="AV123" t="s">
        <v>1674</v>
      </c>
      <c r="AW123" t="s">
        <v>1675</v>
      </c>
      <c r="AX123" t="s">
        <v>1676</v>
      </c>
      <c r="AY123" s="2" t="s">
        <v>1677</v>
      </c>
      <c r="AZ123" t="s">
        <v>194</v>
      </c>
      <c r="BA123" t="s">
        <v>1678</v>
      </c>
      <c r="BB123" t="s">
        <v>272</v>
      </c>
      <c r="BC123" t="s">
        <v>188</v>
      </c>
      <c r="BD123">
        <v>518001</v>
      </c>
      <c r="BE123" t="s">
        <v>1679</v>
      </c>
      <c r="BF123" t="s">
        <v>1680</v>
      </c>
      <c r="BG123" t="b">
        <v>0</v>
      </c>
      <c r="BH123" s="6" t="s">
        <v>1681</v>
      </c>
      <c r="BI123" t="s">
        <v>1682</v>
      </c>
      <c r="BJ123">
        <v>4453163191</v>
      </c>
      <c r="BK123" t="s">
        <v>162</v>
      </c>
      <c r="BL123" t="s">
        <v>161</v>
      </c>
      <c r="BM123" s="2"/>
      <c r="BN123" t="s">
        <v>1683</v>
      </c>
      <c r="BR123" t="s">
        <v>180</v>
      </c>
      <c r="BS123" t="s">
        <v>103</v>
      </c>
      <c r="BU123">
        <v>0</v>
      </c>
      <c r="BV123">
        <v>0</v>
      </c>
      <c r="BW123">
        <v>0</v>
      </c>
      <c r="BX123">
        <v>0</v>
      </c>
      <c r="BY123">
        <v>0</v>
      </c>
      <c r="BZ123">
        <v>0</v>
      </c>
      <c r="CA123">
        <v>0</v>
      </c>
      <c r="CF123" s="2"/>
      <c r="CH123" s="2"/>
      <c r="CK123" t="s">
        <v>500</v>
      </c>
      <c r="CL123">
        <v>43733.565798611111</v>
      </c>
      <c r="CO123" t="s">
        <v>11</v>
      </c>
      <c r="CP123">
        <v>1715605.55</v>
      </c>
      <c r="CQ123" t="s">
        <v>11</v>
      </c>
      <c r="CR123">
        <v>1715605.55</v>
      </c>
      <c r="CV123" t="s">
        <v>525</v>
      </c>
      <c r="CW123" t="s">
        <v>12</v>
      </c>
      <c r="CX123" t="s">
        <v>12</v>
      </c>
      <c r="CY123" t="s">
        <v>12</v>
      </c>
      <c r="DA123" t="s">
        <v>104</v>
      </c>
      <c r="DD123" t="s">
        <v>93</v>
      </c>
      <c r="DQ123" t="s">
        <v>94</v>
      </c>
      <c r="DR123" t="s">
        <v>94</v>
      </c>
      <c r="DS123" t="s">
        <v>94</v>
      </c>
      <c r="DT123" t="s">
        <v>94</v>
      </c>
      <c r="DU123" t="s">
        <v>94</v>
      </c>
      <c r="DV123" t="s">
        <v>94</v>
      </c>
      <c r="DW123" t="s">
        <v>94</v>
      </c>
      <c r="DX123" s="2" t="s">
        <v>94</v>
      </c>
      <c r="DY123" t="s">
        <v>94</v>
      </c>
      <c r="DZ123" t="s">
        <v>94</v>
      </c>
      <c r="EA123" t="s">
        <v>94</v>
      </c>
      <c r="EB123" t="s">
        <v>94</v>
      </c>
      <c r="EC123" t="s">
        <v>94</v>
      </c>
      <c r="ED123" t="s">
        <v>94</v>
      </c>
      <c r="EE123" t="s">
        <v>89</v>
      </c>
      <c r="EF123" t="s">
        <v>425</v>
      </c>
      <c r="EG123" t="s">
        <v>105</v>
      </c>
      <c r="EJ123" t="s">
        <v>166</v>
      </c>
      <c r="EK123" t="b">
        <v>0</v>
      </c>
      <c r="EL123" t="b">
        <v>0</v>
      </c>
      <c r="EM123" t="b">
        <v>0</v>
      </c>
      <c r="EO123" t="s">
        <v>177</v>
      </c>
      <c r="EP123" t="s">
        <v>1694</v>
      </c>
    </row>
    <row r="124" spans="3:146">
      <c r="C124" s="4">
        <v>23</v>
      </c>
      <c r="D124" s="4"/>
      <c r="E124" s="4">
        <v>4</v>
      </c>
      <c r="F124" s="4">
        <v>235</v>
      </c>
      <c r="G124" s="5" t="s">
        <v>1686</v>
      </c>
      <c r="H124" s="4" t="s">
        <v>1687</v>
      </c>
      <c r="I124" s="4" t="s">
        <v>164</v>
      </c>
      <c r="J124" s="5"/>
      <c r="K124" s="22" t="s">
        <v>1685</v>
      </c>
      <c r="L124" s="84" t="s">
        <v>1666</v>
      </c>
      <c r="M124" s="23" t="s">
        <v>164</v>
      </c>
      <c r="N124" s="23">
        <v>43733</v>
      </c>
      <c r="O124" s="24" t="s">
        <v>102</v>
      </c>
      <c r="P124" s="24" t="s">
        <v>480</v>
      </c>
      <c r="Q124" s="24">
        <v>4</v>
      </c>
      <c r="R124" s="24">
        <v>235</v>
      </c>
      <c r="S124" t="s">
        <v>528</v>
      </c>
      <c r="T124">
        <v>217724.73</v>
      </c>
      <c r="U124" s="2"/>
      <c r="W124" s="2"/>
      <c r="AB124" t="s">
        <v>9</v>
      </c>
      <c r="AC124" t="s">
        <v>1667</v>
      </c>
      <c r="AD124" t="s">
        <v>182</v>
      </c>
      <c r="AE124" t="s">
        <v>183</v>
      </c>
      <c r="AF124" t="s">
        <v>183</v>
      </c>
      <c r="AG124">
        <v>3104096</v>
      </c>
      <c r="AH124" t="s">
        <v>1668</v>
      </c>
      <c r="AI124" t="s">
        <v>1668</v>
      </c>
      <c r="AJ124" t="s">
        <v>508</v>
      </c>
      <c r="AK124" t="s">
        <v>509</v>
      </c>
      <c r="AL124" t="s">
        <v>1669</v>
      </c>
      <c r="AM124" t="s">
        <v>1670</v>
      </c>
      <c r="AO124" t="s">
        <v>1671</v>
      </c>
      <c r="AP124" t="s">
        <v>1672</v>
      </c>
      <c r="AR124">
        <v>14110</v>
      </c>
      <c r="AS124">
        <v>330231595863</v>
      </c>
      <c r="AT124" t="s">
        <v>1673</v>
      </c>
      <c r="AU124" t="s">
        <v>10</v>
      </c>
      <c r="AV124" t="s">
        <v>1674</v>
      </c>
      <c r="AW124" t="s">
        <v>1675</v>
      </c>
      <c r="AX124" t="s">
        <v>1676</v>
      </c>
      <c r="AY124" t="s">
        <v>1677</v>
      </c>
      <c r="AZ124" t="s">
        <v>194</v>
      </c>
      <c r="BA124" t="s">
        <v>1678</v>
      </c>
      <c r="BB124" t="s">
        <v>272</v>
      </c>
      <c r="BC124" t="s">
        <v>188</v>
      </c>
      <c r="BD124">
        <v>518001</v>
      </c>
      <c r="BE124" t="s">
        <v>1679</v>
      </c>
      <c r="BF124" t="s">
        <v>1680</v>
      </c>
      <c r="BG124" t="b">
        <v>0</v>
      </c>
      <c r="BH124" s="6" t="s">
        <v>1681</v>
      </c>
      <c r="BI124" t="s">
        <v>1682</v>
      </c>
      <c r="BJ124">
        <v>4453163191</v>
      </c>
      <c r="BK124" t="s">
        <v>162</v>
      </c>
      <c r="BL124" t="s">
        <v>161</v>
      </c>
      <c r="BM124" s="2"/>
      <c r="BN124" t="s">
        <v>1683</v>
      </c>
      <c r="BR124" t="s">
        <v>180</v>
      </c>
      <c r="BS124" t="s">
        <v>103</v>
      </c>
      <c r="BU124">
        <v>0</v>
      </c>
      <c r="BV124">
        <v>0</v>
      </c>
      <c r="BW124">
        <v>0</v>
      </c>
      <c r="BX124">
        <v>0</v>
      </c>
      <c r="BY124">
        <v>0</v>
      </c>
      <c r="BZ124">
        <v>0</v>
      </c>
      <c r="CA124">
        <v>0</v>
      </c>
      <c r="CF124" s="2"/>
      <c r="CH124" s="2"/>
      <c r="CK124" t="s">
        <v>500</v>
      </c>
      <c r="CL124">
        <v>43733.565798611111</v>
      </c>
      <c r="CO124" t="s">
        <v>11</v>
      </c>
      <c r="CP124">
        <v>1715605.55</v>
      </c>
      <c r="CQ124" t="s">
        <v>11</v>
      </c>
      <c r="CR124">
        <v>1715605.55</v>
      </c>
      <c r="CV124" t="s">
        <v>525</v>
      </c>
      <c r="CW124" t="s">
        <v>12</v>
      </c>
      <c r="CX124" t="s">
        <v>12</v>
      </c>
      <c r="CY124" t="s">
        <v>12</v>
      </c>
      <c r="DA124" t="s">
        <v>104</v>
      </c>
      <c r="DD124" t="s">
        <v>93</v>
      </c>
      <c r="DQ124" t="s">
        <v>94</v>
      </c>
      <c r="DR124" t="s">
        <v>94</v>
      </c>
      <c r="DS124" t="s">
        <v>94</v>
      </c>
      <c r="DT124" t="s">
        <v>94</v>
      </c>
      <c r="DU124" t="s">
        <v>94</v>
      </c>
      <c r="DV124" t="s">
        <v>94</v>
      </c>
      <c r="DW124" t="s">
        <v>94</v>
      </c>
      <c r="DX124" s="2" t="s">
        <v>94</v>
      </c>
      <c r="DY124" t="s">
        <v>94</v>
      </c>
      <c r="DZ124" t="s">
        <v>94</v>
      </c>
      <c r="EA124" t="s">
        <v>94</v>
      </c>
      <c r="EB124" t="s">
        <v>94</v>
      </c>
      <c r="EC124" t="s">
        <v>94</v>
      </c>
      <c r="ED124" t="s">
        <v>94</v>
      </c>
      <c r="EE124" t="s">
        <v>89</v>
      </c>
      <c r="EF124" t="s">
        <v>425</v>
      </c>
      <c r="EG124" t="s">
        <v>105</v>
      </c>
      <c r="EJ124" t="s">
        <v>166</v>
      </c>
      <c r="EK124" t="b">
        <v>0</v>
      </c>
      <c r="EL124" t="b">
        <v>0</v>
      </c>
      <c r="EM124" t="b">
        <v>0</v>
      </c>
      <c r="EO124" t="s">
        <v>177</v>
      </c>
      <c r="EP124" t="s">
        <v>1694</v>
      </c>
    </row>
    <row r="125" spans="3:146" ht="15">
      <c r="C125" s="82">
        <v>2</v>
      </c>
      <c r="D125" s="5"/>
      <c r="E125" s="4">
        <v>2</v>
      </c>
      <c r="F125" s="5">
        <v>35.840000000000003</v>
      </c>
      <c r="G125" s="5" t="s">
        <v>959</v>
      </c>
      <c r="H125" s="4" t="s">
        <v>1707</v>
      </c>
      <c r="I125" s="81" t="s">
        <v>920</v>
      </c>
      <c r="J125" s="21"/>
      <c r="K125" s="22" t="s">
        <v>1695</v>
      </c>
      <c r="L125" s="84" t="s">
        <v>1620</v>
      </c>
      <c r="M125" s="23" t="s">
        <v>905</v>
      </c>
      <c r="N125" s="23">
        <v>43728</v>
      </c>
      <c r="O125" s="24" t="s">
        <v>102</v>
      </c>
      <c r="P125" s="24" t="s">
        <v>181</v>
      </c>
      <c r="Q125" s="24">
        <v>2</v>
      </c>
      <c r="R125" s="24">
        <v>35.840000000000003</v>
      </c>
      <c r="S125" t="s">
        <v>11</v>
      </c>
      <c r="T125">
        <v>1750</v>
      </c>
      <c r="U125" s="2" t="s">
        <v>163</v>
      </c>
      <c r="V125">
        <v>43728.840312499997</v>
      </c>
      <c r="W125" s="2" t="s">
        <v>444</v>
      </c>
      <c r="X125">
        <v>43734.523020833331</v>
      </c>
      <c r="AB125" t="s">
        <v>9</v>
      </c>
      <c r="AC125" t="s">
        <v>1143</v>
      </c>
      <c r="AD125" t="s">
        <v>209</v>
      </c>
      <c r="AE125">
        <v>220066</v>
      </c>
      <c r="AF125">
        <v>220066</v>
      </c>
      <c r="AG125" t="s">
        <v>183</v>
      </c>
      <c r="AH125" t="s">
        <v>1696</v>
      </c>
      <c r="AI125" t="s">
        <v>1696</v>
      </c>
      <c r="AJ125" t="s">
        <v>644</v>
      </c>
      <c r="AK125" t="s">
        <v>645</v>
      </c>
      <c r="AL125" t="s">
        <v>1697</v>
      </c>
      <c r="AM125" t="s">
        <v>1698</v>
      </c>
      <c r="AO125" t="s">
        <v>1699</v>
      </c>
      <c r="AP125" t="s">
        <v>1149</v>
      </c>
      <c r="AR125">
        <v>46050</v>
      </c>
      <c r="AS125">
        <v>377813357</v>
      </c>
      <c r="AT125" t="s">
        <v>1700</v>
      </c>
      <c r="AU125" t="s">
        <v>10</v>
      </c>
      <c r="AV125" t="s">
        <v>1701</v>
      </c>
      <c r="AW125" t="s">
        <v>1701</v>
      </c>
      <c r="AX125" t="s">
        <v>1702</v>
      </c>
      <c r="AY125" s="2"/>
      <c r="BA125" t="s">
        <v>1703</v>
      </c>
      <c r="BB125" t="s">
        <v>223</v>
      </c>
      <c r="BC125" t="s">
        <v>238</v>
      </c>
      <c r="BD125">
        <v>580860</v>
      </c>
      <c r="BE125">
        <v>8613711607071</v>
      </c>
      <c r="BF125" t="s">
        <v>1704</v>
      </c>
      <c r="BG125" t="b">
        <v>0</v>
      </c>
      <c r="BH125" s="6" t="s">
        <v>1705</v>
      </c>
      <c r="BI125" t="s">
        <v>1706</v>
      </c>
      <c r="BJ125">
        <v>4453163191</v>
      </c>
      <c r="BK125" t="s">
        <v>162</v>
      </c>
      <c r="BL125" t="s">
        <v>161</v>
      </c>
      <c r="BM125" s="2"/>
      <c r="BO125" t="s">
        <v>89</v>
      </c>
      <c r="BP125">
        <v>3926909090</v>
      </c>
      <c r="BR125" t="s">
        <v>180</v>
      </c>
      <c r="BS125" t="s">
        <v>103</v>
      </c>
      <c r="BU125">
        <v>155</v>
      </c>
      <c r="BV125">
        <v>247.65</v>
      </c>
      <c r="BW125">
        <v>0</v>
      </c>
      <c r="BX125">
        <v>0</v>
      </c>
      <c r="BY125">
        <v>0</v>
      </c>
      <c r="BZ125">
        <v>0</v>
      </c>
      <c r="CA125">
        <v>402.65</v>
      </c>
      <c r="CF125" s="2"/>
      <c r="CH125" s="2"/>
      <c r="CJ125">
        <v>5.3142019950134598E+17</v>
      </c>
      <c r="CK125" t="s">
        <v>500</v>
      </c>
      <c r="CL125">
        <v>43728.565254629626</v>
      </c>
      <c r="CO125" t="s">
        <v>11</v>
      </c>
      <c r="CP125">
        <v>1750</v>
      </c>
      <c r="CQ125" t="s">
        <v>11</v>
      </c>
      <c r="CR125">
        <v>1750</v>
      </c>
      <c r="CV125" t="s">
        <v>190</v>
      </c>
      <c r="CW125" t="s">
        <v>12</v>
      </c>
      <c r="CX125" t="s">
        <v>12</v>
      </c>
      <c r="CY125" t="s">
        <v>12</v>
      </c>
      <c r="DA125" t="s">
        <v>104</v>
      </c>
      <c r="DD125" t="s">
        <v>93</v>
      </c>
      <c r="DQ125" t="s">
        <v>94</v>
      </c>
      <c r="DR125" t="s">
        <v>94</v>
      </c>
      <c r="DS125" t="s">
        <v>94</v>
      </c>
      <c r="DT125" t="s">
        <v>94</v>
      </c>
      <c r="DU125" t="s">
        <v>94</v>
      </c>
      <c r="DV125" t="s">
        <v>94</v>
      </c>
      <c r="DW125" t="s">
        <v>94</v>
      </c>
      <c r="DX125" s="2" t="s">
        <v>94</v>
      </c>
      <c r="DY125" t="s">
        <v>94</v>
      </c>
      <c r="DZ125" t="s">
        <v>94</v>
      </c>
      <c r="EA125" t="s">
        <v>94</v>
      </c>
      <c r="EB125" t="s">
        <v>94</v>
      </c>
      <c r="EC125" t="s">
        <v>94</v>
      </c>
      <c r="ED125" t="s">
        <v>94</v>
      </c>
      <c r="EE125" t="s">
        <v>89</v>
      </c>
      <c r="EF125" t="s">
        <v>425</v>
      </c>
      <c r="EG125" t="s">
        <v>105</v>
      </c>
      <c r="EJ125" t="s">
        <v>166</v>
      </c>
      <c r="EK125" t="b">
        <v>0</v>
      </c>
      <c r="EL125" t="b">
        <v>0</v>
      </c>
      <c r="EM125" t="b">
        <v>0</v>
      </c>
      <c r="EO125" t="s">
        <v>177</v>
      </c>
      <c r="EP125" t="s">
        <v>1708</v>
      </c>
    </row>
    <row r="126" spans="3:146" ht="15">
      <c r="C126" s="82">
        <v>2</v>
      </c>
      <c r="D126" s="5"/>
      <c r="E126" s="4">
        <v>1</v>
      </c>
      <c r="F126" s="5">
        <v>1.45</v>
      </c>
      <c r="G126" s="5" t="s">
        <v>1727</v>
      </c>
      <c r="H126" s="4" t="s">
        <v>1728</v>
      </c>
      <c r="I126" s="81" t="s">
        <v>164</v>
      </c>
      <c r="J126" s="21"/>
      <c r="K126" s="22" t="s">
        <v>1709</v>
      </c>
      <c r="L126" s="84" t="s">
        <v>1710</v>
      </c>
      <c r="M126" s="23" t="s">
        <v>164</v>
      </c>
      <c r="N126" s="23">
        <v>43746</v>
      </c>
      <c r="O126" s="24" t="s">
        <v>102</v>
      </c>
      <c r="P126" s="24" t="s">
        <v>181</v>
      </c>
      <c r="Q126" s="24">
        <v>1</v>
      </c>
      <c r="R126" s="24">
        <v>1.45</v>
      </c>
      <c r="S126" t="s">
        <v>990</v>
      </c>
      <c r="T126">
        <v>560</v>
      </c>
      <c r="U126" s="2" t="s">
        <v>163</v>
      </c>
      <c r="V126">
        <v>43746.875717592593</v>
      </c>
      <c r="W126" s="2" t="s">
        <v>427</v>
      </c>
      <c r="X126">
        <v>43746.896018518521</v>
      </c>
      <c r="AB126" t="s">
        <v>9</v>
      </c>
      <c r="AC126" t="s">
        <v>1711</v>
      </c>
      <c r="AD126" t="s">
        <v>182</v>
      </c>
      <c r="AE126">
        <v>30006700</v>
      </c>
      <c r="AF126">
        <v>30006700</v>
      </c>
      <c r="AG126" t="s">
        <v>1729</v>
      </c>
      <c r="AH126" t="s">
        <v>1712</v>
      </c>
      <c r="AI126" t="s">
        <v>1712</v>
      </c>
      <c r="AJ126" t="s">
        <v>369</v>
      </c>
      <c r="AK126" t="s">
        <v>370</v>
      </c>
      <c r="AL126" t="s">
        <v>1713</v>
      </c>
      <c r="AO126" t="s">
        <v>1714</v>
      </c>
      <c r="AP126" t="s">
        <v>1715</v>
      </c>
      <c r="AQ126" t="s">
        <v>1716</v>
      </c>
      <c r="AR126">
        <v>6155</v>
      </c>
      <c r="AS126">
        <v>893308485</v>
      </c>
      <c r="AT126" t="s">
        <v>1717</v>
      </c>
      <c r="AU126" t="s">
        <v>10</v>
      </c>
      <c r="AV126" t="s">
        <v>1718</v>
      </c>
      <c r="AW126" t="s">
        <v>1718</v>
      </c>
      <c r="AX126" t="s">
        <v>1719</v>
      </c>
      <c r="AY126" s="2" t="s">
        <v>1720</v>
      </c>
      <c r="AZ126" t="s">
        <v>1721</v>
      </c>
      <c r="BA126" t="s">
        <v>186</v>
      </c>
      <c r="BB126" t="s">
        <v>187</v>
      </c>
      <c r="BC126" t="s">
        <v>188</v>
      </c>
      <c r="BD126">
        <v>518100</v>
      </c>
      <c r="BE126" t="s">
        <v>1722</v>
      </c>
      <c r="BF126" t="s">
        <v>1723</v>
      </c>
      <c r="BG126" t="b">
        <v>0</v>
      </c>
      <c r="BH126" s="6" t="s">
        <v>1724</v>
      </c>
      <c r="BI126" t="s">
        <v>1725</v>
      </c>
      <c r="BJ126">
        <v>4453163191</v>
      </c>
      <c r="BK126" t="s">
        <v>162</v>
      </c>
      <c r="BL126" t="s">
        <v>161</v>
      </c>
      <c r="BM126" s="2"/>
      <c r="BN126" t="s">
        <v>1726</v>
      </c>
      <c r="BO126" t="s">
        <v>89</v>
      </c>
      <c r="BP126">
        <v>8537101190</v>
      </c>
      <c r="BR126" t="s">
        <v>180</v>
      </c>
      <c r="BS126" t="s">
        <v>103</v>
      </c>
      <c r="BU126">
        <v>135.94</v>
      </c>
      <c r="BV126">
        <v>371.12</v>
      </c>
      <c r="BW126">
        <v>0</v>
      </c>
      <c r="BX126">
        <v>0</v>
      </c>
      <c r="BY126">
        <v>0</v>
      </c>
      <c r="BZ126">
        <v>0</v>
      </c>
      <c r="CA126">
        <v>507.06</v>
      </c>
      <c r="CB126" t="s">
        <v>444</v>
      </c>
      <c r="CF126" s="2"/>
      <c r="CH126" s="2"/>
      <c r="CJ126">
        <v>5.3142019950142899E+17</v>
      </c>
      <c r="CK126" t="s">
        <v>1509</v>
      </c>
      <c r="CL126">
        <v>43746.565532407411</v>
      </c>
      <c r="CO126" t="s">
        <v>11</v>
      </c>
      <c r="CP126">
        <v>2718.8</v>
      </c>
      <c r="CQ126" t="s">
        <v>11</v>
      </c>
      <c r="CR126">
        <v>2718.8</v>
      </c>
      <c r="CV126" t="s">
        <v>525</v>
      </c>
      <c r="CW126" t="s">
        <v>12</v>
      </c>
      <c r="CX126" t="s">
        <v>12</v>
      </c>
      <c r="CY126" t="s">
        <v>12</v>
      </c>
      <c r="DA126" t="s">
        <v>104</v>
      </c>
      <c r="DD126" t="s">
        <v>93</v>
      </c>
      <c r="DQ126" t="s">
        <v>94</v>
      </c>
      <c r="DR126" t="s">
        <v>94</v>
      </c>
      <c r="DS126" t="s">
        <v>94</v>
      </c>
      <c r="DT126" t="s">
        <v>94</v>
      </c>
      <c r="DU126" t="s">
        <v>94</v>
      </c>
      <c r="DV126" t="s">
        <v>94</v>
      </c>
      <c r="DW126" t="s">
        <v>94</v>
      </c>
      <c r="DX126" s="2" t="s">
        <v>94</v>
      </c>
      <c r="DY126" t="s">
        <v>94</v>
      </c>
      <c r="DZ126" t="s">
        <v>94</v>
      </c>
      <c r="EA126" t="s">
        <v>94</v>
      </c>
      <c r="EB126" t="s">
        <v>94</v>
      </c>
      <c r="EC126" t="s">
        <v>94</v>
      </c>
      <c r="ED126" t="s">
        <v>94</v>
      </c>
      <c r="EE126" t="s">
        <v>89</v>
      </c>
      <c r="EF126" t="s">
        <v>425</v>
      </c>
      <c r="EG126" t="s">
        <v>105</v>
      </c>
      <c r="EJ126" t="s">
        <v>166</v>
      </c>
      <c r="EK126" t="b">
        <v>0</v>
      </c>
      <c r="EL126" t="b">
        <v>0</v>
      </c>
      <c r="EM126" t="b">
        <v>0</v>
      </c>
      <c r="EO126" t="s">
        <v>177</v>
      </c>
      <c r="EP126" t="s">
        <v>1730</v>
      </c>
    </row>
    <row r="127" spans="3:146" ht="15">
      <c r="C127" s="82">
        <v>2</v>
      </c>
      <c r="D127" s="5"/>
      <c r="E127" s="4">
        <v>1</v>
      </c>
      <c r="F127" s="5">
        <v>3.26</v>
      </c>
      <c r="G127" s="5" t="s">
        <v>1650</v>
      </c>
      <c r="H127" s="4" t="s">
        <v>1651</v>
      </c>
      <c r="I127" s="81" t="s">
        <v>920</v>
      </c>
      <c r="J127" s="21"/>
      <c r="K127" s="22" t="s">
        <v>1550</v>
      </c>
      <c r="L127" s="84" t="s">
        <v>1551</v>
      </c>
      <c r="M127" s="23" t="s">
        <v>905</v>
      </c>
      <c r="N127" s="23">
        <v>43736</v>
      </c>
      <c r="O127" s="24" t="s">
        <v>102</v>
      </c>
      <c r="P127" s="24" t="s">
        <v>181</v>
      </c>
      <c r="Q127" s="24">
        <v>1</v>
      </c>
      <c r="R127" s="24">
        <v>3.26</v>
      </c>
      <c r="S127" t="s">
        <v>528</v>
      </c>
      <c r="T127">
        <v>621.89</v>
      </c>
      <c r="U127" s="2" t="s">
        <v>163</v>
      </c>
      <c r="V127">
        <v>43736.782164351855</v>
      </c>
      <c r="W127" s="2" t="s">
        <v>444</v>
      </c>
      <c r="X127">
        <v>43736.821145833332</v>
      </c>
      <c r="AB127" t="s">
        <v>9</v>
      </c>
      <c r="AC127" t="s">
        <v>1552</v>
      </c>
      <c r="AD127" t="s">
        <v>819</v>
      </c>
      <c r="AE127">
        <v>70201043</v>
      </c>
      <c r="AF127">
        <v>70201043</v>
      </c>
      <c r="AG127" t="s">
        <v>183</v>
      </c>
      <c r="AH127" t="s">
        <v>1553</v>
      </c>
      <c r="AI127" t="s">
        <v>1553</v>
      </c>
      <c r="AJ127" t="s">
        <v>776</v>
      </c>
      <c r="AK127" t="s">
        <v>777</v>
      </c>
      <c r="AL127" t="s">
        <v>1554</v>
      </c>
      <c r="AO127" t="s">
        <v>1555</v>
      </c>
      <c r="AP127" t="s">
        <v>1556</v>
      </c>
      <c r="AQ127" t="s">
        <v>1555</v>
      </c>
      <c r="AR127">
        <v>22529</v>
      </c>
      <c r="AS127">
        <v>-494073445660</v>
      </c>
      <c r="AT127" t="s">
        <v>1557</v>
      </c>
      <c r="AU127" t="s">
        <v>10</v>
      </c>
      <c r="AV127" t="s">
        <v>1558</v>
      </c>
      <c r="AW127" t="s">
        <v>1558</v>
      </c>
      <c r="AX127" t="s">
        <v>1559</v>
      </c>
      <c r="AY127" s="2" t="s">
        <v>1560</v>
      </c>
      <c r="BA127" t="s">
        <v>1561</v>
      </c>
      <c r="BB127" t="s">
        <v>832</v>
      </c>
      <c r="BC127" t="s">
        <v>188</v>
      </c>
      <c r="BD127">
        <v>519060</v>
      </c>
      <c r="BE127" t="s">
        <v>1654</v>
      </c>
      <c r="BF127" t="s">
        <v>1562</v>
      </c>
      <c r="BG127" t="b">
        <v>0</v>
      </c>
      <c r="BH127" s="6" t="s">
        <v>1563</v>
      </c>
      <c r="BI127" t="s">
        <v>1564</v>
      </c>
      <c r="BJ127">
        <v>4453163191</v>
      </c>
      <c r="BK127" t="s">
        <v>162</v>
      </c>
      <c r="BL127" t="s">
        <v>161</v>
      </c>
      <c r="BM127" s="2"/>
      <c r="BO127" t="s">
        <v>89</v>
      </c>
      <c r="BP127">
        <v>85340010</v>
      </c>
      <c r="BR127" t="s">
        <v>180</v>
      </c>
      <c r="BS127" t="s">
        <v>103</v>
      </c>
      <c r="BU127">
        <v>0</v>
      </c>
      <c r="BV127">
        <v>637.04</v>
      </c>
      <c r="BW127">
        <v>0</v>
      </c>
      <c r="BX127">
        <v>0</v>
      </c>
      <c r="BY127">
        <v>0</v>
      </c>
      <c r="BZ127">
        <v>0</v>
      </c>
      <c r="CA127">
        <v>637.04</v>
      </c>
      <c r="CF127" s="2"/>
      <c r="CH127" s="2"/>
      <c r="CJ127">
        <v>5.3142019950139398E+17</v>
      </c>
      <c r="CK127" t="s">
        <v>1509</v>
      </c>
      <c r="CL127">
        <v>43736.375902777778</v>
      </c>
      <c r="CO127" t="s">
        <v>11</v>
      </c>
      <c r="CP127">
        <v>4870.1400000000003</v>
      </c>
      <c r="CQ127" t="s">
        <v>11</v>
      </c>
      <c r="CR127">
        <v>4870.1400000000003</v>
      </c>
      <c r="CV127" t="s">
        <v>190</v>
      </c>
      <c r="CW127" t="s">
        <v>12</v>
      </c>
      <c r="CX127" t="s">
        <v>12</v>
      </c>
      <c r="CY127" t="s">
        <v>12</v>
      </c>
      <c r="DA127" t="s">
        <v>104</v>
      </c>
      <c r="DD127" t="s">
        <v>93</v>
      </c>
      <c r="DQ127" t="s">
        <v>94</v>
      </c>
      <c r="DR127" t="s">
        <v>94</v>
      </c>
      <c r="DS127" t="s">
        <v>94</v>
      </c>
      <c r="DT127" t="s">
        <v>94</v>
      </c>
      <c r="DU127" t="s">
        <v>94</v>
      </c>
      <c r="DV127" t="s">
        <v>94</v>
      </c>
      <c r="DW127" t="s">
        <v>94</v>
      </c>
      <c r="DX127" s="2" t="s">
        <v>94</v>
      </c>
      <c r="DY127" t="s">
        <v>94</v>
      </c>
      <c r="DZ127" t="s">
        <v>94</v>
      </c>
      <c r="EA127" t="s">
        <v>94</v>
      </c>
      <c r="EB127" t="s">
        <v>94</v>
      </c>
      <c r="EC127" t="s">
        <v>94</v>
      </c>
      <c r="ED127" t="s">
        <v>94</v>
      </c>
      <c r="EE127" t="s">
        <v>89</v>
      </c>
      <c r="EF127" t="s">
        <v>425</v>
      </c>
      <c r="EG127" t="s">
        <v>105</v>
      </c>
      <c r="EJ127" t="s">
        <v>166</v>
      </c>
      <c r="EK127" t="b">
        <v>0</v>
      </c>
      <c r="EL127" t="b">
        <v>0</v>
      </c>
      <c r="EM127" t="b">
        <v>0</v>
      </c>
      <c r="EO127" t="s">
        <v>177</v>
      </c>
      <c r="EP127" t="s">
        <v>1731</v>
      </c>
    </row>
    <row r="128" spans="3:146" ht="15">
      <c r="C128" s="82" t="s">
        <v>205</v>
      </c>
      <c r="D128" s="5"/>
      <c r="E128" s="4">
        <v>1</v>
      </c>
      <c r="F128" s="5">
        <v>6</v>
      </c>
      <c r="G128" s="5" t="s">
        <v>1119</v>
      </c>
      <c r="H128" s="4" t="s">
        <v>1795</v>
      </c>
      <c r="I128" s="81" t="s">
        <v>817</v>
      </c>
      <c r="J128" s="21"/>
      <c r="K128" s="22" t="s">
        <v>1732</v>
      </c>
      <c r="L128" s="84" t="s">
        <v>1415</v>
      </c>
      <c r="M128" s="23" t="s">
        <v>817</v>
      </c>
      <c r="N128" s="23">
        <v>43730</v>
      </c>
      <c r="O128" s="24" t="s">
        <v>102</v>
      </c>
      <c r="P128" s="24" t="s">
        <v>181</v>
      </c>
      <c r="Q128" s="24">
        <v>1</v>
      </c>
      <c r="R128" s="24">
        <v>6</v>
      </c>
      <c r="S128" t="s">
        <v>528</v>
      </c>
      <c r="T128">
        <v>180</v>
      </c>
      <c r="U128" s="2" t="s">
        <v>163</v>
      </c>
      <c r="V128">
        <v>43730.665335648147</v>
      </c>
      <c r="W128" s="2" t="s">
        <v>444</v>
      </c>
      <c r="Y128">
        <v>43734.52553240741</v>
      </c>
      <c r="AC128" t="s">
        <v>9</v>
      </c>
      <c r="AD128" t="s">
        <v>1733</v>
      </c>
      <c r="AE128" t="s">
        <v>209</v>
      </c>
      <c r="AF128" t="s">
        <v>1796</v>
      </c>
      <c r="AG128" t="s">
        <v>1796</v>
      </c>
      <c r="AH128" t="s">
        <v>183</v>
      </c>
      <c r="AI128" t="s">
        <v>1734</v>
      </c>
      <c r="AJ128" t="s">
        <v>1734</v>
      </c>
      <c r="AK128" t="s">
        <v>1735</v>
      </c>
      <c r="AL128" t="s">
        <v>1736</v>
      </c>
      <c r="AM128" t="s">
        <v>1737</v>
      </c>
      <c r="AP128" t="s">
        <v>1738</v>
      </c>
      <c r="AQ128" t="s">
        <v>1739</v>
      </c>
      <c r="AR128" t="s">
        <v>1740</v>
      </c>
      <c r="AS128" t="s">
        <v>1741</v>
      </c>
      <c r="AT128">
        <v>2310566456</v>
      </c>
      <c r="AU128" t="s">
        <v>1742</v>
      </c>
      <c r="AV128" t="s">
        <v>10</v>
      </c>
      <c r="AW128" t="s">
        <v>1743</v>
      </c>
      <c r="AX128" t="s">
        <v>1743</v>
      </c>
      <c r="AY128" s="2" t="s">
        <v>1744</v>
      </c>
      <c r="AZ128" t="s">
        <v>1745</v>
      </c>
      <c r="BA128" t="s">
        <v>1746</v>
      </c>
      <c r="BB128" t="s">
        <v>804</v>
      </c>
      <c r="BC128" t="s">
        <v>223</v>
      </c>
      <c r="BD128" t="s">
        <v>188</v>
      </c>
      <c r="BE128">
        <v>510220</v>
      </c>
      <c r="BF128" t="s">
        <v>1797</v>
      </c>
      <c r="BG128" t="s">
        <v>1747</v>
      </c>
      <c r="BH128" s="6" t="b">
        <v>0</v>
      </c>
      <c r="BI128" t="s">
        <v>1748</v>
      </c>
      <c r="BJ128" t="s">
        <v>1749</v>
      </c>
      <c r="BK128">
        <v>4453163191</v>
      </c>
      <c r="BL128" t="s">
        <v>162</v>
      </c>
      <c r="BM128" s="2" t="s">
        <v>161</v>
      </c>
      <c r="BP128" t="s">
        <v>89</v>
      </c>
      <c r="BQ128">
        <v>6104620090</v>
      </c>
      <c r="BS128" t="s">
        <v>180</v>
      </c>
      <c r="BT128" t="s">
        <v>103</v>
      </c>
      <c r="BV128">
        <v>85.1</v>
      </c>
      <c r="BW128">
        <v>195.45</v>
      </c>
      <c r="BX128">
        <v>0</v>
      </c>
      <c r="BY128">
        <v>0</v>
      </c>
      <c r="BZ128">
        <v>0</v>
      </c>
      <c r="CA128">
        <v>0</v>
      </c>
      <c r="CB128">
        <v>280.55</v>
      </c>
      <c r="CF128" s="2"/>
      <c r="CH128" s="2"/>
      <c r="CJ128" t="s">
        <v>1023</v>
      </c>
      <c r="CK128" t="s">
        <v>165</v>
      </c>
      <c r="CL128">
        <v>43730.428425925929</v>
      </c>
      <c r="CO128" t="s">
        <v>11</v>
      </c>
      <c r="CP128">
        <v>1409.62</v>
      </c>
      <c r="CQ128" t="s">
        <v>11</v>
      </c>
      <c r="CR128">
        <v>1409.62</v>
      </c>
      <c r="CV128" t="s">
        <v>190</v>
      </c>
      <c r="CW128" t="s">
        <v>12</v>
      </c>
      <c r="CX128" t="s">
        <v>12</v>
      </c>
      <c r="CY128" t="s">
        <v>12</v>
      </c>
      <c r="DA128" t="s">
        <v>104</v>
      </c>
      <c r="DD128" t="s">
        <v>93</v>
      </c>
      <c r="DQ128" t="s">
        <v>94</v>
      </c>
      <c r="DR128" t="s">
        <v>94</v>
      </c>
      <c r="DS128" t="s">
        <v>94</v>
      </c>
      <c r="DT128" t="s">
        <v>94</v>
      </c>
      <c r="DU128" t="s">
        <v>94</v>
      </c>
      <c r="DV128" t="s">
        <v>94</v>
      </c>
      <c r="DW128" t="s">
        <v>94</v>
      </c>
      <c r="DX128" s="2" t="s">
        <v>94</v>
      </c>
      <c r="DY128" t="s">
        <v>94</v>
      </c>
      <c r="DZ128" t="s">
        <v>94</v>
      </c>
      <c r="EA128" t="s">
        <v>94</v>
      </c>
      <c r="EB128" t="s">
        <v>94</v>
      </c>
      <c r="EC128" t="s">
        <v>94</v>
      </c>
      <c r="ED128" t="s">
        <v>94</v>
      </c>
      <c r="EE128" t="s">
        <v>89</v>
      </c>
      <c r="EF128" t="s">
        <v>425</v>
      </c>
      <c r="EG128" t="s">
        <v>105</v>
      </c>
      <c r="EJ128" t="s">
        <v>166</v>
      </c>
      <c r="EK128" t="b">
        <v>0</v>
      </c>
      <c r="EL128" t="b">
        <v>0</v>
      </c>
      <c r="EM128" t="b">
        <v>0</v>
      </c>
      <c r="EO128" t="s">
        <v>177</v>
      </c>
      <c r="EP128" t="s">
        <v>1798</v>
      </c>
    </row>
    <row r="129" spans="3:146" ht="15">
      <c r="C129" s="82" t="s">
        <v>205</v>
      </c>
      <c r="D129" s="5"/>
      <c r="E129" s="4">
        <v>1</v>
      </c>
      <c r="F129" s="5">
        <v>6</v>
      </c>
      <c r="G129" s="5" t="s">
        <v>1119</v>
      </c>
      <c r="H129" s="4" t="s">
        <v>1795</v>
      </c>
      <c r="I129" s="81" t="s">
        <v>817</v>
      </c>
      <c r="J129" s="21"/>
      <c r="K129" s="22" t="s">
        <v>1732</v>
      </c>
      <c r="L129" s="84" t="s">
        <v>1415</v>
      </c>
      <c r="M129" s="23" t="s">
        <v>817</v>
      </c>
      <c r="N129" s="23">
        <v>43730</v>
      </c>
      <c r="O129" s="24" t="s">
        <v>102</v>
      </c>
      <c r="P129" s="24" t="s">
        <v>181</v>
      </c>
      <c r="Q129" s="24">
        <v>1</v>
      </c>
      <c r="R129" s="24">
        <v>6</v>
      </c>
      <c r="S129" t="s">
        <v>528</v>
      </c>
      <c r="T129">
        <v>180</v>
      </c>
      <c r="U129" s="2" t="s">
        <v>163</v>
      </c>
      <c r="V129">
        <v>43730.665335648147</v>
      </c>
      <c r="W129" s="2" t="s">
        <v>444</v>
      </c>
      <c r="Y129">
        <v>43734.52553240741</v>
      </c>
      <c r="AC129" t="s">
        <v>9</v>
      </c>
      <c r="AD129" t="s">
        <v>1733</v>
      </c>
      <c r="AE129" t="s">
        <v>209</v>
      </c>
      <c r="AF129" t="s">
        <v>1796</v>
      </c>
      <c r="AG129" t="s">
        <v>1796</v>
      </c>
      <c r="AH129" t="s">
        <v>183</v>
      </c>
      <c r="AI129" t="s">
        <v>1734</v>
      </c>
      <c r="AJ129" t="s">
        <v>1734</v>
      </c>
      <c r="AK129" t="s">
        <v>1735</v>
      </c>
      <c r="AL129" t="s">
        <v>1736</v>
      </c>
      <c r="AM129" t="s">
        <v>1737</v>
      </c>
      <c r="AP129" t="s">
        <v>1738</v>
      </c>
      <c r="AQ129" t="s">
        <v>1739</v>
      </c>
      <c r="AR129" t="s">
        <v>1740</v>
      </c>
      <c r="AS129" t="s">
        <v>1741</v>
      </c>
      <c r="AT129">
        <v>2310566456</v>
      </c>
      <c r="AU129" t="s">
        <v>1742</v>
      </c>
      <c r="AV129" t="s">
        <v>10</v>
      </c>
      <c r="AW129" t="s">
        <v>1743</v>
      </c>
      <c r="AX129" t="s">
        <v>1743</v>
      </c>
      <c r="AY129" s="2" t="s">
        <v>1744</v>
      </c>
      <c r="AZ129" t="s">
        <v>1745</v>
      </c>
      <c r="BA129" t="s">
        <v>1746</v>
      </c>
      <c r="BB129" t="s">
        <v>804</v>
      </c>
      <c r="BC129" t="s">
        <v>223</v>
      </c>
      <c r="BD129" t="s">
        <v>188</v>
      </c>
      <c r="BE129">
        <v>510220</v>
      </c>
      <c r="BF129" t="s">
        <v>1797</v>
      </c>
      <c r="BG129" t="s">
        <v>1747</v>
      </c>
      <c r="BH129" s="6" t="b">
        <v>0</v>
      </c>
      <c r="BI129" t="s">
        <v>1748</v>
      </c>
      <c r="BJ129" t="s">
        <v>1749</v>
      </c>
      <c r="BK129">
        <v>4453163191</v>
      </c>
      <c r="BL129" t="s">
        <v>162</v>
      </c>
      <c r="BM129" s="2" t="s">
        <v>161</v>
      </c>
      <c r="BP129" t="s">
        <v>89</v>
      </c>
      <c r="BQ129">
        <v>6104620090</v>
      </c>
      <c r="BS129" t="s">
        <v>180</v>
      </c>
      <c r="BT129" t="s">
        <v>103</v>
      </c>
      <c r="BV129">
        <v>85.1</v>
      </c>
      <c r="BW129">
        <v>195.45</v>
      </c>
      <c r="BX129">
        <v>0</v>
      </c>
      <c r="BY129">
        <v>0</v>
      </c>
      <c r="BZ129">
        <v>0</v>
      </c>
      <c r="CA129">
        <v>0</v>
      </c>
      <c r="CB129">
        <v>280.55</v>
      </c>
      <c r="CF129" s="2"/>
      <c r="CH129" s="2"/>
      <c r="CJ129" t="s">
        <v>1023</v>
      </c>
      <c r="CK129" t="s">
        <v>165</v>
      </c>
      <c r="CL129">
        <v>43730.428425925929</v>
      </c>
      <c r="CO129" t="s">
        <v>11</v>
      </c>
      <c r="CP129">
        <v>1409.62</v>
      </c>
      <c r="CQ129" t="s">
        <v>11</v>
      </c>
      <c r="CR129">
        <v>1409.62</v>
      </c>
      <c r="CV129" t="s">
        <v>190</v>
      </c>
      <c r="CW129" t="s">
        <v>12</v>
      </c>
      <c r="CX129" t="s">
        <v>12</v>
      </c>
      <c r="CY129" t="s">
        <v>12</v>
      </c>
      <c r="DA129" t="s">
        <v>104</v>
      </c>
      <c r="DD129" t="s">
        <v>93</v>
      </c>
      <c r="DQ129" t="s">
        <v>94</v>
      </c>
      <c r="DR129" t="s">
        <v>94</v>
      </c>
      <c r="DS129" t="s">
        <v>94</v>
      </c>
      <c r="DT129" t="s">
        <v>94</v>
      </c>
      <c r="DU129" t="s">
        <v>94</v>
      </c>
      <c r="DV129" t="s">
        <v>94</v>
      </c>
      <c r="DW129" t="s">
        <v>94</v>
      </c>
      <c r="DX129" s="2" t="s">
        <v>94</v>
      </c>
      <c r="DY129" t="s">
        <v>94</v>
      </c>
      <c r="DZ129" t="s">
        <v>94</v>
      </c>
      <c r="EA129" t="s">
        <v>94</v>
      </c>
      <c r="EB129" t="s">
        <v>94</v>
      </c>
      <c r="EC129" t="s">
        <v>94</v>
      </c>
      <c r="ED129" t="s">
        <v>94</v>
      </c>
      <c r="EE129" t="s">
        <v>89</v>
      </c>
      <c r="EF129" t="s">
        <v>425</v>
      </c>
      <c r="EG129" t="s">
        <v>105</v>
      </c>
      <c r="EJ129" t="s">
        <v>166</v>
      </c>
      <c r="EK129" t="b">
        <v>0</v>
      </c>
      <c r="EL129" t="b">
        <v>0</v>
      </c>
      <c r="EM129" t="b">
        <v>0</v>
      </c>
      <c r="EO129" t="s">
        <v>177</v>
      </c>
      <c r="EP129" t="s">
        <v>1799</v>
      </c>
    </row>
    <row r="130" spans="3:146" ht="15">
      <c r="C130" s="82" t="s">
        <v>205</v>
      </c>
      <c r="D130" s="5"/>
      <c r="E130" s="4">
        <v>1</v>
      </c>
      <c r="F130" s="5">
        <v>6</v>
      </c>
      <c r="G130" s="5" t="s">
        <v>1119</v>
      </c>
      <c r="H130" s="4" t="s">
        <v>1800</v>
      </c>
      <c r="I130" s="81" t="s">
        <v>817</v>
      </c>
      <c r="J130" s="21"/>
      <c r="K130" s="22" t="s">
        <v>1732</v>
      </c>
      <c r="L130" s="84" t="s">
        <v>1415</v>
      </c>
      <c r="M130" s="23" t="s">
        <v>817</v>
      </c>
      <c r="N130" s="23">
        <v>43730</v>
      </c>
      <c r="O130" s="24" t="s">
        <v>102</v>
      </c>
      <c r="P130" s="24" t="s">
        <v>181</v>
      </c>
      <c r="Q130" s="24">
        <v>1</v>
      </c>
      <c r="R130" s="24">
        <v>6</v>
      </c>
      <c r="S130" t="s">
        <v>528</v>
      </c>
      <c r="T130">
        <v>180</v>
      </c>
      <c r="U130" s="2" t="s">
        <v>163</v>
      </c>
      <c r="V130">
        <v>43730.665335648147</v>
      </c>
      <c r="W130" s="2" t="s">
        <v>444</v>
      </c>
      <c r="X130">
        <v>43734.52553240741</v>
      </c>
      <c r="AB130" t="s">
        <v>9</v>
      </c>
      <c r="AC130" t="s">
        <v>1733</v>
      </c>
      <c r="AD130" t="s">
        <v>209</v>
      </c>
      <c r="AE130" t="s">
        <v>1796</v>
      </c>
      <c r="AF130" t="s">
        <v>1796</v>
      </c>
      <c r="AG130" t="s">
        <v>183</v>
      </c>
      <c r="AH130" t="s">
        <v>1734</v>
      </c>
      <c r="AI130" t="s">
        <v>1734</v>
      </c>
      <c r="AJ130" t="s">
        <v>1735</v>
      </c>
      <c r="AK130" t="s">
        <v>1736</v>
      </c>
      <c r="AL130" t="s">
        <v>1737</v>
      </c>
      <c r="AO130" t="s">
        <v>1738</v>
      </c>
      <c r="AP130" t="s">
        <v>1739</v>
      </c>
      <c r="AQ130" t="s">
        <v>1740</v>
      </c>
      <c r="AR130" t="s">
        <v>1741</v>
      </c>
      <c r="AS130">
        <v>2310566456</v>
      </c>
      <c r="AT130" t="s">
        <v>1742</v>
      </c>
      <c r="AU130" t="s">
        <v>10</v>
      </c>
      <c r="AV130" t="s">
        <v>1743</v>
      </c>
      <c r="AW130" t="s">
        <v>1743</v>
      </c>
      <c r="AX130" t="s">
        <v>1744</v>
      </c>
      <c r="AY130" s="2" t="s">
        <v>1745</v>
      </c>
      <c r="AZ130" t="s">
        <v>1746</v>
      </c>
      <c r="BA130" t="s">
        <v>804</v>
      </c>
      <c r="BB130" t="s">
        <v>223</v>
      </c>
      <c r="BC130" t="s">
        <v>188</v>
      </c>
      <c r="BD130">
        <v>510220</v>
      </c>
      <c r="BE130" t="s">
        <v>1797</v>
      </c>
      <c r="BF130" t="s">
        <v>1747</v>
      </c>
      <c r="BG130" t="b">
        <v>0</v>
      </c>
      <c r="BH130" s="6" t="s">
        <v>1748</v>
      </c>
      <c r="BI130" t="s">
        <v>1749</v>
      </c>
      <c r="BJ130">
        <v>4453163191</v>
      </c>
      <c r="BK130" t="s">
        <v>162</v>
      </c>
      <c r="BL130" t="s">
        <v>161</v>
      </c>
      <c r="BM130" s="2"/>
      <c r="BO130" t="s">
        <v>89</v>
      </c>
      <c r="BP130">
        <v>6104620090</v>
      </c>
      <c r="BR130" t="s">
        <v>180</v>
      </c>
      <c r="BS130" t="s">
        <v>103</v>
      </c>
      <c r="BU130">
        <v>85.1</v>
      </c>
      <c r="BV130">
        <v>195.45</v>
      </c>
      <c r="BW130">
        <v>0</v>
      </c>
      <c r="BX130">
        <v>0</v>
      </c>
      <c r="BY130">
        <v>0</v>
      </c>
      <c r="BZ130">
        <v>0</v>
      </c>
      <c r="CA130">
        <v>280.55</v>
      </c>
      <c r="CF130" s="2"/>
      <c r="CH130" s="2"/>
      <c r="CJ130" t="s">
        <v>1023</v>
      </c>
      <c r="CK130" t="s">
        <v>165</v>
      </c>
      <c r="CL130">
        <v>43730.428425925929</v>
      </c>
      <c r="CO130" t="s">
        <v>11</v>
      </c>
      <c r="CP130">
        <v>1409.62</v>
      </c>
      <c r="CQ130" t="s">
        <v>11</v>
      </c>
      <c r="CR130">
        <v>1409.62</v>
      </c>
      <c r="CV130" t="s">
        <v>190</v>
      </c>
      <c r="CW130" t="s">
        <v>12</v>
      </c>
      <c r="CX130" t="s">
        <v>12</v>
      </c>
      <c r="CY130" t="s">
        <v>12</v>
      </c>
      <c r="DA130" t="s">
        <v>104</v>
      </c>
      <c r="DD130" t="s">
        <v>93</v>
      </c>
      <c r="DQ130" t="s">
        <v>94</v>
      </c>
      <c r="DR130" t="s">
        <v>94</v>
      </c>
      <c r="DS130" t="s">
        <v>94</v>
      </c>
      <c r="DT130" t="s">
        <v>94</v>
      </c>
      <c r="DU130" t="s">
        <v>94</v>
      </c>
      <c r="DV130" t="s">
        <v>94</v>
      </c>
      <c r="DW130" t="s">
        <v>94</v>
      </c>
      <c r="DX130" s="2" t="s">
        <v>94</v>
      </c>
      <c r="DY130" t="s">
        <v>94</v>
      </c>
      <c r="DZ130" t="s">
        <v>94</v>
      </c>
      <c r="EA130" t="s">
        <v>94</v>
      </c>
      <c r="EB130" t="s">
        <v>94</v>
      </c>
      <c r="EC130" t="s">
        <v>94</v>
      </c>
      <c r="ED130" t="s">
        <v>94</v>
      </c>
      <c r="EE130" t="s">
        <v>89</v>
      </c>
      <c r="EF130" t="s">
        <v>425</v>
      </c>
      <c r="EG130" t="s">
        <v>105</v>
      </c>
      <c r="EJ130" t="s">
        <v>166</v>
      </c>
      <c r="EK130" t="b">
        <v>0</v>
      </c>
      <c r="EL130" t="b">
        <v>0</v>
      </c>
      <c r="EM130" t="b">
        <v>0</v>
      </c>
      <c r="EO130" t="s">
        <v>177</v>
      </c>
      <c r="EP130" t="s">
        <v>1801</v>
      </c>
    </row>
    <row r="131" spans="3:146" ht="15">
      <c r="C131" s="82" t="s">
        <v>205</v>
      </c>
      <c r="D131" s="5"/>
      <c r="E131" s="4">
        <v>1</v>
      </c>
      <c r="F131" s="5">
        <v>0.25</v>
      </c>
      <c r="G131" s="5" t="s">
        <v>1650</v>
      </c>
      <c r="H131" s="4" t="s">
        <v>1802</v>
      </c>
      <c r="I131" s="81" t="s">
        <v>920</v>
      </c>
      <c r="J131" s="21"/>
      <c r="K131" s="22" t="s">
        <v>1764</v>
      </c>
      <c r="L131" s="84" t="s">
        <v>1551</v>
      </c>
      <c r="M131" s="23" t="s">
        <v>905</v>
      </c>
      <c r="N131" s="23">
        <v>43736</v>
      </c>
      <c r="O131" s="24" t="s">
        <v>102</v>
      </c>
      <c r="P131" s="24" t="s">
        <v>179</v>
      </c>
      <c r="Q131" s="24">
        <v>1</v>
      </c>
      <c r="R131" s="24">
        <v>0.25</v>
      </c>
      <c r="S131" t="s">
        <v>319</v>
      </c>
      <c r="T131">
        <v>30</v>
      </c>
      <c r="U131" s="2" t="s">
        <v>163</v>
      </c>
      <c r="V131">
        <v>43736.782002314816</v>
      </c>
      <c r="W131" s="2" t="s">
        <v>444</v>
      </c>
      <c r="X131">
        <v>43738.446342592593</v>
      </c>
      <c r="AB131" t="s">
        <v>9</v>
      </c>
      <c r="AC131" t="s">
        <v>1765</v>
      </c>
      <c r="AD131" t="s">
        <v>209</v>
      </c>
      <c r="AE131" t="s">
        <v>1803</v>
      </c>
      <c r="AF131" t="s">
        <v>1803</v>
      </c>
      <c r="AG131" t="s">
        <v>183</v>
      </c>
      <c r="AH131" t="s">
        <v>1766</v>
      </c>
      <c r="AI131" t="s">
        <v>1766</v>
      </c>
      <c r="AJ131" t="s">
        <v>776</v>
      </c>
      <c r="AK131" t="s">
        <v>777</v>
      </c>
      <c r="AL131" t="s">
        <v>1767</v>
      </c>
      <c r="AO131" t="s">
        <v>1768</v>
      </c>
      <c r="AP131" t="s">
        <v>1769</v>
      </c>
      <c r="AQ131" t="s">
        <v>1770</v>
      </c>
      <c r="AR131" t="s">
        <v>1804</v>
      </c>
      <c r="AS131">
        <v>689499898080</v>
      </c>
      <c r="AT131" t="s">
        <v>1771</v>
      </c>
      <c r="AU131" t="s">
        <v>10</v>
      </c>
      <c r="AV131" t="s">
        <v>1772</v>
      </c>
      <c r="AW131" t="s">
        <v>1772</v>
      </c>
      <c r="AX131" t="s">
        <v>1773</v>
      </c>
      <c r="AY131" s="2" t="s">
        <v>1774</v>
      </c>
      <c r="BA131" t="s">
        <v>299</v>
      </c>
      <c r="BB131" t="s">
        <v>300</v>
      </c>
      <c r="BC131" t="s">
        <v>188</v>
      </c>
      <c r="BD131">
        <v>511400</v>
      </c>
      <c r="BE131" t="s">
        <v>1805</v>
      </c>
      <c r="BF131" t="s">
        <v>1775</v>
      </c>
      <c r="BG131" t="b">
        <v>0</v>
      </c>
      <c r="BH131" s="6" t="s">
        <v>1776</v>
      </c>
      <c r="BI131" t="s">
        <v>1777</v>
      </c>
      <c r="BJ131">
        <v>4453163191</v>
      </c>
      <c r="BK131" t="s">
        <v>162</v>
      </c>
      <c r="BL131" t="s">
        <v>161</v>
      </c>
      <c r="BM131" s="2"/>
      <c r="BO131" t="s">
        <v>89</v>
      </c>
      <c r="BP131">
        <v>85423990</v>
      </c>
      <c r="BR131" t="s">
        <v>180</v>
      </c>
      <c r="BS131" t="s">
        <v>103</v>
      </c>
      <c r="BU131">
        <v>0</v>
      </c>
      <c r="BV131">
        <v>0</v>
      </c>
      <c r="BW131">
        <v>0</v>
      </c>
      <c r="BX131">
        <v>0</v>
      </c>
      <c r="BY131">
        <v>0</v>
      </c>
      <c r="BZ131">
        <v>0</v>
      </c>
      <c r="CA131">
        <v>0</v>
      </c>
      <c r="CF131" s="2"/>
      <c r="CH131" s="2"/>
      <c r="CJ131" t="s">
        <v>1023</v>
      </c>
      <c r="CK131" t="s">
        <v>1509</v>
      </c>
      <c r="CL131">
        <v>43736.374976851854</v>
      </c>
      <c r="CO131" t="s">
        <v>11</v>
      </c>
      <c r="CP131">
        <v>212.18</v>
      </c>
      <c r="CQ131" t="s">
        <v>11</v>
      </c>
      <c r="CR131">
        <v>212.18</v>
      </c>
      <c r="CV131" t="s">
        <v>190</v>
      </c>
      <c r="CW131" t="s">
        <v>12</v>
      </c>
      <c r="CX131" t="s">
        <v>12</v>
      </c>
      <c r="CY131" t="s">
        <v>12</v>
      </c>
      <c r="DA131" t="s">
        <v>104</v>
      </c>
      <c r="DD131" t="s">
        <v>93</v>
      </c>
      <c r="DQ131" t="s">
        <v>94</v>
      </c>
      <c r="DR131" t="s">
        <v>94</v>
      </c>
      <c r="DS131" t="s">
        <v>94</v>
      </c>
      <c r="DT131" t="s">
        <v>94</v>
      </c>
      <c r="DU131" t="s">
        <v>94</v>
      </c>
      <c r="DV131" t="s">
        <v>94</v>
      </c>
      <c r="DW131" t="s">
        <v>94</v>
      </c>
      <c r="DX131" s="2" t="s">
        <v>94</v>
      </c>
      <c r="DY131" t="s">
        <v>94</v>
      </c>
      <c r="DZ131" t="s">
        <v>94</v>
      </c>
      <c r="EA131" t="s">
        <v>94</v>
      </c>
      <c r="EB131" t="s">
        <v>94</v>
      </c>
      <c r="EC131" t="s">
        <v>94</v>
      </c>
      <c r="ED131" t="s">
        <v>94</v>
      </c>
      <c r="EE131" t="s">
        <v>89</v>
      </c>
      <c r="EF131" t="s">
        <v>425</v>
      </c>
      <c r="EG131" t="s">
        <v>105</v>
      </c>
      <c r="EJ131" t="s">
        <v>166</v>
      </c>
      <c r="EK131" t="b">
        <v>0</v>
      </c>
      <c r="EL131" t="b">
        <v>0</v>
      </c>
      <c r="EM131" t="b">
        <v>0</v>
      </c>
      <c r="EO131" t="s">
        <v>177</v>
      </c>
      <c r="EP131" t="s">
        <v>1806</v>
      </c>
    </row>
    <row r="132" spans="3:146" ht="15">
      <c r="C132" s="82" t="s">
        <v>205</v>
      </c>
      <c r="D132" s="5"/>
      <c r="E132" s="4">
        <v>3</v>
      </c>
      <c r="F132" s="5">
        <v>37.799999999999997</v>
      </c>
      <c r="G132" s="5" t="s">
        <v>1807</v>
      </c>
      <c r="H132" s="4" t="s">
        <v>1808</v>
      </c>
      <c r="I132" s="81" t="s">
        <v>920</v>
      </c>
      <c r="J132" s="21"/>
      <c r="K132" s="22" t="s">
        <v>1778</v>
      </c>
      <c r="L132" s="84" t="s">
        <v>1779</v>
      </c>
      <c r="M132" s="23" t="s">
        <v>920</v>
      </c>
      <c r="N132" s="23">
        <v>43737</v>
      </c>
      <c r="O132" s="24" t="s">
        <v>102</v>
      </c>
      <c r="P132" s="24" t="s">
        <v>181</v>
      </c>
      <c r="Q132" s="24">
        <v>3</v>
      </c>
      <c r="R132" s="24">
        <v>37.799999999999997</v>
      </c>
      <c r="S132" t="s">
        <v>11</v>
      </c>
      <c r="T132">
        <v>1980</v>
      </c>
      <c r="U132" s="2" t="s">
        <v>1780</v>
      </c>
      <c r="V132">
        <v>43746.65457175926</v>
      </c>
      <c r="W132" s="2" t="s">
        <v>444</v>
      </c>
      <c r="X132">
        <v>43746.669918981483</v>
      </c>
      <c r="AB132" t="s">
        <v>9</v>
      </c>
      <c r="AC132" t="s">
        <v>1781</v>
      </c>
      <c r="AD132" t="s">
        <v>209</v>
      </c>
      <c r="AE132" t="s">
        <v>183</v>
      </c>
      <c r="AF132" t="s">
        <v>183</v>
      </c>
      <c r="AG132" t="s">
        <v>1809</v>
      </c>
      <c r="AH132" t="s">
        <v>1782</v>
      </c>
      <c r="AI132" t="s">
        <v>1782</v>
      </c>
      <c r="AJ132" t="s">
        <v>776</v>
      </c>
      <c r="AK132" t="s">
        <v>777</v>
      </c>
      <c r="AL132" t="s">
        <v>1783</v>
      </c>
      <c r="AO132" t="s">
        <v>1784</v>
      </c>
      <c r="AP132" t="s">
        <v>1785</v>
      </c>
      <c r="AQ132" t="s">
        <v>782</v>
      </c>
      <c r="AR132" t="s">
        <v>1810</v>
      </c>
      <c r="AS132">
        <v>2862701261</v>
      </c>
      <c r="AT132" t="s">
        <v>1786</v>
      </c>
      <c r="AU132" t="s">
        <v>10</v>
      </c>
      <c r="AV132" t="s">
        <v>1787</v>
      </c>
      <c r="AW132" t="s">
        <v>1787</v>
      </c>
      <c r="AX132" t="s">
        <v>1788</v>
      </c>
      <c r="AY132" s="2" t="s">
        <v>1789</v>
      </c>
      <c r="BA132" t="s">
        <v>230</v>
      </c>
      <c r="BB132" t="s">
        <v>223</v>
      </c>
      <c r="BC132" t="s">
        <v>188</v>
      </c>
      <c r="BD132">
        <v>510623</v>
      </c>
      <c r="BE132" t="s">
        <v>1790</v>
      </c>
      <c r="BF132" t="s">
        <v>1791</v>
      </c>
      <c r="BG132" t="b">
        <v>0</v>
      </c>
      <c r="BH132" s="6" t="s">
        <v>1792</v>
      </c>
      <c r="BI132" t="s">
        <v>1793</v>
      </c>
      <c r="BJ132">
        <v>4453163191</v>
      </c>
      <c r="BK132" t="s">
        <v>162</v>
      </c>
      <c r="BL132" t="s">
        <v>161</v>
      </c>
      <c r="BM132" s="2"/>
      <c r="BN132" t="s">
        <v>1794</v>
      </c>
      <c r="BO132" t="s">
        <v>89</v>
      </c>
      <c r="BP132">
        <v>9403900099</v>
      </c>
      <c r="BR132" t="s">
        <v>189</v>
      </c>
      <c r="BS132" t="s">
        <v>103</v>
      </c>
      <c r="BU132">
        <v>0</v>
      </c>
      <c r="BV132">
        <v>257.39999999999998</v>
      </c>
      <c r="BW132">
        <v>0</v>
      </c>
      <c r="BX132">
        <v>0</v>
      </c>
      <c r="BY132">
        <v>0</v>
      </c>
      <c r="BZ132">
        <v>0</v>
      </c>
      <c r="CA132">
        <v>257.39999999999998</v>
      </c>
      <c r="CF132" s="2"/>
      <c r="CH132" s="2"/>
      <c r="CJ132" t="s">
        <v>1023</v>
      </c>
      <c r="CK132" t="s">
        <v>500</v>
      </c>
      <c r="CL132">
        <v>43737.570104166669</v>
      </c>
      <c r="CO132" t="s">
        <v>11</v>
      </c>
      <c r="CP132">
        <v>1980</v>
      </c>
      <c r="CQ132" t="s">
        <v>11</v>
      </c>
      <c r="CR132">
        <v>1980</v>
      </c>
      <c r="CV132" t="s">
        <v>525</v>
      </c>
      <c r="CW132" t="s">
        <v>12</v>
      </c>
      <c r="CX132" t="s">
        <v>12</v>
      </c>
      <c r="CY132" t="s">
        <v>12</v>
      </c>
      <c r="DA132" t="s">
        <v>104</v>
      </c>
      <c r="DD132" t="s">
        <v>93</v>
      </c>
      <c r="DQ132" t="s">
        <v>94</v>
      </c>
      <c r="DR132" t="s">
        <v>94</v>
      </c>
      <c r="DS132" t="s">
        <v>94</v>
      </c>
      <c r="DT132" t="s">
        <v>94</v>
      </c>
      <c r="DU132" t="s">
        <v>94</v>
      </c>
      <c r="DV132" t="s">
        <v>94</v>
      </c>
      <c r="DW132" t="s">
        <v>94</v>
      </c>
      <c r="DX132" s="2" t="s">
        <v>94</v>
      </c>
      <c r="DY132" t="s">
        <v>94</v>
      </c>
      <c r="DZ132" t="s">
        <v>94</v>
      </c>
      <c r="EA132" t="s">
        <v>94</v>
      </c>
      <c r="EB132" t="s">
        <v>94</v>
      </c>
      <c r="EC132" t="s">
        <v>94</v>
      </c>
      <c r="ED132" t="s">
        <v>94</v>
      </c>
      <c r="EE132" t="s">
        <v>89</v>
      </c>
      <c r="EF132" t="s">
        <v>425</v>
      </c>
      <c r="EG132" t="s">
        <v>105</v>
      </c>
      <c r="EJ132" t="s">
        <v>526</v>
      </c>
      <c r="EK132" t="b">
        <v>0</v>
      </c>
      <c r="EL132" t="b">
        <v>0</v>
      </c>
      <c r="EM132" t="b">
        <v>0</v>
      </c>
      <c r="EO132" t="s">
        <v>177</v>
      </c>
      <c r="EP132" t="s">
        <v>1811</v>
      </c>
    </row>
    <row r="133" spans="3:146" ht="15">
      <c r="C133" s="82">
        <v>131</v>
      </c>
      <c r="D133" s="5"/>
      <c r="E133" s="4">
        <v>1</v>
      </c>
      <c r="F133" s="5">
        <v>0.55000000000000004</v>
      </c>
      <c r="G133" s="5" t="s">
        <v>1246</v>
      </c>
      <c r="H133" s="4" t="s">
        <v>1812</v>
      </c>
      <c r="I133" s="81" t="s">
        <v>164</v>
      </c>
      <c r="J133" s="21"/>
      <c r="K133" s="22" t="s">
        <v>1750</v>
      </c>
      <c r="L133" s="84" t="s">
        <v>1414</v>
      </c>
      <c r="M133" s="23" t="s">
        <v>447</v>
      </c>
      <c r="N133" s="23">
        <v>43729</v>
      </c>
      <c r="O133" s="24" t="s">
        <v>102</v>
      </c>
      <c r="P133" s="24" t="s">
        <v>179</v>
      </c>
      <c r="Q133" s="24">
        <v>1</v>
      </c>
      <c r="R133" s="24">
        <v>0.55000000000000004</v>
      </c>
      <c r="S133" t="s">
        <v>528</v>
      </c>
      <c r="T133">
        <v>23</v>
      </c>
      <c r="U133" s="2" t="s">
        <v>163</v>
      </c>
      <c r="V133">
        <v>43729.790601851855</v>
      </c>
      <c r="W133" s="2" t="s">
        <v>444</v>
      </c>
      <c r="X133">
        <v>43733.444074074076</v>
      </c>
      <c r="AB133" t="s">
        <v>9</v>
      </c>
      <c r="AC133" t="s">
        <v>1751</v>
      </c>
      <c r="AD133" t="s">
        <v>182</v>
      </c>
      <c r="AE133" t="s">
        <v>1813</v>
      </c>
      <c r="AF133" t="s">
        <v>1813</v>
      </c>
      <c r="AG133" t="s">
        <v>183</v>
      </c>
      <c r="AH133" t="s">
        <v>1752</v>
      </c>
      <c r="AI133" t="s">
        <v>1752</v>
      </c>
      <c r="AJ133" t="s">
        <v>601</v>
      </c>
      <c r="AK133" t="s">
        <v>602</v>
      </c>
      <c r="AL133" t="s">
        <v>1753</v>
      </c>
      <c r="AO133" t="s">
        <v>1754</v>
      </c>
      <c r="AP133" t="s">
        <v>1755</v>
      </c>
      <c r="AQ133" t="s">
        <v>1436</v>
      </c>
      <c r="AR133" t="s">
        <v>1814</v>
      </c>
      <c r="AS133">
        <v>461303700</v>
      </c>
      <c r="AT133" t="s">
        <v>1756</v>
      </c>
      <c r="AU133" t="s">
        <v>10</v>
      </c>
      <c r="AV133" t="s">
        <v>1757</v>
      </c>
      <c r="AW133" t="s">
        <v>1757</v>
      </c>
      <c r="AX133" t="s">
        <v>1758</v>
      </c>
      <c r="AY133" s="2" t="s">
        <v>1759</v>
      </c>
      <c r="AZ133" t="s">
        <v>1760</v>
      </c>
      <c r="BA133" t="s">
        <v>194</v>
      </c>
      <c r="BB133" t="s">
        <v>187</v>
      </c>
      <c r="BC133" t="s">
        <v>188</v>
      </c>
      <c r="BD133">
        <v>518125</v>
      </c>
      <c r="BE133" t="s">
        <v>1815</v>
      </c>
      <c r="BF133" t="s">
        <v>1761</v>
      </c>
      <c r="BG133" t="b">
        <v>0</v>
      </c>
      <c r="BH133" s="6" t="s">
        <v>1762</v>
      </c>
      <c r="BI133" t="s">
        <v>1763</v>
      </c>
      <c r="BJ133">
        <v>4453163191</v>
      </c>
      <c r="BK133" t="s">
        <v>162</v>
      </c>
      <c r="BL133" t="s">
        <v>161</v>
      </c>
      <c r="BM133" s="2"/>
      <c r="BO133" t="s">
        <v>89</v>
      </c>
      <c r="BP133">
        <v>3926909090</v>
      </c>
      <c r="BR133" t="s">
        <v>180</v>
      </c>
      <c r="BS133" t="s">
        <v>103</v>
      </c>
      <c r="BU133">
        <v>0</v>
      </c>
      <c r="BV133">
        <v>0</v>
      </c>
      <c r="BW133">
        <v>0</v>
      </c>
      <c r="BX133">
        <v>0</v>
      </c>
      <c r="BY133">
        <v>0</v>
      </c>
      <c r="BZ133">
        <v>0</v>
      </c>
      <c r="CA133">
        <v>0</v>
      </c>
      <c r="CF133" s="2"/>
      <c r="CH133" s="2"/>
      <c r="CJ133" t="s">
        <v>1023</v>
      </c>
      <c r="CK133" t="s">
        <v>445</v>
      </c>
      <c r="CL133">
        <v>43729.562858796293</v>
      </c>
      <c r="CO133" t="s">
        <v>11</v>
      </c>
      <c r="CP133">
        <v>180.12</v>
      </c>
      <c r="CQ133" t="s">
        <v>11</v>
      </c>
      <c r="CR133">
        <v>180.12</v>
      </c>
      <c r="CV133" t="s">
        <v>190</v>
      </c>
      <c r="CW133" t="s">
        <v>12</v>
      </c>
      <c r="CX133" t="s">
        <v>12</v>
      </c>
      <c r="CY133" t="s">
        <v>12</v>
      </c>
      <c r="DA133" t="s">
        <v>104</v>
      </c>
      <c r="DD133" t="s">
        <v>93</v>
      </c>
      <c r="DQ133" t="s">
        <v>94</v>
      </c>
      <c r="DR133" t="s">
        <v>94</v>
      </c>
      <c r="DS133" t="s">
        <v>94</v>
      </c>
      <c r="DT133" t="s">
        <v>94</v>
      </c>
      <c r="DU133" t="s">
        <v>94</v>
      </c>
      <c r="DV133" t="s">
        <v>94</v>
      </c>
      <c r="DW133" t="s">
        <v>94</v>
      </c>
      <c r="DX133" s="2" t="s">
        <v>94</v>
      </c>
      <c r="DY133" t="s">
        <v>94</v>
      </c>
      <c r="DZ133" t="s">
        <v>94</v>
      </c>
      <c r="EA133" t="s">
        <v>94</v>
      </c>
      <c r="EB133" t="s">
        <v>94</v>
      </c>
      <c r="EC133" t="s">
        <v>94</v>
      </c>
      <c r="ED133" t="s">
        <v>94</v>
      </c>
      <c r="EE133" t="s">
        <v>89</v>
      </c>
      <c r="EF133" t="s">
        <v>425</v>
      </c>
      <c r="EG133" t="s">
        <v>105</v>
      </c>
      <c r="EJ133" t="s">
        <v>166</v>
      </c>
      <c r="EK133" t="b">
        <v>0</v>
      </c>
      <c r="EL133" t="b">
        <v>0</v>
      </c>
      <c r="EM133" t="b">
        <v>0</v>
      </c>
      <c r="EO133" t="s">
        <v>177</v>
      </c>
      <c r="EP133" t="s">
        <v>1816</v>
      </c>
    </row>
    <row r="134" spans="3:146" ht="15">
      <c r="C134" s="82">
        <v>2</v>
      </c>
      <c r="D134" s="5"/>
      <c r="E134" s="4">
        <v>1</v>
      </c>
      <c r="F134" s="5">
        <v>10.3</v>
      </c>
      <c r="G134" s="5" t="s">
        <v>1879</v>
      </c>
      <c r="H134" s="4" t="s">
        <v>1880</v>
      </c>
      <c r="I134" s="81" t="s">
        <v>164</v>
      </c>
      <c r="J134" s="21"/>
      <c r="K134" s="22" t="s">
        <v>1817</v>
      </c>
      <c r="L134" s="84" t="s">
        <v>1818</v>
      </c>
      <c r="M134" s="23" t="s">
        <v>164</v>
      </c>
      <c r="N134" s="23">
        <v>43742</v>
      </c>
      <c r="O134" s="24" t="s">
        <v>102</v>
      </c>
      <c r="P134" s="24" t="s">
        <v>181</v>
      </c>
      <c r="Q134" s="24">
        <v>1</v>
      </c>
      <c r="R134" s="24">
        <v>10.3</v>
      </c>
      <c r="S134" t="s">
        <v>11</v>
      </c>
      <c r="T134">
        <v>515</v>
      </c>
      <c r="U134" s="2" t="s">
        <v>163</v>
      </c>
      <c r="V134">
        <v>43742.903171296297</v>
      </c>
      <c r="W134" s="2" t="s">
        <v>444</v>
      </c>
      <c r="X134">
        <v>43742.906851851854</v>
      </c>
      <c r="AB134" t="s">
        <v>9</v>
      </c>
      <c r="AC134" t="s">
        <v>1531</v>
      </c>
      <c r="AD134" t="s">
        <v>191</v>
      </c>
      <c r="AE134">
        <v>533524</v>
      </c>
      <c r="AF134">
        <v>533524</v>
      </c>
      <c r="AG134" t="s">
        <v>183</v>
      </c>
      <c r="AH134" t="s">
        <v>1819</v>
      </c>
      <c r="AI134" t="s">
        <v>1819</v>
      </c>
      <c r="AJ134" t="s">
        <v>1533</v>
      </c>
      <c r="AK134" t="s">
        <v>1534</v>
      </c>
      <c r="AL134" t="s">
        <v>1820</v>
      </c>
      <c r="AM134" t="s">
        <v>1821</v>
      </c>
      <c r="AO134" t="s">
        <v>1822</v>
      </c>
      <c r="AP134" t="s">
        <v>1538</v>
      </c>
      <c r="AQ134" t="s">
        <v>1823</v>
      </c>
      <c r="AR134" t="s">
        <v>1881</v>
      </c>
      <c r="AS134" t="s">
        <v>1824</v>
      </c>
      <c r="AT134" t="s">
        <v>1825</v>
      </c>
      <c r="AU134" t="s">
        <v>10</v>
      </c>
      <c r="AV134" t="s">
        <v>1826</v>
      </c>
      <c r="AW134" t="s">
        <v>1826</v>
      </c>
      <c r="AX134" t="s">
        <v>1827</v>
      </c>
      <c r="AY134" s="2" t="s">
        <v>1828</v>
      </c>
      <c r="AZ134" t="s">
        <v>1829</v>
      </c>
      <c r="BA134" t="s">
        <v>726</v>
      </c>
      <c r="BB134" t="s">
        <v>192</v>
      </c>
      <c r="BC134" t="s">
        <v>188</v>
      </c>
      <c r="BD134">
        <v>523039</v>
      </c>
      <c r="BE134" t="s">
        <v>1830</v>
      </c>
      <c r="BF134" t="s">
        <v>1831</v>
      </c>
      <c r="BG134" t="b">
        <v>0</v>
      </c>
      <c r="BH134" s="6" t="s">
        <v>1832</v>
      </c>
      <c r="BI134" t="s">
        <v>1833</v>
      </c>
      <c r="BJ134">
        <v>4453163191</v>
      </c>
      <c r="BK134" t="s">
        <v>162</v>
      </c>
      <c r="BL134" t="s">
        <v>161</v>
      </c>
      <c r="BM134" s="2"/>
      <c r="BO134" t="s">
        <v>89</v>
      </c>
      <c r="BP134">
        <v>32071000</v>
      </c>
      <c r="BR134" t="s">
        <v>180</v>
      </c>
      <c r="BS134" t="s">
        <v>103</v>
      </c>
      <c r="BU134">
        <v>0</v>
      </c>
      <c r="BV134">
        <v>70.3</v>
      </c>
      <c r="BW134">
        <v>0</v>
      </c>
      <c r="BX134">
        <v>0</v>
      </c>
      <c r="BY134">
        <v>0</v>
      </c>
      <c r="BZ134">
        <v>0</v>
      </c>
      <c r="CA134">
        <v>70.3</v>
      </c>
      <c r="CF134" s="2"/>
      <c r="CH134" s="2"/>
      <c r="CJ134" t="s">
        <v>1023</v>
      </c>
      <c r="CK134" t="s">
        <v>445</v>
      </c>
      <c r="CL134">
        <v>43742.38108796296</v>
      </c>
      <c r="CO134" t="s">
        <v>11</v>
      </c>
      <c r="CP134">
        <v>515</v>
      </c>
      <c r="CQ134" t="s">
        <v>11</v>
      </c>
      <c r="CR134">
        <v>515</v>
      </c>
      <c r="CV134" t="s">
        <v>190</v>
      </c>
      <c r="CW134" t="s">
        <v>12</v>
      </c>
      <c r="CX134" t="s">
        <v>12</v>
      </c>
      <c r="CY134" t="s">
        <v>12</v>
      </c>
      <c r="DA134" t="s">
        <v>104</v>
      </c>
      <c r="DD134" t="s">
        <v>93</v>
      </c>
      <c r="DQ134" t="s">
        <v>94</v>
      </c>
      <c r="DR134" t="s">
        <v>94</v>
      </c>
      <c r="DS134" t="s">
        <v>94</v>
      </c>
      <c r="DT134" t="s">
        <v>94</v>
      </c>
      <c r="DU134" t="s">
        <v>94</v>
      </c>
      <c r="DV134" t="s">
        <v>94</v>
      </c>
      <c r="DW134" t="s">
        <v>94</v>
      </c>
      <c r="DX134" s="2" t="s">
        <v>94</v>
      </c>
      <c r="DY134" t="s">
        <v>94</v>
      </c>
      <c r="DZ134" t="s">
        <v>94</v>
      </c>
      <c r="EA134" t="s">
        <v>94</v>
      </c>
      <c r="EB134" t="s">
        <v>94</v>
      </c>
      <c r="EC134" t="s">
        <v>94</v>
      </c>
      <c r="ED134" t="s">
        <v>94</v>
      </c>
      <c r="EE134" t="s">
        <v>89</v>
      </c>
      <c r="EF134" t="s">
        <v>425</v>
      </c>
      <c r="EG134" t="s">
        <v>105</v>
      </c>
      <c r="EJ134" t="s">
        <v>166</v>
      </c>
      <c r="EK134" t="b">
        <v>0</v>
      </c>
      <c r="EL134" t="b">
        <v>0</v>
      </c>
      <c r="EM134" t="b">
        <v>0</v>
      </c>
      <c r="EO134" t="s">
        <v>177</v>
      </c>
      <c r="EP134" t="s">
        <v>1882</v>
      </c>
    </row>
    <row r="135" spans="3:146">
      <c r="C135" s="4">
        <v>2</v>
      </c>
      <c r="D135" s="4"/>
      <c r="E135" s="4">
        <v>1</v>
      </c>
      <c r="F135" s="4">
        <v>20</v>
      </c>
      <c r="G135" s="5" t="s">
        <v>1879</v>
      </c>
      <c r="H135" s="4" t="s">
        <v>1883</v>
      </c>
      <c r="I135" s="4" t="s">
        <v>164</v>
      </c>
      <c r="J135" s="5"/>
      <c r="K135" s="22" t="s">
        <v>1850</v>
      </c>
      <c r="L135" s="84" t="s">
        <v>1818</v>
      </c>
      <c r="M135" s="23" t="s">
        <v>164</v>
      </c>
      <c r="N135" s="23">
        <v>43742</v>
      </c>
      <c r="O135" s="24" t="s">
        <v>102</v>
      </c>
      <c r="P135" s="24" t="s">
        <v>181</v>
      </c>
      <c r="Q135" s="24">
        <v>1</v>
      </c>
      <c r="R135" s="24">
        <v>20</v>
      </c>
      <c r="S135" t="s">
        <v>11</v>
      </c>
      <c r="T135">
        <v>1600</v>
      </c>
      <c r="U135" s="2" t="s">
        <v>163</v>
      </c>
      <c r="V135">
        <v>43742.899097222224</v>
      </c>
      <c r="W135" s="2" t="s">
        <v>444</v>
      </c>
      <c r="X135">
        <v>43742.939502314817</v>
      </c>
      <c r="AB135" t="s">
        <v>9</v>
      </c>
      <c r="AC135" t="s">
        <v>1851</v>
      </c>
      <c r="AD135" t="s">
        <v>200</v>
      </c>
      <c r="AE135">
        <v>1153844</v>
      </c>
      <c r="AF135">
        <v>1153844</v>
      </c>
      <c r="AG135" t="s">
        <v>183</v>
      </c>
      <c r="AH135" t="s">
        <v>1852</v>
      </c>
      <c r="AI135" t="s">
        <v>1852</v>
      </c>
      <c r="AJ135" t="s">
        <v>184</v>
      </c>
      <c r="AK135" t="s">
        <v>185</v>
      </c>
      <c r="AL135" t="s">
        <v>1853</v>
      </c>
      <c r="AM135" t="s">
        <v>1854</v>
      </c>
      <c r="AO135" t="s">
        <v>1855</v>
      </c>
      <c r="AP135" t="s">
        <v>1856</v>
      </c>
      <c r="AQ135" t="s">
        <v>1857</v>
      </c>
      <c r="AR135" t="s">
        <v>1858</v>
      </c>
      <c r="AS135" t="s">
        <v>1884</v>
      </c>
      <c r="AT135" t="s">
        <v>1859</v>
      </c>
      <c r="AU135" t="s">
        <v>10</v>
      </c>
      <c r="AV135" t="s">
        <v>1860</v>
      </c>
      <c r="AW135" t="s">
        <v>1860</v>
      </c>
      <c r="AX135" t="s">
        <v>1861</v>
      </c>
      <c r="AY135" t="s">
        <v>1862</v>
      </c>
      <c r="AZ135" t="s">
        <v>1863</v>
      </c>
      <c r="BA135" t="s">
        <v>332</v>
      </c>
      <c r="BB135" t="s">
        <v>1864</v>
      </c>
      <c r="BC135" t="s">
        <v>188</v>
      </c>
      <c r="BD135">
        <v>528000</v>
      </c>
      <c r="BE135" t="s">
        <v>1885</v>
      </c>
      <c r="BF135" t="s">
        <v>1865</v>
      </c>
      <c r="BG135" t="b">
        <v>0</v>
      </c>
      <c r="BH135" s="6" t="s">
        <v>1866</v>
      </c>
      <c r="BI135" t="s">
        <v>1867</v>
      </c>
      <c r="BJ135">
        <v>4453163191</v>
      </c>
      <c r="BK135" t="s">
        <v>162</v>
      </c>
      <c r="BL135" t="s">
        <v>161</v>
      </c>
      <c r="BM135" s="2"/>
      <c r="BO135" t="s">
        <v>89</v>
      </c>
      <c r="BP135">
        <v>7304511001</v>
      </c>
      <c r="BR135" t="s">
        <v>189</v>
      </c>
      <c r="BS135" t="s">
        <v>103</v>
      </c>
      <c r="BU135">
        <v>64</v>
      </c>
      <c r="BV135">
        <v>216.32</v>
      </c>
      <c r="BW135">
        <v>0</v>
      </c>
      <c r="BX135">
        <v>0</v>
      </c>
      <c r="BY135">
        <v>0</v>
      </c>
      <c r="BZ135">
        <v>0</v>
      </c>
      <c r="CA135">
        <v>280.32</v>
      </c>
      <c r="CF135" s="2"/>
      <c r="CH135" s="2"/>
      <c r="CJ135" t="s">
        <v>1023</v>
      </c>
      <c r="CK135" t="s">
        <v>1509</v>
      </c>
      <c r="CL135">
        <v>43740.577592592592</v>
      </c>
      <c r="CO135" t="s">
        <v>11</v>
      </c>
      <c r="CP135">
        <v>1600</v>
      </c>
      <c r="CQ135" t="s">
        <v>11</v>
      </c>
      <c r="CR135">
        <v>1600</v>
      </c>
      <c r="CV135" t="s">
        <v>190</v>
      </c>
      <c r="CW135" t="s">
        <v>12</v>
      </c>
      <c r="CX135" t="s">
        <v>12</v>
      </c>
      <c r="CY135" t="s">
        <v>12</v>
      </c>
      <c r="DA135" t="s">
        <v>104</v>
      </c>
      <c r="DD135" t="s">
        <v>93</v>
      </c>
      <c r="DQ135" t="s">
        <v>94</v>
      </c>
      <c r="DR135" t="s">
        <v>94</v>
      </c>
      <c r="DS135" t="s">
        <v>94</v>
      </c>
      <c r="DT135" t="s">
        <v>94</v>
      </c>
      <c r="DU135" t="s">
        <v>94</v>
      </c>
      <c r="DV135" t="s">
        <v>94</v>
      </c>
      <c r="DW135" t="s">
        <v>94</v>
      </c>
      <c r="DX135" s="2" t="s">
        <v>94</v>
      </c>
      <c r="DY135" t="s">
        <v>94</v>
      </c>
      <c r="DZ135" t="s">
        <v>94</v>
      </c>
      <c r="EA135" t="s">
        <v>94</v>
      </c>
      <c r="EB135" t="s">
        <v>94</v>
      </c>
      <c r="EC135" t="s">
        <v>94</v>
      </c>
      <c r="ED135" t="s">
        <v>94</v>
      </c>
      <c r="EE135" t="s">
        <v>89</v>
      </c>
      <c r="EF135" t="s">
        <v>425</v>
      </c>
      <c r="EG135" t="s">
        <v>105</v>
      </c>
      <c r="EJ135" t="s">
        <v>166</v>
      </c>
      <c r="EK135" t="b">
        <v>0</v>
      </c>
      <c r="EL135" t="b">
        <v>0</v>
      </c>
      <c r="EM135" t="b">
        <v>0</v>
      </c>
      <c r="EO135" t="s">
        <v>177</v>
      </c>
      <c r="EP135" t="s">
        <v>1882</v>
      </c>
    </row>
    <row r="136" spans="3:146" ht="15">
      <c r="C136" s="82">
        <v>2</v>
      </c>
      <c r="D136" s="5">
        <v>31</v>
      </c>
      <c r="E136" s="4">
        <v>1</v>
      </c>
      <c r="F136" s="5">
        <v>31</v>
      </c>
      <c r="G136" s="5" t="s">
        <v>1888</v>
      </c>
      <c r="H136" s="4" t="s">
        <v>1889</v>
      </c>
      <c r="I136" s="81" t="s">
        <v>164</v>
      </c>
      <c r="J136" s="21"/>
      <c r="K136" s="22" t="s">
        <v>1886</v>
      </c>
      <c r="L136" s="84" t="s">
        <v>1834</v>
      </c>
      <c r="M136" s="23" t="s">
        <v>447</v>
      </c>
      <c r="N136" s="23">
        <v>43744</v>
      </c>
      <c r="O136" s="24" t="s">
        <v>102</v>
      </c>
      <c r="P136" s="24" t="s">
        <v>480</v>
      </c>
      <c r="Q136" s="24">
        <v>1</v>
      </c>
      <c r="R136" s="24">
        <v>177</v>
      </c>
      <c r="S136" t="s">
        <v>528</v>
      </c>
      <c r="T136">
        <v>19431.310000000001</v>
      </c>
      <c r="U136" s="2"/>
      <c r="W136" s="2"/>
      <c r="AB136" t="s">
        <v>9</v>
      </c>
      <c r="AC136" t="s">
        <v>1835</v>
      </c>
      <c r="AD136" t="s">
        <v>182</v>
      </c>
      <c r="AE136">
        <v>131648</v>
      </c>
      <c r="AF136">
        <v>131648</v>
      </c>
      <c r="AG136" t="s">
        <v>1890</v>
      </c>
      <c r="AH136" t="s">
        <v>1836</v>
      </c>
      <c r="AI136" t="s">
        <v>1836</v>
      </c>
      <c r="AJ136" t="s">
        <v>508</v>
      </c>
      <c r="AK136" t="s">
        <v>509</v>
      </c>
      <c r="AL136" t="s">
        <v>1837</v>
      </c>
      <c r="AO136" t="s">
        <v>1838</v>
      </c>
      <c r="AP136" t="s">
        <v>1839</v>
      </c>
      <c r="AR136" t="s">
        <v>1891</v>
      </c>
      <c r="AS136" t="s">
        <v>1892</v>
      </c>
      <c r="AT136" t="s">
        <v>1840</v>
      </c>
      <c r="AU136" t="s">
        <v>10</v>
      </c>
      <c r="AV136" t="s">
        <v>1841</v>
      </c>
      <c r="AW136" t="s">
        <v>1841</v>
      </c>
      <c r="AX136" t="s">
        <v>1842</v>
      </c>
      <c r="AY136" s="2" t="s">
        <v>1843</v>
      </c>
      <c r="AZ136" t="s">
        <v>1844</v>
      </c>
      <c r="BA136" t="s">
        <v>186</v>
      </c>
      <c r="BB136" t="s">
        <v>187</v>
      </c>
      <c r="BC136" t="s">
        <v>188</v>
      </c>
      <c r="BD136">
        <v>518103</v>
      </c>
      <c r="BE136" t="s">
        <v>1893</v>
      </c>
      <c r="BF136" t="s">
        <v>1845</v>
      </c>
      <c r="BG136" t="b">
        <v>0</v>
      </c>
      <c r="BH136" s="6" t="s">
        <v>1846</v>
      </c>
      <c r="BI136" t="s">
        <v>1847</v>
      </c>
      <c r="BJ136">
        <v>4453163191</v>
      </c>
      <c r="BK136" t="s">
        <v>162</v>
      </c>
      <c r="BL136" t="s">
        <v>161</v>
      </c>
      <c r="BM136" s="2"/>
      <c r="BN136" t="s">
        <v>1848</v>
      </c>
      <c r="BR136" t="s">
        <v>189</v>
      </c>
      <c r="BS136" t="s">
        <v>103</v>
      </c>
      <c r="BU136">
        <v>0</v>
      </c>
      <c r="BV136">
        <v>0</v>
      </c>
      <c r="BW136">
        <v>0</v>
      </c>
      <c r="BX136">
        <v>0</v>
      </c>
      <c r="BY136">
        <v>0</v>
      </c>
      <c r="BZ136">
        <v>0</v>
      </c>
      <c r="CA136">
        <v>0</v>
      </c>
      <c r="CF136" s="2"/>
      <c r="CH136" s="2"/>
      <c r="CK136" t="s">
        <v>1849</v>
      </c>
      <c r="CL136">
        <v>43744.584629629629</v>
      </c>
      <c r="CO136" t="s">
        <v>11</v>
      </c>
      <c r="CP136">
        <v>152170.47</v>
      </c>
      <c r="CQ136" t="s">
        <v>11</v>
      </c>
      <c r="CR136">
        <v>152170.47</v>
      </c>
      <c r="CV136" t="s">
        <v>525</v>
      </c>
      <c r="CW136" t="s">
        <v>12</v>
      </c>
      <c r="CX136" t="s">
        <v>12</v>
      </c>
      <c r="CY136" t="s">
        <v>12</v>
      </c>
      <c r="DA136" t="s">
        <v>104</v>
      </c>
      <c r="DD136" t="s">
        <v>93</v>
      </c>
      <c r="DQ136" t="s">
        <v>94</v>
      </c>
      <c r="DR136" t="s">
        <v>94</v>
      </c>
      <c r="DS136" t="s">
        <v>94</v>
      </c>
      <c r="DT136" t="s">
        <v>94</v>
      </c>
      <c r="DU136" t="s">
        <v>94</v>
      </c>
      <c r="DV136" t="s">
        <v>94</v>
      </c>
      <c r="DW136" t="s">
        <v>94</v>
      </c>
      <c r="DX136" s="2" t="s">
        <v>94</v>
      </c>
      <c r="DY136" t="s">
        <v>94</v>
      </c>
      <c r="DZ136" t="s">
        <v>94</v>
      </c>
      <c r="EA136" t="s">
        <v>94</v>
      </c>
      <c r="EB136" t="s">
        <v>94</v>
      </c>
      <c r="EC136" t="s">
        <v>94</v>
      </c>
      <c r="ED136" t="s">
        <v>94</v>
      </c>
      <c r="EE136" t="s">
        <v>89</v>
      </c>
      <c r="EF136" t="s">
        <v>94</v>
      </c>
      <c r="EG136" t="s">
        <v>105</v>
      </c>
      <c r="EJ136" t="s">
        <v>166</v>
      </c>
      <c r="EK136" t="b">
        <v>0</v>
      </c>
      <c r="EL136" t="b">
        <v>0</v>
      </c>
      <c r="EM136" t="b">
        <v>0</v>
      </c>
      <c r="EO136" t="s">
        <v>178</v>
      </c>
      <c r="EP136" t="s">
        <v>1894</v>
      </c>
    </row>
    <row r="137" spans="3:146">
      <c r="C137" s="4">
        <v>2</v>
      </c>
      <c r="D137" s="4">
        <v>146</v>
      </c>
      <c r="E137" s="4">
        <v>1</v>
      </c>
      <c r="F137" s="4">
        <v>146</v>
      </c>
      <c r="G137" s="5" t="s">
        <v>1888</v>
      </c>
      <c r="H137" s="4" t="s">
        <v>1889</v>
      </c>
      <c r="I137" s="4" t="s">
        <v>164</v>
      </c>
      <c r="J137" s="5"/>
      <c r="K137" s="22" t="s">
        <v>1887</v>
      </c>
      <c r="L137" s="84" t="s">
        <v>1834</v>
      </c>
      <c r="M137" s="23" t="s">
        <v>447</v>
      </c>
      <c r="N137" s="23">
        <v>43744</v>
      </c>
      <c r="O137" s="24" t="s">
        <v>102</v>
      </c>
      <c r="P137" s="24" t="s">
        <v>480</v>
      </c>
      <c r="Q137" s="24">
        <v>1</v>
      </c>
      <c r="R137" s="24">
        <v>177</v>
      </c>
      <c r="S137" t="s">
        <v>528</v>
      </c>
      <c r="T137">
        <v>19431.310000000001</v>
      </c>
      <c r="U137" s="2"/>
      <c r="W137" s="2"/>
      <c r="AB137" t="s">
        <v>9</v>
      </c>
      <c r="AC137" t="s">
        <v>1835</v>
      </c>
      <c r="AD137" t="s">
        <v>182</v>
      </c>
      <c r="AE137">
        <v>131648</v>
      </c>
      <c r="AF137">
        <v>131648</v>
      </c>
      <c r="AG137" t="s">
        <v>1890</v>
      </c>
      <c r="AH137" t="s">
        <v>1836</v>
      </c>
      <c r="AI137" t="s">
        <v>1836</v>
      </c>
      <c r="AJ137" t="s">
        <v>508</v>
      </c>
      <c r="AK137" t="s">
        <v>509</v>
      </c>
      <c r="AL137" t="s">
        <v>1837</v>
      </c>
      <c r="AO137" t="s">
        <v>1838</v>
      </c>
      <c r="AP137" t="s">
        <v>1839</v>
      </c>
      <c r="AR137" t="s">
        <v>1891</v>
      </c>
      <c r="AS137" t="s">
        <v>1892</v>
      </c>
      <c r="AT137" t="s">
        <v>1840</v>
      </c>
      <c r="AU137" t="s">
        <v>10</v>
      </c>
      <c r="AV137" t="s">
        <v>1841</v>
      </c>
      <c r="AW137" t="s">
        <v>1841</v>
      </c>
      <c r="AX137" t="s">
        <v>1842</v>
      </c>
      <c r="AY137" t="s">
        <v>1843</v>
      </c>
      <c r="AZ137" t="s">
        <v>1844</v>
      </c>
      <c r="BA137" t="s">
        <v>186</v>
      </c>
      <c r="BB137" t="s">
        <v>187</v>
      </c>
      <c r="BC137" t="s">
        <v>188</v>
      </c>
      <c r="BD137">
        <v>518103</v>
      </c>
      <c r="BE137" t="s">
        <v>1893</v>
      </c>
      <c r="BF137" t="s">
        <v>1845</v>
      </c>
      <c r="BG137" t="b">
        <v>0</v>
      </c>
      <c r="BH137" s="6" t="s">
        <v>1846</v>
      </c>
      <c r="BI137" t="s">
        <v>1847</v>
      </c>
      <c r="BJ137">
        <v>4453163191</v>
      </c>
      <c r="BK137" t="s">
        <v>162</v>
      </c>
      <c r="BL137" t="s">
        <v>161</v>
      </c>
      <c r="BM137" s="2"/>
      <c r="BN137" t="s">
        <v>1848</v>
      </c>
      <c r="BR137" t="s">
        <v>189</v>
      </c>
      <c r="BS137" t="s">
        <v>103</v>
      </c>
      <c r="BU137">
        <v>0</v>
      </c>
      <c r="BV137">
        <v>0</v>
      </c>
      <c r="BW137">
        <v>0</v>
      </c>
      <c r="BX137">
        <v>0</v>
      </c>
      <c r="BY137">
        <v>0</v>
      </c>
      <c r="BZ137">
        <v>0</v>
      </c>
      <c r="CA137">
        <v>0</v>
      </c>
      <c r="CF137" s="2"/>
      <c r="CH137" s="2"/>
      <c r="CK137" t="s">
        <v>1849</v>
      </c>
      <c r="CL137">
        <v>43744.584629629629</v>
      </c>
      <c r="CO137" t="s">
        <v>11</v>
      </c>
      <c r="CP137">
        <v>152170.47</v>
      </c>
      <c r="CQ137" t="s">
        <v>11</v>
      </c>
      <c r="CR137">
        <v>152170.47</v>
      </c>
      <c r="CV137" t="s">
        <v>525</v>
      </c>
      <c r="CW137" t="s">
        <v>12</v>
      </c>
      <c r="CX137" t="s">
        <v>12</v>
      </c>
      <c r="CY137" t="s">
        <v>12</v>
      </c>
      <c r="DA137" t="s">
        <v>104</v>
      </c>
      <c r="DD137" t="s">
        <v>93</v>
      </c>
      <c r="DQ137" t="s">
        <v>94</v>
      </c>
      <c r="DR137" t="s">
        <v>94</v>
      </c>
      <c r="DS137" t="s">
        <v>94</v>
      </c>
      <c r="DT137" t="s">
        <v>94</v>
      </c>
      <c r="DU137" t="s">
        <v>94</v>
      </c>
      <c r="DV137" t="s">
        <v>94</v>
      </c>
      <c r="DW137" t="s">
        <v>94</v>
      </c>
      <c r="DX137" s="2" t="s">
        <v>94</v>
      </c>
      <c r="DY137" t="s">
        <v>94</v>
      </c>
      <c r="DZ137" t="s">
        <v>94</v>
      </c>
      <c r="EA137" t="s">
        <v>94</v>
      </c>
      <c r="EB137" t="s">
        <v>94</v>
      </c>
      <c r="EC137" t="s">
        <v>94</v>
      </c>
      <c r="ED137" t="s">
        <v>94</v>
      </c>
      <c r="EE137" t="s">
        <v>89</v>
      </c>
      <c r="EF137" t="s">
        <v>94</v>
      </c>
      <c r="EG137" t="s">
        <v>105</v>
      </c>
      <c r="EJ137" t="s">
        <v>166</v>
      </c>
      <c r="EK137" t="b">
        <v>0</v>
      </c>
      <c r="EL137" t="b">
        <v>0</v>
      </c>
      <c r="EM137" t="b">
        <v>0</v>
      </c>
      <c r="EO137" t="s">
        <v>178</v>
      </c>
      <c r="EP137" t="s">
        <v>1894</v>
      </c>
    </row>
    <row r="138" spans="3:146" ht="15">
      <c r="C138" s="82">
        <v>7979</v>
      </c>
      <c r="D138" s="5"/>
      <c r="E138" s="4">
        <v>1</v>
      </c>
      <c r="F138" s="5">
        <v>4.66</v>
      </c>
      <c r="G138" s="5" t="s">
        <v>1727</v>
      </c>
      <c r="H138" s="4" t="s">
        <v>1895</v>
      </c>
      <c r="I138" s="81" t="s">
        <v>164</v>
      </c>
      <c r="J138" s="21"/>
      <c r="K138" s="22" t="s">
        <v>1868</v>
      </c>
      <c r="L138" s="84" t="s">
        <v>1710</v>
      </c>
      <c r="M138" s="23" t="s">
        <v>164</v>
      </c>
      <c r="N138" s="23">
        <v>43746</v>
      </c>
      <c r="O138" s="24" t="s">
        <v>102</v>
      </c>
      <c r="P138" s="24" t="s">
        <v>179</v>
      </c>
      <c r="Q138" s="24">
        <v>1</v>
      </c>
      <c r="R138" s="24">
        <v>4.66</v>
      </c>
      <c r="S138" t="s">
        <v>11</v>
      </c>
      <c r="T138">
        <v>281</v>
      </c>
      <c r="U138" s="2" t="s">
        <v>163</v>
      </c>
      <c r="V138">
        <v>43746.87572916667</v>
      </c>
      <c r="W138" s="2" t="s">
        <v>427</v>
      </c>
      <c r="X138">
        <v>43746.896018518521</v>
      </c>
      <c r="AB138" t="s">
        <v>9</v>
      </c>
      <c r="AC138" t="s">
        <v>755</v>
      </c>
      <c r="AD138" t="s">
        <v>182</v>
      </c>
      <c r="AE138">
        <v>115871</v>
      </c>
      <c r="AF138">
        <v>115871</v>
      </c>
      <c r="AG138" t="s">
        <v>183</v>
      </c>
      <c r="AH138" t="s">
        <v>1869</v>
      </c>
      <c r="AI138" t="s">
        <v>1869</v>
      </c>
      <c r="AJ138" t="s">
        <v>584</v>
      </c>
      <c r="AK138" t="s">
        <v>585</v>
      </c>
      <c r="AL138" t="s">
        <v>1870</v>
      </c>
      <c r="AO138" t="s">
        <v>587</v>
      </c>
      <c r="AP138" t="s">
        <v>759</v>
      </c>
      <c r="AR138" t="s">
        <v>1871</v>
      </c>
      <c r="AS138" t="s">
        <v>1896</v>
      </c>
      <c r="AT138" t="s">
        <v>1872</v>
      </c>
      <c r="AU138" t="s">
        <v>10</v>
      </c>
      <c r="AV138" t="s">
        <v>1873</v>
      </c>
      <c r="AW138" t="s">
        <v>1873</v>
      </c>
      <c r="AX138" t="s">
        <v>1874</v>
      </c>
      <c r="AY138" s="2" t="s">
        <v>1875</v>
      </c>
      <c r="BA138" t="s">
        <v>186</v>
      </c>
      <c r="BB138" t="s">
        <v>187</v>
      </c>
      <c r="BC138" t="s">
        <v>188</v>
      </c>
      <c r="BD138">
        <v>518133</v>
      </c>
      <c r="BE138" t="s">
        <v>1897</v>
      </c>
      <c r="BF138" t="s">
        <v>1876</v>
      </c>
      <c r="BG138" t="b">
        <v>0</v>
      </c>
      <c r="BH138" s="6" t="s">
        <v>1877</v>
      </c>
      <c r="BI138" t="s">
        <v>1878</v>
      </c>
      <c r="BJ138">
        <v>4453163191</v>
      </c>
      <c r="BK138" t="s">
        <v>162</v>
      </c>
      <c r="BL138" t="s">
        <v>161</v>
      </c>
      <c r="BM138" s="2"/>
      <c r="BO138" t="s">
        <v>89</v>
      </c>
      <c r="BP138">
        <v>94054090</v>
      </c>
      <c r="BR138" t="s">
        <v>189</v>
      </c>
      <c r="BS138" t="s">
        <v>103</v>
      </c>
      <c r="BU138">
        <v>0</v>
      </c>
      <c r="BV138">
        <v>0</v>
      </c>
      <c r="BW138">
        <v>0</v>
      </c>
      <c r="BX138">
        <v>0</v>
      </c>
      <c r="BY138">
        <v>0</v>
      </c>
      <c r="BZ138">
        <v>0</v>
      </c>
      <c r="CA138">
        <v>0</v>
      </c>
      <c r="CB138" t="s">
        <v>444</v>
      </c>
      <c r="CF138" s="2"/>
      <c r="CH138" s="2"/>
      <c r="CJ138" t="s">
        <v>1023</v>
      </c>
      <c r="CK138" t="s">
        <v>1509</v>
      </c>
      <c r="CL138">
        <v>43746.379074074073</v>
      </c>
      <c r="CO138" t="s">
        <v>11</v>
      </c>
      <c r="CP138">
        <v>281</v>
      </c>
      <c r="CQ138" t="s">
        <v>11</v>
      </c>
      <c r="CR138">
        <v>281</v>
      </c>
      <c r="CV138" t="s">
        <v>190</v>
      </c>
      <c r="CW138" t="s">
        <v>12</v>
      </c>
      <c r="CX138" t="s">
        <v>12</v>
      </c>
      <c r="CY138" t="s">
        <v>12</v>
      </c>
      <c r="DA138" t="s">
        <v>104</v>
      </c>
      <c r="DD138" t="s">
        <v>93</v>
      </c>
      <c r="DQ138" t="s">
        <v>94</v>
      </c>
      <c r="DR138" t="s">
        <v>94</v>
      </c>
      <c r="DS138" t="s">
        <v>94</v>
      </c>
      <c r="DT138" t="s">
        <v>94</v>
      </c>
      <c r="DU138" t="s">
        <v>94</v>
      </c>
      <c r="DV138" t="s">
        <v>94</v>
      </c>
      <c r="DW138" t="s">
        <v>94</v>
      </c>
      <c r="DX138" s="2" t="s">
        <v>94</v>
      </c>
      <c r="DY138" t="s">
        <v>94</v>
      </c>
      <c r="DZ138" t="s">
        <v>94</v>
      </c>
      <c r="EA138" t="s">
        <v>94</v>
      </c>
      <c r="EB138" t="s">
        <v>94</v>
      </c>
      <c r="EC138" t="s">
        <v>94</v>
      </c>
      <c r="ED138" t="s">
        <v>94</v>
      </c>
      <c r="EE138" t="s">
        <v>89</v>
      </c>
      <c r="EF138" t="s">
        <v>425</v>
      </c>
      <c r="EG138" t="s">
        <v>105</v>
      </c>
      <c r="EJ138" t="s">
        <v>166</v>
      </c>
      <c r="EK138" t="b">
        <v>0</v>
      </c>
      <c r="EL138" t="b">
        <v>0</v>
      </c>
      <c r="EM138" t="b">
        <v>0</v>
      </c>
      <c r="EO138" t="s">
        <v>177</v>
      </c>
      <c r="EP138" t="s">
        <v>1898</v>
      </c>
    </row>
    <row r="139" spans="3:146" ht="15">
      <c r="C139" s="82">
        <v>6</v>
      </c>
      <c r="D139" s="5">
        <v>31</v>
      </c>
      <c r="E139" s="4">
        <v>1</v>
      </c>
      <c r="F139" s="5">
        <v>31</v>
      </c>
      <c r="G139" s="5" t="s">
        <v>1888</v>
      </c>
      <c r="H139" s="4" t="s">
        <v>1889</v>
      </c>
      <c r="I139" s="81" t="s">
        <v>164</v>
      </c>
      <c r="J139" s="21"/>
      <c r="K139" s="22" t="s">
        <v>1886</v>
      </c>
      <c r="L139" s="84" t="s">
        <v>1834</v>
      </c>
      <c r="M139" s="23" t="s">
        <v>447</v>
      </c>
      <c r="N139" s="23">
        <v>43744</v>
      </c>
      <c r="O139" s="24" t="s">
        <v>102</v>
      </c>
      <c r="P139" s="24" t="s">
        <v>480</v>
      </c>
      <c r="Q139" s="24">
        <v>1</v>
      </c>
      <c r="R139" s="24">
        <v>177</v>
      </c>
      <c r="S139" t="s">
        <v>528</v>
      </c>
      <c r="T139">
        <v>19431.310000000001</v>
      </c>
      <c r="U139" s="2"/>
      <c r="W139" s="2"/>
      <c r="AB139" t="s">
        <v>9</v>
      </c>
      <c r="AC139" t="s">
        <v>1835</v>
      </c>
      <c r="AD139" t="s">
        <v>182</v>
      </c>
      <c r="AE139">
        <v>131648</v>
      </c>
      <c r="AF139">
        <v>131648</v>
      </c>
      <c r="AG139" t="s">
        <v>1890</v>
      </c>
      <c r="AH139" t="s">
        <v>1836</v>
      </c>
      <c r="AI139" t="s">
        <v>1836</v>
      </c>
      <c r="AJ139" t="s">
        <v>508</v>
      </c>
      <c r="AK139" t="s">
        <v>509</v>
      </c>
      <c r="AL139" t="s">
        <v>1837</v>
      </c>
      <c r="AO139" t="s">
        <v>1838</v>
      </c>
      <c r="AP139" t="s">
        <v>1839</v>
      </c>
      <c r="AR139" t="s">
        <v>1891</v>
      </c>
      <c r="AS139" t="s">
        <v>1892</v>
      </c>
      <c r="AT139" t="s">
        <v>1840</v>
      </c>
      <c r="AU139" t="s">
        <v>10</v>
      </c>
      <c r="AV139" t="s">
        <v>1841</v>
      </c>
      <c r="AW139" t="s">
        <v>1841</v>
      </c>
      <c r="AX139" t="s">
        <v>1842</v>
      </c>
      <c r="AY139" s="2" t="s">
        <v>1843</v>
      </c>
      <c r="AZ139" t="s">
        <v>1844</v>
      </c>
      <c r="BA139" t="s">
        <v>186</v>
      </c>
      <c r="BB139" t="s">
        <v>187</v>
      </c>
      <c r="BC139" t="s">
        <v>188</v>
      </c>
      <c r="BD139">
        <v>518103</v>
      </c>
      <c r="BE139" t="s">
        <v>1893</v>
      </c>
      <c r="BF139" t="s">
        <v>1845</v>
      </c>
      <c r="BG139" t="b">
        <v>0</v>
      </c>
      <c r="BH139" s="6" t="s">
        <v>1846</v>
      </c>
      <c r="BI139" t="s">
        <v>1847</v>
      </c>
      <c r="BJ139">
        <v>4453163191</v>
      </c>
      <c r="BK139" t="s">
        <v>162</v>
      </c>
      <c r="BL139" t="s">
        <v>161</v>
      </c>
      <c r="BM139" s="2"/>
      <c r="BN139" t="s">
        <v>1848</v>
      </c>
      <c r="BR139" t="s">
        <v>189</v>
      </c>
      <c r="BS139" t="s">
        <v>103</v>
      </c>
      <c r="BU139">
        <v>0</v>
      </c>
      <c r="BV139">
        <v>0</v>
      </c>
      <c r="BW139">
        <v>0</v>
      </c>
      <c r="BX139">
        <v>0</v>
      </c>
      <c r="BY139">
        <v>0</v>
      </c>
      <c r="BZ139">
        <v>0</v>
      </c>
      <c r="CA139">
        <v>0</v>
      </c>
      <c r="CF139" s="2"/>
      <c r="CH139" s="2"/>
      <c r="CK139" t="s">
        <v>1849</v>
      </c>
      <c r="CL139">
        <v>43744.584629629629</v>
      </c>
      <c r="CO139" t="s">
        <v>11</v>
      </c>
      <c r="CP139">
        <v>152170.47</v>
      </c>
      <c r="CQ139" t="s">
        <v>11</v>
      </c>
      <c r="CR139">
        <v>152170.47</v>
      </c>
      <c r="CV139" t="s">
        <v>525</v>
      </c>
      <c r="CW139" t="s">
        <v>12</v>
      </c>
      <c r="CX139" t="s">
        <v>12</v>
      </c>
      <c r="CY139" t="s">
        <v>12</v>
      </c>
      <c r="DA139" t="s">
        <v>104</v>
      </c>
      <c r="DD139" t="s">
        <v>93</v>
      </c>
      <c r="DQ139" t="s">
        <v>94</v>
      </c>
      <c r="DR139" t="s">
        <v>94</v>
      </c>
      <c r="DS139" t="s">
        <v>94</v>
      </c>
      <c r="DT139" t="s">
        <v>94</v>
      </c>
      <c r="DU139" t="s">
        <v>94</v>
      </c>
      <c r="DV139" t="s">
        <v>94</v>
      </c>
      <c r="DW139" t="s">
        <v>94</v>
      </c>
      <c r="DX139" s="2" t="s">
        <v>94</v>
      </c>
      <c r="DY139" t="s">
        <v>94</v>
      </c>
      <c r="DZ139" t="s">
        <v>94</v>
      </c>
      <c r="EA139" t="s">
        <v>94</v>
      </c>
      <c r="EB139" t="s">
        <v>94</v>
      </c>
      <c r="EC139" t="s">
        <v>94</v>
      </c>
      <c r="ED139" t="s">
        <v>94</v>
      </c>
      <c r="EE139" t="s">
        <v>89</v>
      </c>
      <c r="EF139" t="s">
        <v>94</v>
      </c>
      <c r="EG139" t="s">
        <v>105</v>
      </c>
      <c r="EJ139" t="s">
        <v>166</v>
      </c>
      <c r="EK139" t="b">
        <v>0</v>
      </c>
      <c r="EL139" t="b">
        <v>0</v>
      </c>
      <c r="EM139" t="b">
        <v>0</v>
      </c>
      <c r="EO139" t="s">
        <v>178</v>
      </c>
      <c r="EP139" t="s">
        <v>1899</v>
      </c>
    </row>
    <row r="140" spans="3:146">
      <c r="C140" s="4">
        <v>6</v>
      </c>
      <c r="D140" s="4">
        <v>146</v>
      </c>
      <c r="E140" s="4">
        <v>1</v>
      </c>
      <c r="F140" s="4">
        <v>146</v>
      </c>
      <c r="G140" s="5" t="s">
        <v>1888</v>
      </c>
      <c r="H140" s="4" t="s">
        <v>1889</v>
      </c>
      <c r="I140" s="4" t="s">
        <v>164</v>
      </c>
      <c r="J140" s="5"/>
      <c r="K140" s="22" t="s">
        <v>1887</v>
      </c>
      <c r="L140" s="84" t="s">
        <v>1834</v>
      </c>
      <c r="M140" s="23" t="s">
        <v>447</v>
      </c>
      <c r="N140" s="23">
        <v>43744</v>
      </c>
      <c r="O140" s="24" t="s">
        <v>102</v>
      </c>
      <c r="P140" s="24" t="s">
        <v>480</v>
      </c>
      <c r="Q140" s="24">
        <v>1</v>
      </c>
      <c r="R140" s="24">
        <v>177</v>
      </c>
      <c r="S140" t="s">
        <v>528</v>
      </c>
      <c r="T140">
        <v>19431.310000000001</v>
      </c>
      <c r="U140" s="2"/>
      <c r="W140" s="2"/>
      <c r="AB140" t="s">
        <v>9</v>
      </c>
      <c r="AC140" t="s">
        <v>1835</v>
      </c>
      <c r="AD140" t="s">
        <v>182</v>
      </c>
      <c r="AE140">
        <v>131648</v>
      </c>
      <c r="AF140">
        <v>131648</v>
      </c>
      <c r="AG140" t="s">
        <v>1890</v>
      </c>
      <c r="AH140" t="s">
        <v>1836</v>
      </c>
      <c r="AI140" t="s">
        <v>1836</v>
      </c>
      <c r="AJ140" t="s">
        <v>508</v>
      </c>
      <c r="AK140" t="s">
        <v>509</v>
      </c>
      <c r="AL140" t="s">
        <v>1837</v>
      </c>
      <c r="AO140" t="s">
        <v>1838</v>
      </c>
      <c r="AP140" t="s">
        <v>1839</v>
      </c>
      <c r="AR140" t="s">
        <v>1891</v>
      </c>
      <c r="AS140" t="s">
        <v>1892</v>
      </c>
      <c r="AT140" t="s">
        <v>1840</v>
      </c>
      <c r="AU140" t="s">
        <v>10</v>
      </c>
      <c r="AV140" t="s">
        <v>1841</v>
      </c>
      <c r="AW140" t="s">
        <v>1841</v>
      </c>
      <c r="AX140" t="s">
        <v>1842</v>
      </c>
      <c r="AY140" t="s">
        <v>1843</v>
      </c>
      <c r="AZ140" t="s">
        <v>1844</v>
      </c>
      <c r="BA140" t="s">
        <v>186</v>
      </c>
      <c r="BB140" t="s">
        <v>187</v>
      </c>
      <c r="BC140" t="s">
        <v>188</v>
      </c>
      <c r="BD140">
        <v>518103</v>
      </c>
      <c r="BE140" t="s">
        <v>1893</v>
      </c>
      <c r="BF140" t="s">
        <v>1845</v>
      </c>
      <c r="BG140" t="b">
        <v>0</v>
      </c>
      <c r="BH140" s="6" t="s">
        <v>1846</v>
      </c>
      <c r="BI140" t="s">
        <v>1847</v>
      </c>
      <c r="BJ140">
        <v>4453163191</v>
      </c>
      <c r="BK140" t="s">
        <v>162</v>
      </c>
      <c r="BL140" t="s">
        <v>161</v>
      </c>
      <c r="BM140" s="2"/>
      <c r="BN140" t="s">
        <v>1848</v>
      </c>
      <c r="BR140" t="s">
        <v>189</v>
      </c>
      <c r="BS140" t="s">
        <v>103</v>
      </c>
      <c r="BU140">
        <v>0</v>
      </c>
      <c r="BV140">
        <v>0</v>
      </c>
      <c r="BW140">
        <v>0</v>
      </c>
      <c r="BX140">
        <v>0</v>
      </c>
      <c r="BY140">
        <v>0</v>
      </c>
      <c r="BZ140">
        <v>0</v>
      </c>
      <c r="CA140">
        <v>0</v>
      </c>
      <c r="CF140" s="2"/>
      <c r="CH140" s="2"/>
      <c r="CK140" t="s">
        <v>1849</v>
      </c>
      <c r="CL140">
        <v>43744.584629629629</v>
      </c>
      <c r="CO140" t="s">
        <v>11</v>
      </c>
      <c r="CP140">
        <v>152170.47</v>
      </c>
      <c r="CQ140" t="s">
        <v>11</v>
      </c>
      <c r="CR140">
        <v>152170.47</v>
      </c>
      <c r="CV140" t="s">
        <v>525</v>
      </c>
      <c r="CW140" t="s">
        <v>12</v>
      </c>
      <c r="CX140" t="s">
        <v>12</v>
      </c>
      <c r="CY140" t="s">
        <v>12</v>
      </c>
      <c r="DA140" t="s">
        <v>104</v>
      </c>
      <c r="DD140" t="s">
        <v>93</v>
      </c>
      <c r="DQ140" t="s">
        <v>94</v>
      </c>
      <c r="DR140" t="s">
        <v>94</v>
      </c>
      <c r="DS140" t="s">
        <v>94</v>
      </c>
      <c r="DT140" t="s">
        <v>94</v>
      </c>
      <c r="DU140" t="s">
        <v>94</v>
      </c>
      <c r="DV140" t="s">
        <v>94</v>
      </c>
      <c r="DW140" t="s">
        <v>94</v>
      </c>
      <c r="DX140" s="2" t="s">
        <v>94</v>
      </c>
      <c r="DY140" t="s">
        <v>94</v>
      </c>
      <c r="DZ140" t="s">
        <v>94</v>
      </c>
      <c r="EA140" t="s">
        <v>94</v>
      </c>
      <c r="EB140" t="s">
        <v>94</v>
      </c>
      <c r="EC140" t="s">
        <v>94</v>
      </c>
      <c r="ED140" t="s">
        <v>94</v>
      </c>
      <c r="EE140" t="s">
        <v>89</v>
      </c>
      <c r="EF140" t="s">
        <v>94</v>
      </c>
      <c r="EG140" t="s">
        <v>105</v>
      </c>
      <c r="EJ140" t="s">
        <v>166</v>
      </c>
      <c r="EK140" t="b">
        <v>0</v>
      </c>
      <c r="EL140" t="b">
        <v>0</v>
      </c>
      <c r="EM140" t="b">
        <v>0</v>
      </c>
      <c r="EO140" t="s">
        <v>178</v>
      </c>
      <c r="EP140" t="s">
        <v>1899</v>
      </c>
    </row>
    <row r="141" spans="3:146" ht="15">
      <c r="C141" s="82">
        <v>1</v>
      </c>
      <c r="D141" s="5"/>
      <c r="E141" s="4">
        <v>1</v>
      </c>
      <c r="F141" s="5">
        <v>12.5</v>
      </c>
      <c r="G141" s="5" t="s">
        <v>1888</v>
      </c>
      <c r="H141" s="4" t="s">
        <v>1916</v>
      </c>
      <c r="I141" s="81" t="s">
        <v>164</v>
      </c>
      <c r="J141" s="21"/>
      <c r="K141" s="22" t="s">
        <v>1900</v>
      </c>
      <c r="L141" s="84" t="s">
        <v>1834</v>
      </c>
      <c r="M141" s="23" t="s">
        <v>447</v>
      </c>
      <c r="N141" s="23">
        <v>43744</v>
      </c>
      <c r="O141" s="24" t="s">
        <v>102</v>
      </c>
      <c r="P141" s="24" t="s">
        <v>181</v>
      </c>
      <c r="Q141" s="24">
        <v>1</v>
      </c>
      <c r="R141" s="24">
        <v>12.5</v>
      </c>
      <c r="S141" t="s">
        <v>528</v>
      </c>
      <c r="T141">
        <v>470.82</v>
      </c>
      <c r="U141" s="2" t="s">
        <v>163</v>
      </c>
      <c r="V141">
        <v>43744.810497685183</v>
      </c>
      <c r="W141" s="2" t="s">
        <v>444</v>
      </c>
      <c r="Y141">
        <v>43746.695300925923</v>
      </c>
      <c r="AC141" t="s">
        <v>9</v>
      </c>
      <c r="AD141" t="s">
        <v>1901</v>
      </c>
      <c r="AE141" t="s">
        <v>209</v>
      </c>
      <c r="AF141">
        <v>40008</v>
      </c>
      <c r="AG141">
        <v>40008</v>
      </c>
      <c r="AH141" t="s">
        <v>183</v>
      </c>
      <c r="AI141" t="s">
        <v>1902</v>
      </c>
      <c r="AJ141" t="s">
        <v>1902</v>
      </c>
      <c r="AK141" t="s">
        <v>484</v>
      </c>
      <c r="AL141" t="s">
        <v>485</v>
      </c>
      <c r="AM141" t="s">
        <v>1903</v>
      </c>
      <c r="AP141" t="s">
        <v>1904</v>
      </c>
      <c r="AQ141" t="s">
        <v>1905</v>
      </c>
      <c r="AR141" t="s">
        <v>1906</v>
      </c>
      <c r="AS141" t="s">
        <v>1907</v>
      </c>
      <c r="AT141">
        <v>525683300</v>
      </c>
      <c r="AU141" t="s">
        <v>1908</v>
      </c>
      <c r="AV141" t="s">
        <v>10</v>
      </c>
      <c r="AW141" t="s">
        <v>1909</v>
      </c>
      <c r="AX141" t="s">
        <v>1909</v>
      </c>
      <c r="AY141" s="2" t="s">
        <v>1910</v>
      </c>
      <c r="AZ141" t="s">
        <v>1911</v>
      </c>
      <c r="BA141" t="s">
        <v>1912</v>
      </c>
      <c r="BB141" t="s">
        <v>520</v>
      </c>
      <c r="BC141" t="s">
        <v>223</v>
      </c>
      <c r="BD141" t="s">
        <v>188</v>
      </c>
      <c r="BE141">
        <v>510700</v>
      </c>
      <c r="BF141">
        <v>862037585369</v>
      </c>
      <c r="BG141" t="s">
        <v>1913</v>
      </c>
      <c r="BH141" s="6" t="b">
        <v>0</v>
      </c>
      <c r="BI141" t="s">
        <v>1914</v>
      </c>
      <c r="BJ141" t="s">
        <v>1915</v>
      </c>
      <c r="BK141">
        <v>4453163191</v>
      </c>
      <c r="BL141" t="s">
        <v>162</v>
      </c>
      <c r="BM141" s="2" t="s">
        <v>161</v>
      </c>
      <c r="BP141" t="s">
        <v>89</v>
      </c>
      <c r="BQ141">
        <v>82079010</v>
      </c>
      <c r="BS141" t="s">
        <v>189</v>
      </c>
      <c r="BT141" t="s">
        <v>103</v>
      </c>
      <c r="BV141">
        <v>294.97000000000003</v>
      </c>
      <c r="BW141">
        <v>517.66999999999996</v>
      </c>
      <c r="BX141">
        <v>0</v>
      </c>
      <c r="BY141">
        <v>0</v>
      </c>
      <c r="BZ141">
        <v>0</v>
      </c>
      <c r="CA141">
        <v>0</v>
      </c>
      <c r="CB141">
        <v>812.64</v>
      </c>
      <c r="CF141" s="2"/>
      <c r="CH141" s="2"/>
      <c r="CJ141">
        <v>5.3142019950142202E+17</v>
      </c>
      <c r="CK141" t="s">
        <v>1849</v>
      </c>
      <c r="CL141">
        <v>43744.584317129629</v>
      </c>
      <c r="CO141" t="s">
        <v>11</v>
      </c>
      <c r="CP141">
        <v>3687.09</v>
      </c>
      <c r="CQ141" t="s">
        <v>11</v>
      </c>
      <c r="CR141">
        <v>3687.09</v>
      </c>
      <c r="CV141" t="s">
        <v>190</v>
      </c>
      <c r="CW141" t="s">
        <v>12</v>
      </c>
      <c r="CX141" t="s">
        <v>12</v>
      </c>
      <c r="CY141" t="s">
        <v>12</v>
      </c>
      <c r="DA141" t="s">
        <v>104</v>
      </c>
      <c r="DD141" t="s">
        <v>93</v>
      </c>
      <c r="DQ141" t="s">
        <v>94</v>
      </c>
      <c r="DR141" t="s">
        <v>94</v>
      </c>
      <c r="DS141" t="s">
        <v>94</v>
      </c>
      <c r="DT141" t="s">
        <v>94</v>
      </c>
      <c r="DU141" t="s">
        <v>94</v>
      </c>
      <c r="DV141" t="s">
        <v>94</v>
      </c>
      <c r="DW141" t="s">
        <v>94</v>
      </c>
      <c r="DX141" s="2" t="s">
        <v>94</v>
      </c>
      <c r="DY141" t="s">
        <v>94</v>
      </c>
      <c r="DZ141" t="s">
        <v>94</v>
      </c>
      <c r="EA141" t="s">
        <v>94</v>
      </c>
      <c r="EB141" t="s">
        <v>94</v>
      </c>
      <c r="EC141" t="s">
        <v>94</v>
      </c>
      <c r="ED141" t="s">
        <v>94</v>
      </c>
      <c r="EE141" t="s">
        <v>89</v>
      </c>
      <c r="EF141" t="s">
        <v>94</v>
      </c>
      <c r="EG141" t="s">
        <v>105</v>
      </c>
      <c r="EJ141" t="s">
        <v>166</v>
      </c>
      <c r="EK141" t="b">
        <v>0</v>
      </c>
      <c r="EL141" t="b">
        <v>0</v>
      </c>
      <c r="EM141" t="b">
        <v>0</v>
      </c>
      <c r="EO141" t="s">
        <v>177</v>
      </c>
      <c r="EP141" t="s">
        <v>1917</v>
      </c>
    </row>
    <row r="142" spans="3:146" ht="15">
      <c r="C142" s="82">
        <v>1</v>
      </c>
      <c r="D142" s="5"/>
      <c r="E142" s="4">
        <v>1</v>
      </c>
      <c r="F142" s="5">
        <v>12.5</v>
      </c>
      <c r="G142" s="5" t="s">
        <v>1888</v>
      </c>
      <c r="H142" s="4" t="s">
        <v>1918</v>
      </c>
      <c r="I142" s="81" t="s">
        <v>164</v>
      </c>
      <c r="J142" s="21"/>
      <c r="K142" s="22" t="s">
        <v>1900</v>
      </c>
      <c r="L142" s="84" t="s">
        <v>1834</v>
      </c>
      <c r="M142" s="23" t="s">
        <v>447</v>
      </c>
      <c r="N142" s="23">
        <v>43744</v>
      </c>
      <c r="O142" s="24" t="s">
        <v>102</v>
      </c>
      <c r="P142" s="24" t="s">
        <v>181</v>
      </c>
      <c r="Q142" s="24">
        <v>1</v>
      </c>
      <c r="R142" s="24">
        <v>12.5</v>
      </c>
      <c r="S142" t="s">
        <v>528</v>
      </c>
      <c r="T142">
        <v>470.82</v>
      </c>
      <c r="U142" s="2" t="s">
        <v>163</v>
      </c>
      <c r="V142">
        <v>43744.810497685183</v>
      </c>
      <c r="W142" s="2" t="s">
        <v>444</v>
      </c>
      <c r="X142">
        <v>43746.695300925923</v>
      </c>
      <c r="AB142" t="s">
        <v>9</v>
      </c>
      <c r="AC142" t="s">
        <v>1901</v>
      </c>
      <c r="AD142" t="s">
        <v>209</v>
      </c>
      <c r="AE142">
        <v>40008</v>
      </c>
      <c r="AF142">
        <v>40008</v>
      </c>
      <c r="AG142" t="s">
        <v>183</v>
      </c>
      <c r="AH142" t="s">
        <v>1902</v>
      </c>
      <c r="AI142" t="s">
        <v>1902</v>
      </c>
      <c r="AJ142" t="s">
        <v>484</v>
      </c>
      <c r="AK142" t="s">
        <v>485</v>
      </c>
      <c r="AL142" t="s">
        <v>1903</v>
      </c>
      <c r="AO142" t="s">
        <v>1904</v>
      </c>
      <c r="AP142" t="s">
        <v>1905</v>
      </c>
      <c r="AQ142" t="s">
        <v>1906</v>
      </c>
      <c r="AR142" t="s">
        <v>1907</v>
      </c>
      <c r="AS142">
        <v>525683300</v>
      </c>
      <c r="AT142" t="s">
        <v>1908</v>
      </c>
      <c r="AU142" t="s">
        <v>10</v>
      </c>
      <c r="AV142" t="s">
        <v>1909</v>
      </c>
      <c r="AW142" t="s">
        <v>1909</v>
      </c>
      <c r="AX142" t="s">
        <v>1910</v>
      </c>
      <c r="AY142" s="2" t="s">
        <v>1911</v>
      </c>
      <c r="AZ142" t="s">
        <v>1912</v>
      </c>
      <c r="BA142" t="s">
        <v>520</v>
      </c>
      <c r="BB142" t="s">
        <v>223</v>
      </c>
      <c r="BC142" t="s">
        <v>188</v>
      </c>
      <c r="BD142">
        <v>510700</v>
      </c>
      <c r="BE142">
        <v>862037585369</v>
      </c>
      <c r="BF142" t="s">
        <v>1913</v>
      </c>
      <c r="BG142" t="b">
        <v>0</v>
      </c>
      <c r="BH142" s="6" t="s">
        <v>1914</v>
      </c>
      <c r="BI142" t="s">
        <v>1915</v>
      </c>
      <c r="BJ142">
        <v>4453163191</v>
      </c>
      <c r="BK142" t="s">
        <v>162</v>
      </c>
      <c r="BL142" t="s">
        <v>161</v>
      </c>
      <c r="BM142" s="2"/>
      <c r="BO142" t="s">
        <v>89</v>
      </c>
      <c r="BP142">
        <v>82079010</v>
      </c>
      <c r="BR142" t="s">
        <v>189</v>
      </c>
      <c r="BS142" t="s">
        <v>103</v>
      </c>
      <c r="BU142">
        <v>294.97000000000003</v>
      </c>
      <c r="BV142">
        <v>517.66999999999996</v>
      </c>
      <c r="BW142">
        <v>0</v>
      </c>
      <c r="BX142">
        <v>0</v>
      </c>
      <c r="BY142">
        <v>0</v>
      </c>
      <c r="BZ142">
        <v>0</v>
      </c>
      <c r="CA142">
        <v>812.64</v>
      </c>
      <c r="CF142" s="2"/>
      <c r="CH142" s="2"/>
      <c r="CJ142">
        <v>5.3142019950142202E+17</v>
      </c>
      <c r="CK142" t="s">
        <v>1849</v>
      </c>
      <c r="CL142">
        <v>43744.584317129629</v>
      </c>
      <c r="CO142" t="s">
        <v>11</v>
      </c>
      <c r="CP142">
        <v>3687.09</v>
      </c>
      <c r="CQ142" t="s">
        <v>11</v>
      </c>
      <c r="CR142">
        <v>3687.09</v>
      </c>
      <c r="CV142" t="s">
        <v>190</v>
      </c>
      <c r="CW142" t="s">
        <v>12</v>
      </c>
      <c r="CX142" t="s">
        <v>12</v>
      </c>
      <c r="CY142" t="s">
        <v>12</v>
      </c>
      <c r="DA142" t="s">
        <v>104</v>
      </c>
      <c r="DD142" t="s">
        <v>93</v>
      </c>
      <c r="DQ142" t="s">
        <v>94</v>
      </c>
      <c r="DR142" t="s">
        <v>94</v>
      </c>
      <c r="DS142" t="s">
        <v>94</v>
      </c>
      <c r="DT142" t="s">
        <v>94</v>
      </c>
      <c r="DU142" t="s">
        <v>94</v>
      </c>
      <c r="DV142" t="s">
        <v>94</v>
      </c>
      <c r="DW142" t="s">
        <v>94</v>
      </c>
      <c r="DX142" s="2" t="s">
        <v>94</v>
      </c>
      <c r="DY142" t="s">
        <v>94</v>
      </c>
      <c r="DZ142" t="s">
        <v>94</v>
      </c>
      <c r="EA142" t="s">
        <v>94</v>
      </c>
      <c r="EB142" t="s">
        <v>94</v>
      </c>
      <c r="EC142" t="s">
        <v>94</v>
      </c>
      <c r="ED142" t="s">
        <v>94</v>
      </c>
      <c r="EE142" t="s">
        <v>89</v>
      </c>
      <c r="EF142" t="s">
        <v>94</v>
      </c>
      <c r="EG142" t="s">
        <v>105</v>
      </c>
      <c r="EJ142" t="s">
        <v>166</v>
      </c>
      <c r="EK142" t="b">
        <v>0</v>
      </c>
      <c r="EL142" t="b">
        <v>0</v>
      </c>
      <c r="EM142" t="b">
        <v>0</v>
      </c>
      <c r="EO142" t="s">
        <v>177</v>
      </c>
      <c r="EP142" t="s">
        <v>1919</v>
      </c>
    </row>
    <row r="143" spans="3:146" ht="15">
      <c r="C143" s="82">
        <v>1</v>
      </c>
      <c r="D143" s="5">
        <v>80</v>
      </c>
      <c r="E143" s="4">
        <v>4</v>
      </c>
      <c r="F143" s="5">
        <v>80</v>
      </c>
      <c r="G143" s="5" t="s">
        <v>1888</v>
      </c>
      <c r="H143" s="4" t="s">
        <v>1936</v>
      </c>
      <c r="I143" s="81" t="s">
        <v>924</v>
      </c>
      <c r="J143" s="21"/>
      <c r="K143" s="22" t="s">
        <v>1920</v>
      </c>
      <c r="L143" s="84" t="s">
        <v>1921</v>
      </c>
      <c r="M143" s="23" t="s">
        <v>924</v>
      </c>
      <c r="N143" s="23">
        <v>43744</v>
      </c>
      <c r="O143" s="24" t="s">
        <v>102</v>
      </c>
      <c r="P143" s="24" t="s">
        <v>480</v>
      </c>
      <c r="Q143" s="24">
        <v>4</v>
      </c>
      <c r="R143" s="24">
        <v>52</v>
      </c>
      <c r="S143" t="s">
        <v>319</v>
      </c>
      <c r="T143">
        <v>901</v>
      </c>
      <c r="U143" s="2"/>
      <c r="W143" s="2"/>
      <c r="AB143" t="s">
        <v>9</v>
      </c>
      <c r="AC143" t="s">
        <v>1552</v>
      </c>
      <c r="AD143" t="s">
        <v>182</v>
      </c>
      <c r="AE143" t="s">
        <v>183</v>
      </c>
      <c r="AF143" t="s">
        <v>183</v>
      </c>
      <c r="AG143">
        <v>3041447</v>
      </c>
      <c r="AH143" t="s">
        <v>1922</v>
      </c>
      <c r="AI143" t="s">
        <v>1922</v>
      </c>
      <c r="AJ143" t="s">
        <v>776</v>
      </c>
      <c r="AK143" t="s">
        <v>777</v>
      </c>
      <c r="AL143" t="s">
        <v>1923</v>
      </c>
      <c r="AM143" t="s">
        <v>1924</v>
      </c>
      <c r="AO143" t="s">
        <v>1925</v>
      </c>
      <c r="AP143" t="s">
        <v>1556</v>
      </c>
      <c r="AQ143" t="s">
        <v>1386</v>
      </c>
      <c r="AR143">
        <v>70199</v>
      </c>
      <c r="AS143">
        <v>-6648543</v>
      </c>
      <c r="AT143" t="s">
        <v>1926</v>
      </c>
      <c r="AU143" t="s">
        <v>10</v>
      </c>
      <c r="AV143" t="s">
        <v>1927</v>
      </c>
      <c r="AW143" t="s">
        <v>1927</v>
      </c>
      <c r="AX143" t="s">
        <v>1928</v>
      </c>
      <c r="AY143" s="2" t="s">
        <v>1929</v>
      </c>
      <c r="AZ143" t="s">
        <v>1930</v>
      </c>
      <c r="BA143" t="s">
        <v>1678</v>
      </c>
      <c r="BB143" t="s">
        <v>272</v>
      </c>
      <c r="BC143" t="s">
        <v>188</v>
      </c>
      <c r="BD143">
        <v>518001</v>
      </c>
      <c r="BE143" t="s">
        <v>1931</v>
      </c>
      <c r="BF143" t="s">
        <v>1932</v>
      </c>
      <c r="BG143" t="b">
        <v>0</v>
      </c>
      <c r="BH143" s="6" t="s">
        <v>1933</v>
      </c>
      <c r="BI143" t="s">
        <v>1934</v>
      </c>
      <c r="BJ143">
        <v>4453163191</v>
      </c>
      <c r="BK143" t="s">
        <v>162</v>
      </c>
      <c r="BL143" t="s">
        <v>161</v>
      </c>
      <c r="BM143" s="2"/>
      <c r="BN143" t="s">
        <v>1935</v>
      </c>
      <c r="BR143" t="s">
        <v>180</v>
      </c>
      <c r="BU143">
        <v>0</v>
      </c>
      <c r="BV143">
        <v>0</v>
      </c>
      <c r="BW143">
        <v>0</v>
      </c>
      <c r="BX143">
        <v>0</v>
      </c>
      <c r="BY143">
        <v>0</v>
      </c>
      <c r="BZ143">
        <v>0</v>
      </c>
      <c r="CA143">
        <v>0</v>
      </c>
      <c r="CF143" s="2"/>
      <c r="CH143" s="2"/>
      <c r="CK143" t="s">
        <v>1509</v>
      </c>
      <c r="CL143">
        <v>43742.835856481484</v>
      </c>
      <c r="CO143" t="s">
        <v>11</v>
      </c>
      <c r="CP143">
        <v>6372.59</v>
      </c>
      <c r="CQ143" t="s">
        <v>11</v>
      </c>
      <c r="CR143">
        <v>6372.59</v>
      </c>
      <c r="CV143" t="s">
        <v>525</v>
      </c>
      <c r="CW143" t="s">
        <v>12</v>
      </c>
      <c r="CX143" t="s">
        <v>12</v>
      </c>
      <c r="CY143" t="s">
        <v>12</v>
      </c>
      <c r="DA143" t="s">
        <v>104</v>
      </c>
      <c r="DD143" t="s">
        <v>93</v>
      </c>
      <c r="DQ143" t="s">
        <v>94</v>
      </c>
      <c r="DR143" t="s">
        <v>94</v>
      </c>
      <c r="DS143" t="s">
        <v>94</v>
      </c>
      <c r="DT143" t="s">
        <v>94</v>
      </c>
      <c r="DU143" t="s">
        <v>94</v>
      </c>
      <c r="DV143" t="s">
        <v>94</v>
      </c>
      <c r="DW143" t="s">
        <v>94</v>
      </c>
      <c r="DX143" s="2" t="s">
        <v>94</v>
      </c>
      <c r="DY143" t="s">
        <v>94</v>
      </c>
      <c r="DZ143" t="s">
        <v>94</v>
      </c>
      <c r="EA143" t="s">
        <v>94</v>
      </c>
      <c r="EB143" t="s">
        <v>94</v>
      </c>
      <c r="EC143" t="s">
        <v>94</v>
      </c>
      <c r="ED143" t="s">
        <v>94</v>
      </c>
      <c r="EE143" t="s">
        <v>89</v>
      </c>
      <c r="EF143" t="s">
        <v>94</v>
      </c>
      <c r="EG143" t="s">
        <v>105</v>
      </c>
      <c r="EJ143" t="s">
        <v>166</v>
      </c>
      <c r="EK143" t="b">
        <v>0</v>
      </c>
      <c r="EL143" t="b">
        <v>0</v>
      </c>
      <c r="EM143" t="b">
        <v>0</v>
      </c>
      <c r="EO143" t="s">
        <v>178</v>
      </c>
      <c r="EP143" t="s">
        <v>1937</v>
      </c>
    </row>
    <row r="144" spans="3:146" ht="15">
      <c r="C144" s="82">
        <v>2</v>
      </c>
      <c r="D144" s="5">
        <v>7</v>
      </c>
      <c r="E144" s="4">
        <v>1</v>
      </c>
      <c r="F144" s="5">
        <v>7</v>
      </c>
      <c r="G144" s="5" t="s">
        <v>2010</v>
      </c>
      <c r="H144" s="4" t="s">
        <v>691</v>
      </c>
      <c r="I144" s="81" t="s">
        <v>920</v>
      </c>
      <c r="J144" s="21"/>
      <c r="K144" s="22" t="s">
        <v>2009</v>
      </c>
      <c r="L144" s="84" t="s">
        <v>1966</v>
      </c>
      <c r="M144" s="23" t="s">
        <v>905</v>
      </c>
      <c r="N144" s="23">
        <v>43748</v>
      </c>
      <c r="O144" s="24" t="s">
        <v>102</v>
      </c>
      <c r="P144" s="24" t="s">
        <v>480</v>
      </c>
      <c r="Q144" s="24">
        <v>1</v>
      </c>
      <c r="R144" s="24">
        <v>31.8</v>
      </c>
      <c r="S144" t="s">
        <v>319</v>
      </c>
      <c r="T144">
        <v>6165.9</v>
      </c>
      <c r="U144" s="2"/>
      <c r="W144" s="2"/>
      <c r="AB144" t="s">
        <v>9</v>
      </c>
      <c r="AC144" t="s">
        <v>1967</v>
      </c>
      <c r="AD144" t="s">
        <v>1602</v>
      </c>
      <c r="AE144" t="s">
        <v>183</v>
      </c>
      <c r="AF144" t="s">
        <v>183</v>
      </c>
      <c r="AG144" t="s">
        <v>2011</v>
      </c>
      <c r="AH144" t="s">
        <v>1968</v>
      </c>
      <c r="AI144" t="s">
        <v>1968</v>
      </c>
      <c r="AJ144" t="s">
        <v>184</v>
      </c>
      <c r="AK144" t="s">
        <v>185</v>
      </c>
      <c r="AL144" t="s">
        <v>1969</v>
      </c>
      <c r="AM144" t="s">
        <v>1970</v>
      </c>
      <c r="AO144" t="s">
        <v>1971</v>
      </c>
      <c r="AP144" t="s">
        <v>1972</v>
      </c>
      <c r="AQ144" t="s">
        <v>1973</v>
      </c>
      <c r="AR144" t="s">
        <v>1974</v>
      </c>
      <c r="AS144">
        <v>441895422924</v>
      </c>
      <c r="AT144" t="s">
        <v>1975</v>
      </c>
      <c r="AU144" t="s">
        <v>10</v>
      </c>
      <c r="AV144" t="s">
        <v>1976</v>
      </c>
      <c r="AW144" t="s">
        <v>1976</v>
      </c>
      <c r="AX144" t="s">
        <v>1977</v>
      </c>
      <c r="AY144" s="2" t="s">
        <v>1978</v>
      </c>
      <c r="AZ144" t="s">
        <v>1979</v>
      </c>
      <c r="BA144" t="s">
        <v>1980</v>
      </c>
      <c r="BB144" t="s">
        <v>1616</v>
      </c>
      <c r="BC144" t="s">
        <v>188</v>
      </c>
      <c r="BD144">
        <v>528400</v>
      </c>
      <c r="BE144" t="s">
        <v>1981</v>
      </c>
      <c r="BF144" t="s">
        <v>1982</v>
      </c>
      <c r="BG144" t="b">
        <v>0</v>
      </c>
      <c r="BH144" s="6" t="s">
        <v>1983</v>
      </c>
      <c r="BI144" t="s">
        <v>1984</v>
      </c>
      <c r="BJ144">
        <v>4453163191</v>
      </c>
      <c r="BK144" t="s">
        <v>162</v>
      </c>
      <c r="BL144" t="s">
        <v>161</v>
      </c>
      <c r="BM144" s="2"/>
      <c r="BN144">
        <v>9.1442000675229299E+17</v>
      </c>
      <c r="BR144" t="s">
        <v>189</v>
      </c>
      <c r="BS144" t="s">
        <v>103</v>
      </c>
      <c r="BU144">
        <v>0</v>
      </c>
      <c r="BV144">
        <v>0</v>
      </c>
      <c r="BW144">
        <v>0</v>
      </c>
      <c r="BX144">
        <v>0</v>
      </c>
      <c r="BY144">
        <v>0</v>
      </c>
      <c r="BZ144">
        <v>0</v>
      </c>
      <c r="CA144">
        <v>0</v>
      </c>
      <c r="CF144" s="2"/>
      <c r="CH144" s="2"/>
      <c r="CK144" t="s">
        <v>1509</v>
      </c>
      <c r="CL144">
        <v>43748.563877314817</v>
      </c>
      <c r="CO144" t="s">
        <v>11</v>
      </c>
      <c r="CP144">
        <v>43610.18</v>
      </c>
      <c r="CQ144" t="s">
        <v>11</v>
      </c>
      <c r="CR144">
        <v>43610.18</v>
      </c>
      <c r="CV144" t="s">
        <v>525</v>
      </c>
      <c r="CW144" t="s">
        <v>12</v>
      </c>
      <c r="CX144" t="s">
        <v>12</v>
      </c>
      <c r="CY144" t="s">
        <v>12</v>
      </c>
      <c r="DA144" t="s">
        <v>104</v>
      </c>
      <c r="DD144" t="s">
        <v>93</v>
      </c>
      <c r="DQ144" t="s">
        <v>94</v>
      </c>
      <c r="DR144" t="s">
        <v>94</v>
      </c>
      <c r="DS144" t="s">
        <v>94</v>
      </c>
      <c r="DT144" t="s">
        <v>94</v>
      </c>
      <c r="DU144" t="s">
        <v>94</v>
      </c>
      <c r="DV144" t="s">
        <v>94</v>
      </c>
      <c r="DW144" t="s">
        <v>94</v>
      </c>
      <c r="DX144" s="2" t="s">
        <v>94</v>
      </c>
      <c r="DY144" t="s">
        <v>94</v>
      </c>
      <c r="DZ144" t="s">
        <v>94</v>
      </c>
      <c r="EA144" t="s">
        <v>94</v>
      </c>
      <c r="EB144" t="s">
        <v>94</v>
      </c>
      <c r="EC144" t="s">
        <v>94</v>
      </c>
      <c r="ED144" t="s">
        <v>94</v>
      </c>
      <c r="EE144" t="s">
        <v>89</v>
      </c>
      <c r="EF144" t="s">
        <v>94</v>
      </c>
      <c r="EG144" t="s">
        <v>105</v>
      </c>
      <c r="EJ144" t="s">
        <v>166</v>
      </c>
      <c r="EK144" t="b">
        <v>0</v>
      </c>
      <c r="EL144" t="b">
        <v>0</v>
      </c>
      <c r="EM144" t="b">
        <v>0</v>
      </c>
      <c r="EO144" t="s">
        <v>178</v>
      </c>
      <c r="EP144" t="s">
        <v>2012</v>
      </c>
    </row>
    <row r="145" spans="3:146">
      <c r="C145" s="4">
        <v>2</v>
      </c>
      <c r="D145" s="4">
        <v>24</v>
      </c>
      <c r="E145" s="4">
        <v>1</v>
      </c>
      <c r="F145" s="4">
        <v>24</v>
      </c>
      <c r="G145" s="5" t="s">
        <v>2010</v>
      </c>
      <c r="H145" s="4" t="s">
        <v>691</v>
      </c>
      <c r="I145" s="4" t="s">
        <v>920</v>
      </c>
      <c r="J145" s="5"/>
      <c r="K145" s="22" t="s">
        <v>2008</v>
      </c>
      <c r="L145" s="84" t="s">
        <v>1966</v>
      </c>
      <c r="M145" s="23" t="s">
        <v>905</v>
      </c>
      <c r="N145" s="23">
        <v>43748</v>
      </c>
      <c r="O145" s="24" t="s">
        <v>102</v>
      </c>
      <c r="P145" s="24" t="s">
        <v>480</v>
      </c>
      <c r="Q145" s="24">
        <v>1</v>
      </c>
      <c r="R145" s="24">
        <v>31.8</v>
      </c>
      <c r="S145" t="s">
        <v>319</v>
      </c>
      <c r="T145">
        <v>6165.9</v>
      </c>
      <c r="U145" s="2"/>
      <c r="W145" s="2"/>
      <c r="AB145" t="s">
        <v>9</v>
      </c>
      <c r="AC145" t="s">
        <v>1967</v>
      </c>
      <c r="AD145" t="s">
        <v>1602</v>
      </c>
      <c r="AE145" t="s">
        <v>183</v>
      </c>
      <c r="AF145" t="s">
        <v>183</v>
      </c>
      <c r="AG145" t="s">
        <v>2011</v>
      </c>
      <c r="AH145" t="s">
        <v>1968</v>
      </c>
      <c r="AI145" t="s">
        <v>1968</v>
      </c>
      <c r="AJ145" t="s">
        <v>184</v>
      </c>
      <c r="AK145" t="s">
        <v>185</v>
      </c>
      <c r="AL145" t="s">
        <v>1969</v>
      </c>
      <c r="AM145" t="s">
        <v>1970</v>
      </c>
      <c r="AO145" t="s">
        <v>1971</v>
      </c>
      <c r="AP145" t="s">
        <v>1972</v>
      </c>
      <c r="AQ145" t="s">
        <v>1973</v>
      </c>
      <c r="AR145" t="s">
        <v>1974</v>
      </c>
      <c r="AS145">
        <v>441895422924</v>
      </c>
      <c r="AT145" t="s">
        <v>1975</v>
      </c>
      <c r="AU145" t="s">
        <v>10</v>
      </c>
      <c r="AV145" t="s">
        <v>1976</v>
      </c>
      <c r="AW145" t="s">
        <v>1976</v>
      </c>
      <c r="AX145" t="s">
        <v>1977</v>
      </c>
      <c r="AY145" t="s">
        <v>1978</v>
      </c>
      <c r="AZ145" t="s">
        <v>1979</v>
      </c>
      <c r="BA145" t="s">
        <v>1980</v>
      </c>
      <c r="BB145" t="s">
        <v>1616</v>
      </c>
      <c r="BC145" t="s">
        <v>188</v>
      </c>
      <c r="BD145">
        <v>528400</v>
      </c>
      <c r="BE145" t="s">
        <v>1981</v>
      </c>
      <c r="BF145" t="s">
        <v>1982</v>
      </c>
      <c r="BG145" t="b">
        <v>0</v>
      </c>
      <c r="BH145" s="6" t="s">
        <v>1983</v>
      </c>
      <c r="BI145" t="s">
        <v>1984</v>
      </c>
      <c r="BJ145">
        <v>4453163191</v>
      </c>
      <c r="BK145" t="s">
        <v>162</v>
      </c>
      <c r="BL145" t="s">
        <v>161</v>
      </c>
      <c r="BM145" s="2"/>
      <c r="BN145">
        <v>9.1442000675229299E+17</v>
      </c>
      <c r="BR145" t="s">
        <v>189</v>
      </c>
      <c r="BS145" t="s">
        <v>103</v>
      </c>
      <c r="BU145">
        <v>0</v>
      </c>
      <c r="BV145">
        <v>0</v>
      </c>
      <c r="BW145">
        <v>0</v>
      </c>
      <c r="BX145">
        <v>0</v>
      </c>
      <c r="BY145">
        <v>0</v>
      </c>
      <c r="BZ145">
        <v>0</v>
      </c>
      <c r="CA145">
        <v>0</v>
      </c>
      <c r="CF145" s="2"/>
      <c r="CH145" s="2"/>
      <c r="CK145" t="s">
        <v>1509</v>
      </c>
      <c r="CL145">
        <v>43748.563877314817</v>
      </c>
      <c r="CO145" t="s">
        <v>11</v>
      </c>
      <c r="CP145">
        <v>43610.18</v>
      </c>
      <c r="CQ145" t="s">
        <v>11</v>
      </c>
      <c r="CR145">
        <v>43610.18</v>
      </c>
      <c r="CV145" t="s">
        <v>525</v>
      </c>
      <c r="CW145" t="s">
        <v>12</v>
      </c>
      <c r="CX145" t="s">
        <v>12</v>
      </c>
      <c r="CY145" t="s">
        <v>12</v>
      </c>
      <c r="DA145" t="s">
        <v>104</v>
      </c>
      <c r="DD145" t="s">
        <v>93</v>
      </c>
      <c r="DQ145" t="s">
        <v>94</v>
      </c>
      <c r="DR145" t="s">
        <v>94</v>
      </c>
      <c r="DS145" t="s">
        <v>94</v>
      </c>
      <c r="DT145" t="s">
        <v>94</v>
      </c>
      <c r="DU145" t="s">
        <v>94</v>
      </c>
      <c r="DV145" t="s">
        <v>94</v>
      </c>
      <c r="DW145" t="s">
        <v>94</v>
      </c>
      <c r="DX145" s="2" t="s">
        <v>94</v>
      </c>
      <c r="DY145" t="s">
        <v>94</v>
      </c>
      <c r="DZ145" t="s">
        <v>94</v>
      </c>
      <c r="EA145" t="s">
        <v>94</v>
      </c>
      <c r="EB145" t="s">
        <v>94</v>
      </c>
      <c r="EC145" t="s">
        <v>94</v>
      </c>
      <c r="ED145" t="s">
        <v>94</v>
      </c>
      <c r="EE145" t="s">
        <v>89</v>
      </c>
      <c r="EF145" t="s">
        <v>94</v>
      </c>
      <c r="EG145" t="s">
        <v>105</v>
      </c>
      <c r="EJ145" t="s">
        <v>166</v>
      </c>
      <c r="EK145" t="b">
        <v>0</v>
      </c>
      <c r="EL145" t="b">
        <v>0</v>
      </c>
      <c r="EM145" t="b">
        <v>0</v>
      </c>
      <c r="EO145" t="s">
        <v>178</v>
      </c>
      <c r="EP145" t="s">
        <v>2012</v>
      </c>
    </row>
    <row r="146" spans="3:146" ht="15">
      <c r="C146" s="82">
        <v>23</v>
      </c>
      <c r="D146" s="5"/>
      <c r="E146" s="4">
        <v>1</v>
      </c>
      <c r="F146" s="5">
        <v>32.1</v>
      </c>
      <c r="G146" s="5" t="s">
        <v>1650</v>
      </c>
      <c r="H146" s="4" t="s">
        <v>2013</v>
      </c>
      <c r="I146" s="81" t="s">
        <v>920</v>
      </c>
      <c r="J146" s="21"/>
      <c r="K146" s="22" t="s">
        <v>1938</v>
      </c>
      <c r="L146" s="84" t="s">
        <v>1551</v>
      </c>
      <c r="M146" s="23" t="s">
        <v>905</v>
      </c>
      <c r="N146" s="23">
        <v>43736</v>
      </c>
      <c r="O146" s="24" t="s">
        <v>102</v>
      </c>
      <c r="P146" s="24" t="s">
        <v>181</v>
      </c>
      <c r="Q146" s="24">
        <v>1</v>
      </c>
      <c r="R146" s="24">
        <v>32.1</v>
      </c>
      <c r="S146" t="s">
        <v>11</v>
      </c>
      <c r="T146">
        <v>1600</v>
      </c>
      <c r="U146" s="2" t="s">
        <v>163</v>
      </c>
      <c r="V146">
        <v>43736.782037037039</v>
      </c>
      <c r="W146" s="2" t="s">
        <v>444</v>
      </c>
      <c r="X146">
        <v>43738.446342592593</v>
      </c>
      <c r="AB146" t="s">
        <v>9</v>
      </c>
      <c r="AC146" t="s">
        <v>1143</v>
      </c>
      <c r="AD146" t="s">
        <v>249</v>
      </c>
      <c r="AE146" t="s">
        <v>2014</v>
      </c>
      <c r="AF146" t="s">
        <v>2014</v>
      </c>
      <c r="AG146" t="s">
        <v>183</v>
      </c>
      <c r="AH146" t="s">
        <v>1939</v>
      </c>
      <c r="AI146" t="s">
        <v>1939</v>
      </c>
      <c r="AJ146" t="s">
        <v>644</v>
      </c>
      <c r="AK146" t="s">
        <v>645</v>
      </c>
      <c r="AL146" t="s">
        <v>1940</v>
      </c>
      <c r="AM146" t="s">
        <v>1941</v>
      </c>
      <c r="AO146" t="s">
        <v>1942</v>
      </c>
      <c r="AP146" t="s">
        <v>1149</v>
      </c>
      <c r="AR146" t="s">
        <v>2015</v>
      </c>
      <c r="AS146">
        <v>60351229176</v>
      </c>
      <c r="AT146" t="s">
        <v>1943</v>
      </c>
      <c r="AU146" t="s">
        <v>10</v>
      </c>
      <c r="AV146" t="s">
        <v>1944</v>
      </c>
      <c r="AW146" t="s">
        <v>1944</v>
      </c>
      <c r="AX146" t="s">
        <v>1945</v>
      </c>
      <c r="AY146" s="2" t="s">
        <v>1946</v>
      </c>
      <c r="AZ146" t="s">
        <v>1947</v>
      </c>
      <c r="BA146" t="s">
        <v>1948</v>
      </c>
      <c r="BB146" t="s">
        <v>1949</v>
      </c>
      <c r="BC146" t="s">
        <v>253</v>
      </c>
      <c r="BD146">
        <v>530023</v>
      </c>
      <c r="BE146" t="s">
        <v>1950</v>
      </c>
      <c r="BF146" t="s">
        <v>1951</v>
      </c>
      <c r="BG146" t="b">
        <v>0</v>
      </c>
      <c r="BH146" s="6" t="s">
        <v>1952</v>
      </c>
      <c r="BI146" t="s">
        <v>1953</v>
      </c>
      <c r="BJ146">
        <v>4453163191</v>
      </c>
      <c r="BK146" t="s">
        <v>162</v>
      </c>
      <c r="BL146" t="s">
        <v>161</v>
      </c>
      <c r="BM146" s="2"/>
      <c r="BO146" t="s">
        <v>89</v>
      </c>
      <c r="BP146">
        <v>8481804090</v>
      </c>
      <c r="BR146" t="s">
        <v>189</v>
      </c>
      <c r="BS146" t="s">
        <v>103</v>
      </c>
      <c r="BU146">
        <v>80</v>
      </c>
      <c r="BV146">
        <v>218.4</v>
      </c>
      <c r="BW146">
        <v>0</v>
      </c>
      <c r="BX146">
        <v>0</v>
      </c>
      <c r="BY146">
        <v>0</v>
      </c>
      <c r="BZ146">
        <v>0</v>
      </c>
      <c r="CA146">
        <v>298.39999999999998</v>
      </c>
      <c r="CF146" s="2"/>
      <c r="CH146" s="2"/>
      <c r="CJ146" t="s">
        <v>1023</v>
      </c>
      <c r="CK146" t="s">
        <v>1509</v>
      </c>
      <c r="CL146">
        <v>43736.574155092596</v>
      </c>
      <c r="CO146" t="s">
        <v>11</v>
      </c>
      <c r="CP146">
        <v>1600</v>
      </c>
      <c r="CQ146" t="s">
        <v>11</v>
      </c>
      <c r="CR146">
        <v>1600</v>
      </c>
      <c r="CV146" t="s">
        <v>190</v>
      </c>
      <c r="CW146" t="s">
        <v>12</v>
      </c>
      <c r="CX146" t="s">
        <v>12</v>
      </c>
      <c r="CY146" t="s">
        <v>12</v>
      </c>
      <c r="DA146" t="s">
        <v>104</v>
      </c>
      <c r="DD146" t="s">
        <v>93</v>
      </c>
      <c r="DQ146" t="s">
        <v>94</v>
      </c>
      <c r="DR146" t="s">
        <v>94</v>
      </c>
      <c r="DS146" t="s">
        <v>94</v>
      </c>
      <c r="DT146" t="s">
        <v>94</v>
      </c>
      <c r="DU146" t="s">
        <v>94</v>
      </c>
      <c r="DV146" t="s">
        <v>94</v>
      </c>
      <c r="DW146" t="s">
        <v>94</v>
      </c>
      <c r="DX146" s="2" t="s">
        <v>94</v>
      </c>
      <c r="DY146" t="s">
        <v>94</v>
      </c>
      <c r="DZ146" t="s">
        <v>94</v>
      </c>
      <c r="EA146" t="s">
        <v>94</v>
      </c>
      <c r="EB146" t="s">
        <v>94</v>
      </c>
      <c r="EC146" t="s">
        <v>94</v>
      </c>
      <c r="ED146" t="s">
        <v>94</v>
      </c>
      <c r="EE146" t="s">
        <v>89</v>
      </c>
      <c r="EF146" t="s">
        <v>425</v>
      </c>
      <c r="EG146" t="s">
        <v>105</v>
      </c>
      <c r="EJ146" t="s">
        <v>166</v>
      </c>
      <c r="EK146" t="b">
        <v>0</v>
      </c>
      <c r="EL146" t="b">
        <v>0</v>
      </c>
      <c r="EM146" t="b">
        <v>0</v>
      </c>
      <c r="EO146" t="s">
        <v>177</v>
      </c>
      <c r="EP146" t="s">
        <v>2016</v>
      </c>
    </row>
    <row r="147" spans="3:146" ht="15">
      <c r="C147" s="82">
        <v>131</v>
      </c>
      <c r="D147" s="5"/>
      <c r="E147" s="4">
        <v>3</v>
      </c>
      <c r="F147" s="5">
        <v>3.85</v>
      </c>
      <c r="G147" s="5" t="s">
        <v>1686</v>
      </c>
      <c r="H147" s="4" t="s">
        <v>2017</v>
      </c>
      <c r="I147" s="81" t="s">
        <v>164</v>
      </c>
      <c r="J147" s="21"/>
      <c r="K147" s="22" t="s">
        <v>1954</v>
      </c>
      <c r="L147" s="84" t="s">
        <v>1666</v>
      </c>
      <c r="M147" s="23" t="s">
        <v>164</v>
      </c>
      <c r="N147" s="23">
        <v>43733</v>
      </c>
      <c r="O147" s="24" t="s">
        <v>102</v>
      </c>
      <c r="P147" s="24" t="s">
        <v>181</v>
      </c>
      <c r="Q147" s="24">
        <v>3</v>
      </c>
      <c r="R147" s="24">
        <v>3.85</v>
      </c>
      <c r="S147" t="s">
        <v>528</v>
      </c>
      <c r="T147">
        <v>102.27</v>
      </c>
      <c r="U147" s="2" t="s">
        <v>163</v>
      </c>
      <c r="V147">
        <v>43733.78701388889</v>
      </c>
      <c r="W147" s="2" t="s">
        <v>444</v>
      </c>
      <c r="X147">
        <v>43736.49423611111</v>
      </c>
      <c r="AB147" t="s">
        <v>9</v>
      </c>
      <c r="AC147" t="s">
        <v>1955</v>
      </c>
      <c r="AD147" t="s">
        <v>241</v>
      </c>
      <c r="AE147" t="s">
        <v>2018</v>
      </c>
      <c r="AF147" t="s">
        <v>2018</v>
      </c>
      <c r="AG147" t="s">
        <v>183</v>
      </c>
      <c r="AH147" t="s">
        <v>1956</v>
      </c>
      <c r="AI147" t="s">
        <v>1956</v>
      </c>
      <c r="AJ147" t="s">
        <v>776</v>
      </c>
      <c r="AK147" t="s">
        <v>777</v>
      </c>
      <c r="AL147" t="s">
        <v>1957</v>
      </c>
      <c r="AO147" t="s">
        <v>1958</v>
      </c>
      <c r="AP147" t="s">
        <v>1959</v>
      </c>
      <c r="AQ147" t="s">
        <v>1012</v>
      </c>
      <c r="AR147" t="s">
        <v>2019</v>
      </c>
      <c r="AS147">
        <v>6073124912</v>
      </c>
      <c r="AT147" t="s">
        <v>1960</v>
      </c>
      <c r="AU147" t="s">
        <v>10</v>
      </c>
      <c r="AV147" t="s">
        <v>1961</v>
      </c>
      <c r="AW147" t="s">
        <v>1961</v>
      </c>
      <c r="AX147" t="s">
        <v>1962</v>
      </c>
      <c r="AY147" s="2"/>
      <c r="BA147" t="s">
        <v>1226</v>
      </c>
      <c r="BB147" t="s">
        <v>246</v>
      </c>
      <c r="BC147" t="s">
        <v>188</v>
      </c>
      <c r="BD147">
        <v>516006</v>
      </c>
      <c r="BE147" t="s">
        <v>2020</v>
      </c>
      <c r="BF147" t="s">
        <v>1963</v>
      </c>
      <c r="BG147" t="b">
        <v>0</v>
      </c>
      <c r="BH147" s="6" t="s">
        <v>1964</v>
      </c>
      <c r="BI147" t="s">
        <v>1965</v>
      </c>
      <c r="BJ147">
        <v>4453163191</v>
      </c>
      <c r="BK147" t="s">
        <v>162</v>
      </c>
      <c r="BL147" t="s">
        <v>161</v>
      </c>
      <c r="BM147" s="2"/>
      <c r="BO147" t="s">
        <v>89</v>
      </c>
      <c r="BP147">
        <v>85271900</v>
      </c>
      <c r="BR147" t="s">
        <v>180</v>
      </c>
      <c r="BS147" t="s">
        <v>103</v>
      </c>
      <c r="BU147">
        <v>0</v>
      </c>
      <c r="BV147">
        <v>104.76</v>
      </c>
      <c r="BW147">
        <v>0</v>
      </c>
      <c r="BX147">
        <v>0</v>
      </c>
      <c r="BY147">
        <v>0</v>
      </c>
      <c r="BZ147">
        <v>0</v>
      </c>
      <c r="CA147">
        <v>104.76</v>
      </c>
      <c r="CF147" s="2"/>
      <c r="CH147" s="2"/>
      <c r="CJ147" t="s">
        <v>1023</v>
      </c>
      <c r="CK147" t="s">
        <v>1509</v>
      </c>
      <c r="CL147">
        <v>43733.383020833331</v>
      </c>
      <c r="CO147" t="s">
        <v>11</v>
      </c>
      <c r="CP147">
        <v>800.9</v>
      </c>
      <c r="CQ147" t="s">
        <v>11</v>
      </c>
      <c r="CR147">
        <v>800.9</v>
      </c>
      <c r="CV147" t="s">
        <v>190</v>
      </c>
      <c r="CW147" t="s">
        <v>12</v>
      </c>
      <c r="CX147" t="s">
        <v>12</v>
      </c>
      <c r="CY147" t="s">
        <v>12</v>
      </c>
      <c r="DA147" t="s">
        <v>104</v>
      </c>
      <c r="DD147" t="s">
        <v>93</v>
      </c>
      <c r="DQ147" t="s">
        <v>94</v>
      </c>
      <c r="DR147" t="s">
        <v>94</v>
      </c>
      <c r="DS147" t="s">
        <v>94</v>
      </c>
      <c r="DT147" t="s">
        <v>94</v>
      </c>
      <c r="DU147" t="s">
        <v>94</v>
      </c>
      <c r="DV147" t="s">
        <v>94</v>
      </c>
      <c r="DW147" t="s">
        <v>94</v>
      </c>
      <c r="DX147" s="2" t="s">
        <v>94</v>
      </c>
      <c r="DY147" t="s">
        <v>94</v>
      </c>
      <c r="DZ147" t="s">
        <v>94</v>
      </c>
      <c r="EA147" t="s">
        <v>94</v>
      </c>
      <c r="EB147" t="s">
        <v>94</v>
      </c>
      <c r="EC147" t="s">
        <v>94</v>
      </c>
      <c r="ED147" t="s">
        <v>94</v>
      </c>
      <c r="EE147" t="s">
        <v>89</v>
      </c>
      <c r="EF147" t="s">
        <v>425</v>
      </c>
      <c r="EG147" t="s">
        <v>105</v>
      </c>
      <c r="EJ147" t="s">
        <v>166</v>
      </c>
      <c r="EK147" t="b">
        <v>0</v>
      </c>
      <c r="EL147" t="b">
        <v>0</v>
      </c>
      <c r="EM147" t="b">
        <v>0</v>
      </c>
      <c r="EO147" t="s">
        <v>177</v>
      </c>
      <c r="EP147" t="s">
        <v>2021</v>
      </c>
    </row>
    <row r="148" spans="3:146" ht="15">
      <c r="C148" s="82">
        <v>2323</v>
      </c>
      <c r="D148" s="5"/>
      <c r="E148" s="4">
        <v>1</v>
      </c>
      <c r="F148" s="5">
        <v>2</v>
      </c>
      <c r="G148" s="5" t="s">
        <v>1879</v>
      </c>
      <c r="H148" s="4" t="s">
        <v>1802</v>
      </c>
      <c r="I148" s="81" t="s">
        <v>164</v>
      </c>
      <c r="J148" s="21"/>
      <c r="K148" s="22" t="s">
        <v>1998</v>
      </c>
      <c r="L148" s="84" t="s">
        <v>1818</v>
      </c>
      <c r="M148" s="23" t="s">
        <v>164</v>
      </c>
      <c r="N148" s="23">
        <v>43742</v>
      </c>
      <c r="O148" s="24" t="s">
        <v>102</v>
      </c>
      <c r="P148" s="24" t="s">
        <v>181</v>
      </c>
      <c r="Q148" s="24">
        <v>1</v>
      </c>
      <c r="R148" s="24">
        <v>2</v>
      </c>
      <c r="S148" t="s">
        <v>319</v>
      </c>
      <c r="T148">
        <v>480</v>
      </c>
      <c r="U148" s="2" t="s">
        <v>163</v>
      </c>
      <c r="V148">
        <v>43742.898726851854</v>
      </c>
      <c r="W148" s="2" t="s">
        <v>444</v>
      </c>
      <c r="X148">
        <v>43742.905185185184</v>
      </c>
      <c r="AB148" t="s">
        <v>9</v>
      </c>
      <c r="AC148" t="s">
        <v>599</v>
      </c>
      <c r="AD148" t="s">
        <v>182</v>
      </c>
      <c r="AE148" t="s">
        <v>2022</v>
      </c>
      <c r="AF148" t="s">
        <v>2022</v>
      </c>
      <c r="AG148" t="s">
        <v>183</v>
      </c>
      <c r="AH148" t="s">
        <v>1999</v>
      </c>
      <c r="AI148" t="s">
        <v>1999</v>
      </c>
      <c r="AJ148" t="s">
        <v>601</v>
      </c>
      <c r="AK148" t="s">
        <v>602</v>
      </c>
      <c r="AL148" t="s">
        <v>2000</v>
      </c>
      <c r="AO148" t="s">
        <v>604</v>
      </c>
      <c r="AP148" t="s">
        <v>605</v>
      </c>
      <c r="AQ148" t="s">
        <v>606</v>
      </c>
      <c r="AR148" t="s">
        <v>672</v>
      </c>
      <c r="AS148">
        <v>392459035</v>
      </c>
      <c r="AT148" t="s">
        <v>2001</v>
      </c>
      <c r="AU148" t="s">
        <v>10</v>
      </c>
      <c r="AV148" t="s">
        <v>2002</v>
      </c>
      <c r="AW148" t="s">
        <v>2002</v>
      </c>
      <c r="AX148" t="s">
        <v>2003</v>
      </c>
      <c r="AY148" s="2" t="s">
        <v>2004</v>
      </c>
      <c r="BA148" t="s">
        <v>194</v>
      </c>
      <c r="BB148" t="s">
        <v>187</v>
      </c>
      <c r="BC148" t="s">
        <v>188</v>
      </c>
      <c r="BD148">
        <v>518125</v>
      </c>
      <c r="BE148" t="s">
        <v>2023</v>
      </c>
      <c r="BF148" t="s">
        <v>2005</v>
      </c>
      <c r="BG148" t="b">
        <v>0</v>
      </c>
      <c r="BH148" s="6" t="s">
        <v>2006</v>
      </c>
      <c r="BI148" t="s">
        <v>2007</v>
      </c>
      <c r="BJ148">
        <v>4453163191</v>
      </c>
      <c r="BK148" t="s">
        <v>162</v>
      </c>
      <c r="BL148" t="s">
        <v>161</v>
      </c>
      <c r="BM148" s="2"/>
      <c r="BO148" t="s">
        <v>89</v>
      </c>
      <c r="BP148">
        <v>85423990</v>
      </c>
      <c r="BR148" t="s">
        <v>180</v>
      </c>
      <c r="BS148" t="s">
        <v>103</v>
      </c>
      <c r="BU148">
        <v>0</v>
      </c>
      <c r="BV148">
        <v>441.34</v>
      </c>
      <c r="BW148">
        <v>0</v>
      </c>
      <c r="BX148">
        <v>0</v>
      </c>
      <c r="BY148">
        <v>0</v>
      </c>
      <c r="BZ148">
        <v>0</v>
      </c>
      <c r="CA148">
        <v>441.34</v>
      </c>
      <c r="CF148" s="2"/>
      <c r="CH148" s="2"/>
      <c r="CJ148" t="s">
        <v>1023</v>
      </c>
      <c r="CK148" t="s">
        <v>445</v>
      </c>
      <c r="CL148">
        <v>43742.381967592592</v>
      </c>
      <c r="CO148" t="s">
        <v>11</v>
      </c>
      <c r="CP148">
        <v>3394.94</v>
      </c>
      <c r="CQ148" t="s">
        <v>11</v>
      </c>
      <c r="CR148">
        <v>3394.94</v>
      </c>
      <c r="CV148" t="s">
        <v>190</v>
      </c>
      <c r="CW148" t="s">
        <v>12</v>
      </c>
      <c r="CX148" t="s">
        <v>12</v>
      </c>
      <c r="CY148" t="s">
        <v>12</v>
      </c>
      <c r="DA148" t="s">
        <v>104</v>
      </c>
      <c r="DD148" t="s">
        <v>93</v>
      </c>
      <c r="DQ148" t="s">
        <v>94</v>
      </c>
      <c r="DR148" t="s">
        <v>94</v>
      </c>
      <c r="DS148" t="s">
        <v>94</v>
      </c>
      <c r="DT148" t="s">
        <v>94</v>
      </c>
      <c r="DU148" t="s">
        <v>94</v>
      </c>
      <c r="DV148" t="s">
        <v>94</v>
      </c>
      <c r="DW148" t="s">
        <v>94</v>
      </c>
      <c r="DX148" s="2" t="s">
        <v>94</v>
      </c>
      <c r="DY148" t="s">
        <v>94</v>
      </c>
      <c r="DZ148" t="s">
        <v>94</v>
      </c>
      <c r="EA148" t="s">
        <v>94</v>
      </c>
      <c r="EB148" t="s">
        <v>94</v>
      </c>
      <c r="EC148" t="s">
        <v>94</v>
      </c>
      <c r="ED148" t="s">
        <v>94</v>
      </c>
      <c r="EE148" t="s">
        <v>89</v>
      </c>
      <c r="EF148" t="s">
        <v>425</v>
      </c>
      <c r="EG148" t="s">
        <v>105</v>
      </c>
      <c r="EJ148" t="s">
        <v>166</v>
      </c>
      <c r="EK148" t="b">
        <v>0</v>
      </c>
      <c r="EL148" t="b">
        <v>0</v>
      </c>
      <c r="EM148" t="b">
        <v>0</v>
      </c>
      <c r="EO148" t="s">
        <v>177</v>
      </c>
      <c r="EP148" t="s">
        <v>2024</v>
      </c>
    </row>
    <row r="149" spans="3:146" ht="15">
      <c r="C149" s="82">
        <v>13213</v>
      </c>
      <c r="D149" s="5"/>
      <c r="E149" s="4">
        <v>1</v>
      </c>
      <c r="F149" s="5">
        <v>1.45</v>
      </c>
      <c r="G149" s="5" t="s">
        <v>2025</v>
      </c>
      <c r="H149" s="4" t="s">
        <v>2026</v>
      </c>
      <c r="I149" s="81" t="s">
        <v>920</v>
      </c>
      <c r="J149" s="21"/>
      <c r="K149" s="22" t="s">
        <v>1985</v>
      </c>
      <c r="L149" s="84" t="s">
        <v>1986</v>
      </c>
      <c r="M149" s="23" t="s">
        <v>920</v>
      </c>
      <c r="N149" s="23">
        <v>43735</v>
      </c>
      <c r="O149" s="24" t="s">
        <v>102</v>
      </c>
      <c r="P149" s="24" t="s">
        <v>179</v>
      </c>
      <c r="Q149" s="24">
        <v>1</v>
      </c>
      <c r="R149" s="24">
        <v>1.45</v>
      </c>
      <c r="S149" t="s">
        <v>319</v>
      </c>
      <c r="T149">
        <v>30</v>
      </c>
      <c r="U149" s="2" t="s">
        <v>163</v>
      </c>
      <c r="V149">
        <v>43735.830787037034</v>
      </c>
      <c r="W149" s="2" t="s">
        <v>444</v>
      </c>
      <c r="X149">
        <v>43738.445231481484</v>
      </c>
      <c r="AB149" t="s">
        <v>9</v>
      </c>
      <c r="AC149" t="s">
        <v>1255</v>
      </c>
      <c r="AD149" t="s">
        <v>191</v>
      </c>
      <c r="AE149" t="s">
        <v>2027</v>
      </c>
      <c r="AF149" t="s">
        <v>2027</v>
      </c>
      <c r="AG149" t="s">
        <v>183</v>
      </c>
      <c r="AH149" t="s">
        <v>1987</v>
      </c>
      <c r="AI149" t="s">
        <v>1987</v>
      </c>
      <c r="AJ149" t="s">
        <v>1257</v>
      </c>
      <c r="AK149" t="s">
        <v>1258</v>
      </c>
      <c r="AL149" t="s">
        <v>1988</v>
      </c>
      <c r="AO149" t="s">
        <v>1989</v>
      </c>
      <c r="AP149" t="s">
        <v>1261</v>
      </c>
      <c r="AR149" t="s">
        <v>2028</v>
      </c>
      <c r="AS149">
        <v>4599424063</v>
      </c>
      <c r="AT149" t="s">
        <v>1990</v>
      </c>
      <c r="AU149" t="s">
        <v>10</v>
      </c>
      <c r="AV149" t="s">
        <v>1991</v>
      </c>
      <c r="AW149" t="s">
        <v>1991</v>
      </c>
      <c r="AX149" t="s">
        <v>1992</v>
      </c>
      <c r="AY149" s="2" t="s">
        <v>1993</v>
      </c>
      <c r="AZ149" t="s">
        <v>1994</v>
      </c>
      <c r="BA149" t="s">
        <v>726</v>
      </c>
      <c r="BB149" t="s">
        <v>192</v>
      </c>
      <c r="BC149" t="s">
        <v>188</v>
      </c>
      <c r="BD149">
        <v>523900</v>
      </c>
      <c r="BE149" t="s">
        <v>2029</v>
      </c>
      <c r="BF149" t="s">
        <v>1995</v>
      </c>
      <c r="BG149" t="b">
        <v>0</v>
      </c>
      <c r="BH149" s="6" t="s">
        <v>1996</v>
      </c>
      <c r="BI149" t="s">
        <v>1997</v>
      </c>
      <c r="BJ149">
        <v>4453163191</v>
      </c>
      <c r="BK149" t="s">
        <v>162</v>
      </c>
      <c r="BL149" t="s">
        <v>161</v>
      </c>
      <c r="BM149" s="2"/>
      <c r="BO149" t="s">
        <v>89</v>
      </c>
      <c r="BP149">
        <v>6405200090</v>
      </c>
      <c r="BR149" t="s">
        <v>180</v>
      </c>
      <c r="BS149" t="s">
        <v>103</v>
      </c>
      <c r="BU149">
        <v>0</v>
      </c>
      <c r="BV149">
        <v>0</v>
      </c>
      <c r="BW149">
        <v>0</v>
      </c>
      <c r="BX149">
        <v>0</v>
      </c>
      <c r="BY149">
        <v>0</v>
      </c>
      <c r="BZ149">
        <v>0</v>
      </c>
      <c r="CA149">
        <v>0</v>
      </c>
      <c r="CF149" s="2"/>
      <c r="CH149" s="2"/>
      <c r="CJ149" t="s">
        <v>1023</v>
      </c>
      <c r="CK149" t="s">
        <v>500</v>
      </c>
      <c r="CL149">
        <v>43735.374085648145</v>
      </c>
      <c r="CO149" t="s">
        <v>11</v>
      </c>
      <c r="CP149">
        <v>212.18</v>
      </c>
      <c r="CQ149" t="s">
        <v>11</v>
      </c>
      <c r="CR149">
        <v>212.18</v>
      </c>
      <c r="CV149" t="s">
        <v>190</v>
      </c>
      <c r="CW149" t="s">
        <v>12</v>
      </c>
      <c r="CX149" t="s">
        <v>12</v>
      </c>
      <c r="CY149" t="s">
        <v>12</v>
      </c>
      <c r="DA149" t="s">
        <v>104</v>
      </c>
      <c r="DD149" t="s">
        <v>93</v>
      </c>
      <c r="DQ149" t="s">
        <v>94</v>
      </c>
      <c r="DR149" t="s">
        <v>94</v>
      </c>
      <c r="DS149" t="s">
        <v>94</v>
      </c>
      <c r="DT149" t="s">
        <v>94</v>
      </c>
      <c r="DU149" t="s">
        <v>94</v>
      </c>
      <c r="DV149" t="s">
        <v>94</v>
      </c>
      <c r="DW149" t="s">
        <v>94</v>
      </c>
      <c r="DX149" s="2" t="s">
        <v>94</v>
      </c>
      <c r="DY149" t="s">
        <v>94</v>
      </c>
      <c r="DZ149" t="s">
        <v>94</v>
      </c>
      <c r="EA149" t="s">
        <v>94</v>
      </c>
      <c r="EB149" t="s">
        <v>94</v>
      </c>
      <c r="EC149" t="s">
        <v>94</v>
      </c>
      <c r="ED149" t="s">
        <v>94</v>
      </c>
      <c r="EE149" t="s">
        <v>89</v>
      </c>
      <c r="EF149" t="s">
        <v>425</v>
      </c>
      <c r="EG149" t="s">
        <v>105</v>
      </c>
      <c r="EJ149" t="s">
        <v>166</v>
      </c>
      <c r="EK149" t="b">
        <v>0</v>
      </c>
      <c r="EL149" t="b">
        <v>0</v>
      </c>
      <c r="EM149" t="b">
        <v>0</v>
      </c>
      <c r="EO149" t="s">
        <v>177</v>
      </c>
      <c r="EP149" t="s">
        <v>2030</v>
      </c>
    </row>
    <row r="150" spans="3:146" ht="15">
      <c r="C150" s="82">
        <v>131</v>
      </c>
      <c r="D150" s="5"/>
      <c r="E150" s="4">
        <v>1</v>
      </c>
      <c r="F150" s="5">
        <v>11.52</v>
      </c>
      <c r="G150" s="5" t="s">
        <v>1727</v>
      </c>
      <c r="H150" s="4" t="s">
        <v>1634</v>
      </c>
      <c r="I150" s="81" t="s">
        <v>164</v>
      </c>
      <c r="J150" s="21"/>
      <c r="K150" s="22" t="s">
        <v>2031</v>
      </c>
      <c r="L150" s="84" t="s">
        <v>1710</v>
      </c>
      <c r="M150" s="23" t="s">
        <v>164</v>
      </c>
      <c r="N150" s="23">
        <v>43746</v>
      </c>
      <c r="O150" s="24" t="s">
        <v>102</v>
      </c>
      <c r="P150" s="24" t="s">
        <v>181</v>
      </c>
      <c r="Q150" s="24">
        <v>1</v>
      </c>
      <c r="R150" s="24">
        <v>11.516</v>
      </c>
      <c r="S150" t="s">
        <v>11</v>
      </c>
      <c r="T150">
        <v>500</v>
      </c>
      <c r="U150" s="2" t="s">
        <v>163</v>
      </c>
      <c r="V150">
        <v>43746.87572916667</v>
      </c>
      <c r="W150" s="2" t="s">
        <v>427</v>
      </c>
      <c r="X150">
        <v>43746.896018518521</v>
      </c>
      <c r="AB150" t="s">
        <v>9</v>
      </c>
      <c r="AC150" t="s">
        <v>2032</v>
      </c>
      <c r="AD150" t="s">
        <v>182</v>
      </c>
      <c r="AE150">
        <v>227001</v>
      </c>
      <c r="AF150">
        <v>227001</v>
      </c>
      <c r="AG150" t="s">
        <v>183</v>
      </c>
      <c r="AH150" t="s">
        <v>2033</v>
      </c>
      <c r="AI150" t="s">
        <v>2033</v>
      </c>
      <c r="AJ150" t="s">
        <v>2034</v>
      </c>
      <c r="AK150" t="s">
        <v>2035</v>
      </c>
      <c r="AL150" t="s">
        <v>2036</v>
      </c>
      <c r="AM150" t="s">
        <v>2037</v>
      </c>
      <c r="AO150" t="s">
        <v>2038</v>
      </c>
      <c r="AP150" t="s">
        <v>2039</v>
      </c>
      <c r="AQ150" t="s">
        <v>2040</v>
      </c>
      <c r="AR150">
        <v>21053</v>
      </c>
      <c r="AS150">
        <v>97143284495</v>
      </c>
      <c r="AT150" t="s">
        <v>2041</v>
      </c>
      <c r="AU150" t="s">
        <v>10</v>
      </c>
      <c r="AV150" t="s">
        <v>2042</v>
      </c>
      <c r="AW150" t="s">
        <v>2042</v>
      </c>
      <c r="AX150" t="s">
        <v>2043</v>
      </c>
      <c r="AY150" s="2" t="s">
        <v>2044</v>
      </c>
      <c r="AZ150" t="s">
        <v>2045</v>
      </c>
      <c r="BA150" t="s">
        <v>2046</v>
      </c>
      <c r="BB150" t="s">
        <v>187</v>
      </c>
      <c r="BC150" t="s">
        <v>188</v>
      </c>
      <c r="BD150">
        <v>518108</v>
      </c>
      <c r="BE150">
        <v>-15099906270</v>
      </c>
      <c r="BF150" t="s">
        <v>2047</v>
      </c>
      <c r="BG150" t="b">
        <v>0</v>
      </c>
      <c r="BH150" s="6" t="s">
        <v>2048</v>
      </c>
      <c r="BI150" t="s">
        <v>2049</v>
      </c>
      <c r="BJ150">
        <v>4453163191</v>
      </c>
      <c r="BK150" t="s">
        <v>162</v>
      </c>
      <c r="BL150" t="s">
        <v>161</v>
      </c>
      <c r="BM150" s="2"/>
      <c r="BO150" t="s">
        <v>89</v>
      </c>
      <c r="BP150">
        <v>85312000</v>
      </c>
      <c r="BR150" t="s">
        <v>189</v>
      </c>
      <c r="BS150" t="s">
        <v>103</v>
      </c>
      <c r="BU150">
        <v>0</v>
      </c>
      <c r="BV150">
        <v>65</v>
      </c>
      <c r="BW150">
        <v>0</v>
      </c>
      <c r="BX150">
        <v>0</v>
      </c>
      <c r="BY150">
        <v>0</v>
      </c>
      <c r="BZ150">
        <v>0</v>
      </c>
      <c r="CA150">
        <v>65</v>
      </c>
      <c r="CB150" t="s">
        <v>444</v>
      </c>
      <c r="CF150" s="2"/>
      <c r="CH150" s="2"/>
      <c r="CJ150">
        <v>5.3142019950142899E+17</v>
      </c>
      <c r="CK150" t="s">
        <v>1509</v>
      </c>
      <c r="CL150">
        <v>43746.378784722219</v>
      </c>
      <c r="CO150" t="s">
        <v>11</v>
      </c>
      <c r="CP150">
        <v>500</v>
      </c>
      <c r="CQ150" t="s">
        <v>11</v>
      </c>
      <c r="CR150">
        <v>500</v>
      </c>
      <c r="CV150" t="s">
        <v>190</v>
      </c>
      <c r="CW150" t="s">
        <v>12</v>
      </c>
      <c r="CX150" t="s">
        <v>12</v>
      </c>
      <c r="CY150" t="s">
        <v>12</v>
      </c>
      <c r="DA150" t="s">
        <v>104</v>
      </c>
      <c r="DD150" t="s">
        <v>93</v>
      </c>
      <c r="DQ150" t="s">
        <v>94</v>
      </c>
      <c r="DR150" t="s">
        <v>94</v>
      </c>
      <c r="DS150" t="s">
        <v>94</v>
      </c>
      <c r="DT150" t="s">
        <v>94</v>
      </c>
      <c r="DU150" t="s">
        <v>94</v>
      </c>
      <c r="DV150" t="s">
        <v>94</v>
      </c>
      <c r="DW150" t="s">
        <v>94</v>
      </c>
      <c r="DX150" s="2" t="s">
        <v>94</v>
      </c>
      <c r="DY150" t="s">
        <v>94</v>
      </c>
      <c r="DZ150" t="s">
        <v>94</v>
      </c>
      <c r="EA150" t="s">
        <v>94</v>
      </c>
      <c r="EB150" t="s">
        <v>94</v>
      </c>
      <c r="EC150" t="s">
        <v>94</v>
      </c>
      <c r="ED150" t="s">
        <v>94</v>
      </c>
      <c r="EE150" t="s">
        <v>89</v>
      </c>
      <c r="EF150" t="s">
        <v>425</v>
      </c>
      <c r="EG150" t="s">
        <v>105</v>
      </c>
      <c r="EJ150" t="s">
        <v>166</v>
      </c>
      <c r="EK150" t="b">
        <v>0</v>
      </c>
      <c r="EL150" t="b">
        <v>0</v>
      </c>
      <c r="EM150" t="b">
        <v>0</v>
      </c>
      <c r="EO150" t="s">
        <v>177</v>
      </c>
      <c r="EP150" t="s">
        <v>2050</v>
      </c>
    </row>
    <row r="151" spans="3:146" ht="15">
      <c r="C151" s="82">
        <v>131</v>
      </c>
      <c r="D151" s="5"/>
      <c r="E151" s="4">
        <v>1</v>
      </c>
      <c r="F151" s="5">
        <v>11.52</v>
      </c>
      <c r="G151" s="5" t="s">
        <v>2051</v>
      </c>
      <c r="H151" s="4" t="s">
        <v>1634</v>
      </c>
      <c r="I151" s="81" t="s">
        <v>164</v>
      </c>
      <c r="J151" s="21"/>
      <c r="K151" s="22" t="s">
        <v>2031</v>
      </c>
      <c r="L151" s="84" t="s">
        <v>1710</v>
      </c>
      <c r="M151" s="23" t="s">
        <v>164</v>
      </c>
      <c r="N151" s="23">
        <v>43746</v>
      </c>
      <c r="O151" s="24" t="s">
        <v>102</v>
      </c>
      <c r="P151" s="24" t="s">
        <v>181</v>
      </c>
      <c r="Q151" s="24">
        <v>1</v>
      </c>
      <c r="R151" s="24">
        <v>11.516</v>
      </c>
      <c r="S151" t="s">
        <v>11</v>
      </c>
      <c r="T151">
        <v>500</v>
      </c>
      <c r="U151" s="2" t="s">
        <v>163</v>
      </c>
      <c r="V151">
        <v>43746.87572916667</v>
      </c>
      <c r="W151" s="2" t="s">
        <v>427</v>
      </c>
      <c r="X151">
        <v>43746.896018518521</v>
      </c>
      <c r="AB151" t="s">
        <v>9</v>
      </c>
      <c r="AC151" t="s">
        <v>2032</v>
      </c>
      <c r="AD151" t="s">
        <v>182</v>
      </c>
      <c r="AE151">
        <v>227001</v>
      </c>
      <c r="AF151">
        <v>227001</v>
      </c>
      <c r="AG151" t="s">
        <v>183</v>
      </c>
      <c r="AH151" t="s">
        <v>2033</v>
      </c>
      <c r="AI151" t="s">
        <v>2033</v>
      </c>
      <c r="AJ151" t="s">
        <v>2034</v>
      </c>
      <c r="AK151" t="s">
        <v>2035</v>
      </c>
      <c r="AL151" t="s">
        <v>2036</v>
      </c>
      <c r="AM151" t="s">
        <v>2037</v>
      </c>
      <c r="AO151" t="s">
        <v>2038</v>
      </c>
      <c r="AP151" t="s">
        <v>2039</v>
      </c>
      <c r="AQ151" t="s">
        <v>2040</v>
      </c>
      <c r="AR151">
        <v>21053</v>
      </c>
      <c r="AS151">
        <v>97143284495</v>
      </c>
      <c r="AT151" t="s">
        <v>2041</v>
      </c>
      <c r="AU151" t="s">
        <v>10</v>
      </c>
      <c r="AV151" t="s">
        <v>2042</v>
      </c>
      <c r="AW151" t="s">
        <v>2042</v>
      </c>
      <c r="AX151" t="s">
        <v>2043</v>
      </c>
      <c r="AY151" s="2" t="s">
        <v>2044</v>
      </c>
      <c r="AZ151" t="s">
        <v>2045</v>
      </c>
      <c r="BA151" t="s">
        <v>2046</v>
      </c>
      <c r="BB151" t="s">
        <v>187</v>
      </c>
      <c r="BC151" t="s">
        <v>188</v>
      </c>
      <c r="BD151">
        <v>518108</v>
      </c>
      <c r="BE151">
        <v>-15099906270</v>
      </c>
      <c r="BF151" t="s">
        <v>2047</v>
      </c>
      <c r="BG151" t="b">
        <v>0</v>
      </c>
      <c r="BH151" s="6" t="s">
        <v>2048</v>
      </c>
      <c r="BI151" t="s">
        <v>2049</v>
      </c>
      <c r="BJ151">
        <v>4453163191</v>
      </c>
      <c r="BK151" t="s">
        <v>162</v>
      </c>
      <c r="BL151" t="s">
        <v>161</v>
      </c>
      <c r="BM151" s="2"/>
      <c r="BO151" t="s">
        <v>89</v>
      </c>
      <c r="BP151">
        <v>85312000</v>
      </c>
      <c r="BR151" t="s">
        <v>189</v>
      </c>
      <c r="BS151" t="s">
        <v>103</v>
      </c>
      <c r="BU151">
        <v>0</v>
      </c>
      <c r="BV151">
        <v>65</v>
      </c>
      <c r="BW151">
        <v>0</v>
      </c>
      <c r="BX151">
        <v>0</v>
      </c>
      <c r="BY151">
        <v>0</v>
      </c>
      <c r="BZ151">
        <v>0</v>
      </c>
      <c r="CA151">
        <v>65</v>
      </c>
      <c r="CB151" t="s">
        <v>444</v>
      </c>
      <c r="CF151" s="2"/>
      <c r="CH151" s="2"/>
      <c r="CJ151">
        <v>5.3142019950142899E+17</v>
      </c>
      <c r="CK151" t="s">
        <v>1509</v>
      </c>
      <c r="CL151">
        <v>43746.378784722219</v>
      </c>
      <c r="CO151" t="s">
        <v>11</v>
      </c>
      <c r="CP151">
        <v>500</v>
      </c>
      <c r="CQ151" t="s">
        <v>11</v>
      </c>
      <c r="CR151">
        <v>500</v>
      </c>
      <c r="CV151" t="s">
        <v>190</v>
      </c>
      <c r="CW151" t="s">
        <v>12</v>
      </c>
      <c r="CX151" t="s">
        <v>12</v>
      </c>
      <c r="CY151" t="s">
        <v>12</v>
      </c>
      <c r="DA151" t="s">
        <v>104</v>
      </c>
      <c r="DD151" t="s">
        <v>93</v>
      </c>
      <c r="DQ151" t="s">
        <v>94</v>
      </c>
      <c r="DR151" t="s">
        <v>94</v>
      </c>
      <c r="DS151" t="s">
        <v>94</v>
      </c>
      <c r="DT151" t="s">
        <v>94</v>
      </c>
      <c r="DU151" t="s">
        <v>94</v>
      </c>
      <c r="DV151" t="s">
        <v>94</v>
      </c>
      <c r="DW151" t="s">
        <v>94</v>
      </c>
      <c r="DX151" s="2" t="s">
        <v>94</v>
      </c>
      <c r="DY151" t="s">
        <v>94</v>
      </c>
      <c r="DZ151" t="s">
        <v>94</v>
      </c>
      <c r="EA151" t="s">
        <v>94</v>
      </c>
      <c r="EB151" t="s">
        <v>94</v>
      </c>
      <c r="EC151" t="s">
        <v>94</v>
      </c>
      <c r="ED151" t="s">
        <v>94</v>
      </c>
      <c r="EE151" t="s">
        <v>89</v>
      </c>
      <c r="EF151" t="s">
        <v>425</v>
      </c>
      <c r="EG151" t="s">
        <v>105</v>
      </c>
      <c r="EJ151" t="s">
        <v>166</v>
      </c>
      <c r="EK151" t="b">
        <v>0</v>
      </c>
      <c r="EL151" t="b">
        <v>0</v>
      </c>
      <c r="EM151" t="b">
        <v>0</v>
      </c>
      <c r="EO151" t="s">
        <v>177</v>
      </c>
      <c r="EP151" t="s">
        <v>2052</v>
      </c>
    </row>
    <row r="152" spans="3:146" ht="15">
      <c r="C152" s="82">
        <v>1</v>
      </c>
      <c r="D152" s="5"/>
      <c r="E152" s="4">
        <v>1</v>
      </c>
      <c r="F152" s="5">
        <v>6.6</v>
      </c>
      <c r="G152" s="5" t="s">
        <v>2097</v>
      </c>
      <c r="H152" s="4" t="s">
        <v>2098</v>
      </c>
      <c r="I152" s="81" t="s">
        <v>920</v>
      </c>
      <c r="J152" s="21"/>
      <c r="K152" s="22" t="s">
        <v>2082</v>
      </c>
      <c r="L152" s="84" t="s">
        <v>1986</v>
      </c>
      <c r="M152" s="23" t="s">
        <v>920</v>
      </c>
      <c r="N152" s="23">
        <v>43735</v>
      </c>
      <c r="O152" s="24" t="s">
        <v>102</v>
      </c>
      <c r="P152" s="24" t="s">
        <v>181</v>
      </c>
      <c r="Q152" s="24">
        <v>1</v>
      </c>
      <c r="R152" s="24">
        <v>6.6</v>
      </c>
      <c r="S152" t="s">
        <v>11</v>
      </c>
      <c r="T152">
        <v>400</v>
      </c>
      <c r="U152" s="2" t="s">
        <v>163</v>
      </c>
      <c r="V152">
        <v>43735.830787037034</v>
      </c>
      <c r="W152" s="2" t="s">
        <v>444</v>
      </c>
      <c r="X152">
        <v>43738.445231481484</v>
      </c>
      <c r="AB152" t="s">
        <v>9</v>
      </c>
      <c r="AC152" t="s">
        <v>2083</v>
      </c>
      <c r="AD152" t="s">
        <v>200</v>
      </c>
      <c r="AE152" t="s">
        <v>2099</v>
      </c>
      <c r="AF152" t="s">
        <v>2099</v>
      </c>
      <c r="AG152" t="s">
        <v>183</v>
      </c>
      <c r="AH152" t="s">
        <v>2084</v>
      </c>
      <c r="AI152" t="s">
        <v>2084</v>
      </c>
      <c r="AJ152" t="s">
        <v>508</v>
      </c>
      <c r="AK152" t="s">
        <v>509</v>
      </c>
      <c r="AL152" t="s">
        <v>2085</v>
      </c>
      <c r="AO152" t="s">
        <v>2086</v>
      </c>
      <c r="AP152" t="s">
        <v>2087</v>
      </c>
      <c r="AR152">
        <v>54710</v>
      </c>
      <c r="AS152">
        <v>383854242</v>
      </c>
      <c r="AT152" t="s">
        <v>2088</v>
      </c>
      <c r="AU152" t="s">
        <v>10</v>
      </c>
      <c r="AV152" t="s">
        <v>2089</v>
      </c>
      <c r="AW152" t="s">
        <v>2089</v>
      </c>
      <c r="AX152" t="s">
        <v>2090</v>
      </c>
      <c r="AY152" s="2" t="s">
        <v>2091</v>
      </c>
      <c r="BA152" t="s">
        <v>2092</v>
      </c>
      <c r="BB152" t="s">
        <v>2093</v>
      </c>
      <c r="BC152" t="s">
        <v>188</v>
      </c>
      <c r="BD152">
        <v>528100</v>
      </c>
      <c r="BE152" t="s">
        <v>2100</v>
      </c>
      <c r="BF152" t="s">
        <v>2094</v>
      </c>
      <c r="BG152" t="b">
        <v>0</v>
      </c>
      <c r="BH152" s="6" t="s">
        <v>2095</v>
      </c>
      <c r="BI152" t="s">
        <v>2096</v>
      </c>
      <c r="BJ152">
        <v>4453163191</v>
      </c>
      <c r="BK152" t="s">
        <v>162</v>
      </c>
      <c r="BL152" t="s">
        <v>161</v>
      </c>
      <c r="BM152" s="2"/>
      <c r="BO152" t="s">
        <v>89</v>
      </c>
      <c r="BP152">
        <v>9403900099</v>
      </c>
      <c r="BR152" t="s">
        <v>180</v>
      </c>
      <c r="BS152" t="s">
        <v>103</v>
      </c>
      <c r="BU152">
        <v>0</v>
      </c>
      <c r="BV152">
        <v>54.08</v>
      </c>
      <c r="BW152">
        <v>0</v>
      </c>
      <c r="BX152">
        <v>0</v>
      </c>
      <c r="BY152">
        <v>0</v>
      </c>
      <c r="BZ152">
        <v>0</v>
      </c>
      <c r="CA152">
        <v>54.08</v>
      </c>
      <c r="CF152" s="2"/>
      <c r="CH152" s="2"/>
      <c r="CJ152">
        <v>5.3142019950138701E+17</v>
      </c>
      <c r="CK152" t="s">
        <v>500</v>
      </c>
      <c r="CL152">
        <v>43735.374155092592</v>
      </c>
      <c r="CO152" t="s">
        <v>11</v>
      </c>
      <c r="CP152">
        <v>400</v>
      </c>
      <c r="CQ152" t="s">
        <v>11</v>
      </c>
      <c r="CR152">
        <v>400</v>
      </c>
      <c r="CV152" t="s">
        <v>190</v>
      </c>
      <c r="CW152" t="s">
        <v>12</v>
      </c>
      <c r="CX152" t="s">
        <v>12</v>
      </c>
      <c r="CY152" t="s">
        <v>12</v>
      </c>
      <c r="DA152" t="s">
        <v>104</v>
      </c>
      <c r="DD152" t="s">
        <v>93</v>
      </c>
      <c r="DQ152" t="s">
        <v>94</v>
      </c>
      <c r="DR152" t="s">
        <v>94</v>
      </c>
      <c r="DS152" t="s">
        <v>94</v>
      </c>
      <c r="DT152" t="s">
        <v>94</v>
      </c>
      <c r="DU152" t="s">
        <v>94</v>
      </c>
      <c r="DV152" t="s">
        <v>94</v>
      </c>
      <c r="DW152" t="s">
        <v>94</v>
      </c>
      <c r="DX152" s="2" t="s">
        <v>94</v>
      </c>
      <c r="DY152" t="s">
        <v>94</v>
      </c>
      <c r="DZ152" t="s">
        <v>94</v>
      </c>
      <c r="EA152" t="s">
        <v>94</v>
      </c>
      <c r="EB152" t="s">
        <v>94</v>
      </c>
      <c r="EC152" t="s">
        <v>94</v>
      </c>
      <c r="ED152" t="s">
        <v>94</v>
      </c>
      <c r="EE152" t="s">
        <v>89</v>
      </c>
      <c r="EF152" t="s">
        <v>425</v>
      </c>
      <c r="EG152" t="s">
        <v>105</v>
      </c>
      <c r="EJ152" t="s">
        <v>166</v>
      </c>
      <c r="EK152" t="b">
        <v>0</v>
      </c>
      <c r="EL152" t="b">
        <v>0</v>
      </c>
      <c r="EM152" t="b">
        <v>0</v>
      </c>
      <c r="EO152" t="s">
        <v>177</v>
      </c>
      <c r="EP152" t="s">
        <v>2101</v>
      </c>
    </row>
    <row r="153" spans="3:146" ht="15">
      <c r="C153" s="82">
        <v>23</v>
      </c>
      <c r="D153" s="5">
        <v>20</v>
      </c>
      <c r="E153" s="4">
        <v>1</v>
      </c>
      <c r="F153" s="5">
        <v>20</v>
      </c>
      <c r="G153" s="5" t="s">
        <v>2104</v>
      </c>
      <c r="H153" s="4" t="s">
        <v>2105</v>
      </c>
      <c r="I153" s="81" t="s">
        <v>920</v>
      </c>
      <c r="J153" s="21"/>
      <c r="K153" s="22" t="s">
        <v>2102</v>
      </c>
      <c r="L153" s="84" t="s">
        <v>1966</v>
      </c>
      <c r="M153" s="23" t="s">
        <v>905</v>
      </c>
      <c r="N153" s="23">
        <v>43748</v>
      </c>
      <c r="O153" s="24" t="s">
        <v>102</v>
      </c>
      <c r="P153" s="24" t="s">
        <v>480</v>
      </c>
      <c r="Q153" s="24">
        <v>1</v>
      </c>
      <c r="R153" s="24">
        <v>230</v>
      </c>
      <c r="S153" t="s">
        <v>528</v>
      </c>
      <c r="T153">
        <v>4149.2</v>
      </c>
      <c r="U153" s="2"/>
      <c r="W153" s="2"/>
      <c r="AB153" t="s">
        <v>9</v>
      </c>
      <c r="AC153" t="s">
        <v>2053</v>
      </c>
      <c r="AD153" t="s">
        <v>819</v>
      </c>
      <c r="AE153" t="s">
        <v>183</v>
      </c>
      <c r="AF153" t="s">
        <v>183</v>
      </c>
      <c r="AG153" t="s">
        <v>2106</v>
      </c>
      <c r="AH153" t="s">
        <v>2054</v>
      </c>
      <c r="AI153" t="s">
        <v>2054</v>
      </c>
      <c r="AJ153" t="s">
        <v>776</v>
      </c>
      <c r="AK153" t="s">
        <v>777</v>
      </c>
      <c r="AL153" t="s">
        <v>2055</v>
      </c>
      <c r="AM153" t="s">
        <v>2056</v>
      </c>
      <c r="AO153" t="s">
        <v>2057</v>
      </c>
      <c r="AP153" t="s">
        <v>2058</v>
      </c>
      <c r="AQ153" t="s">
        <v>782</v>
      </c>
      <c r="AR153">
        <v>50996</v>
      </c>
      <c r="AS153">
        <v>4902236602220</v>
      </c>
      <c r="AT153" t="s">
        <v>2059</v>
      </c>
      <c r="AU153" t="s">
        <v>10</v>
      </c>
      <c r="AV153" t="s">
        <v>2060</v>
      </c>
      <c r="AW153" t="s">
        <v>2060</v>
      </c>
      <c r="AX153" t="s">
        <v>2061</v>
      </c>
      <c r="AY153" s="2" t="s">
        <v>2062</v>
      </c>
      <c r="AZ153" t="s">
        <v>2063</v>
      </c>
      <c r="BA153" t="s">
        <v>1561</v>
      </c>
      <c r="BB153" t="s">
        <v>832</v>
      </c>
      <c r="BC153" t="s">
        <v>188</v>
      </c>
      <c r="BD153">
        <v>519085</v>
      </c>
      <c r="BE153" t="s">
        <v>2064</v>
      </c>
      <c r="BF153" t="s">
        <v>2065</v>
      </c>
      <c r="BG153" t="b">
        <v>0</v>
      </c>
      <c r="BH153" s="6" t="s">
        <v>2066</v>
      </c>
      <c r="BI153" t="s">
        <v>2067</v>
      </c>
      <c r="BJ153">
        <v>4453163191</v>
      </c>
      <c r="BK153" t="s">
        <v>162</v>
      </c>
      <c r="BL153" t="s">
        <v>161</v>
      </c>
      <c r="BM153" s="2"/>
      <c r="BN153" t="s">
        <v>2068</v>
      </c>
      <c r="BR153" t="s">
        <v>189</v>
      </c>
      <c r="BS153" t="s">
        <v>103</v>
      </c>
      <c r="BU153">
        <v>0</v>
      </c>
      <c r="BV153">
        <v>0</v>
      </c>
      <c r="BW153">
        <v>0</v>
      </c>
      <c r="BX153">
        <v>0</v>
      </c>
      <c r="BY153">
        <v>0</v>
      </c>
      <c r="BZ153">
        <v>0</v>
      </c>
      <c r="CA153">
        <v>0</v>
      </c>
      <c r="CF153" s="2"/>
      <c r="CH153" s="2"/>
      <c r="CK153" t="s">
        <v>1509</v>
      </c>
      <c r="CL153">
        <v>43748.56386574074</v>
      </c>
      <c r="CO153" t="s">
        <v>11</v>
      </c>
      <c r="CP153">
        <v>32493.22</v>
      </c>
      <c r="CQ153" t="s">
        <v>11</v>
      </c>
      <c r="CR153">
        <v>32493.22</v>
      </c>
      <c r="CV153" t="s">
        <v>525</v>
      </c>
      <c r="CW153" t="s">
        <v>12</v>
      </c>
      <c r="CX153" t="s">
        <v>12</v>
      </c>
      <c r="CY153" t="s">
        <v>12</v>
      </c>
      <c r="DA153" t="s">
        <v>104</v>
      </c>
      <c r="DD153" t="s">
        <v>93</v>
      </c>
      <c r="DQ153" t="s">
        <v>94</v>
      </c>
      <c r="DR153" t="s">
        <v>94</v>
      </c>
      <c r="DS153" t="s">
        <v>94</v>
      </c>
      <c r="DT153" t="s">
        <v>94</v>
      </c>
      <c r="DU153" t="s">
        <v>94</v>
      </c>
      <c r="DV153" t="s">
        <v>94</v>
      </c>
      <c r="DW153" t="s">
        <v>94</v>
      </c>
      <c r="DX153" s="2" t="s">
        <v>94</v>
      </c>
      <c r="DY153" t="s">
        <v>94</v>
      </c>
      <c r="DZ153" t="s">
        <v>94</v>
      </c>
      <c r="EA153" t="s">
        <v>94</v>
      </c>
      <c r="EB153" t="s">
        <v>94</v>
      </c>
      <c r="EC153" t="s">
        <v>94</v>
      </c>
      <c r="ED153" t="s">
        <v>94</v>
      </c>
      <c r="EE153" t="s">
        <v>89</v>
      </c>
      <c r="EF153" t="s">
        <v>94</v>
      </c>
      <c r="EG153" t="s">
        <v>105</v>
      </c>
      <c r="EJ153" t="s">
        <v>166</v>
      </c>
      <c r="EK153" t="b">
        <v>0</v>
      </c>
      <c r="EL153" t="b">
        <v>0</v>
      </c>
      <c r="EM153" t="b">
        <v>0</v>
      </c>
      <c r="EO153" t="s">
        <v>178</v>
      </c>
      <c r="EP153" t="s">
        <v>2107</v>
      </c>
    </row>
    <row r="154" spans="3:146">
      <c r="C154" s="4">
        <v>23</v>
      </c>
      <c r="D154" s="4">
        <v>210</v>
      </c>
      <c r="E154" s="4">
        <v>1</v>
      </c>
      <c r="F154" s="4">
        <v>210</v>
      </c>
      <c r="G154" s="5" t="s">
        <v>2104</v>
      </c>
      <c r="H154" s="4" t="s">
        <v>2105</v>
      </c>
      <c r="I154" s="4" t="s">
        <v>920</v>
      </c>
      <c r="J154" s="5"/>
      <c r="K154" s="22" t="s">
        <v>2103</v>
      </c>
      <c r="L154" s="84" t="s">
        <v>1966</v>
      </c>
      <c r="M154" s="23" t="s">
        <v>905</v>
      </c>
      <c r="N154" s="23">
        <v>43748</v>
      </c>
      <c r="O154" s="24" t="s">
        <v>102</v>
      </c>
      <c r="P154" s="24" t="s">
        <v>480</v>
      </c>
      <c r="Q154" s="24">
        <v>1</v>
      </c>
      <c r="R154" s="24">
        <v>230</v>
      </c>
      <c r="S154" t="s">
        <v>528</v>
      </c>
      <c r="T154">
        <v>4149.2</v>
      </c>
      <c r="U154" s="2"/>
      <c r="W154" s="2"/>
      <c r="AB154" t="s">
        <v>9</v>
      </c>
      <c r="AC154" t="s">
        <v>2053</v>
      </c>
      <c r="AD154" t="s">
        <v>819</v>
      </c>
      <c r="AE154" t="s">
        <v>183</v>
      </c>
      <c r="AF154" t="s">
        <v>183</v>
      </c>
      <c r="AG154" t="s">
        <v>2106</v>
      </c>
      <c r="AH154" t="s">
        <v>2054</v>
      </c>
      <c r="AI154" t="s">
        <v>2054</v>
      </c>
      <c r="AJ154" t="s">
        <v>776</v>
      </c>
      <c r="AK154" t="s">
        <v>777</v>
      </c>
      <c r="AL154" t="s">
        <v>2055</v>
      </c>
      <c r="AM154" t="s">
        <v>2056</v>
      </c>
      <c r="AO154" t="s">
        <v>2057</v>
      </c>
      <c r="AP154" t="s">
        <v>2058</v>
      </c>
      <c r="AQ154" t="s">
        <v>782</v>
      </c>
      <c r="AR154">
        <v>50996</v>
      </c>
      <c r="AS154">
        <v>4902236602220</v>
      </c>
      <c r="AT154" t="s">
        <v>2059</v>
      </c>
      <c r="AU154" t="s">
        <v>10</v>
      </c>
      <c r="AV154" t="s">
        <v>2060</v>
      </c>
      <c r="AW154" t="s">
        <v>2060</v>
      </c>
      <c r="AX154" t="s">
        <v>2061</v>
      </c>
      <c r="AY154" t="s">
        <v>2062</v>
      </c>
      <c r="AZ154" t="s">
        <v>2063</v>
      </c>
      <c r="BA154" t="s">
        <v>1561</v>
      </c>
      <c r="BB154" t="s">
        <v>832</v>
      </c>
      <c r="BC154" t="s">
        <v>188</v>
      </c>
      <c r="BD154">
        <v>519085</v>
      </c>
      <c r="BE154" t="s">
        <v>2064</v>
      </c>
      <c r="BF154" t="s">
        <v>2065</v>
      </c>
      <c r="BG154" t="b">
        <v>0</v>
      </c>
      <c r="BH154" s="6" t="s">
        <v>2066</v>
      </c>
      <c r="BI154" t="s">
        <v>2067</v>
      </c>
      <c r="BJ154">
        <v>4453163191</v>
      </c>
      <c r="BK154" t="s">
        <v>162</v>
      </c>
      <c r="BL154" t="s">
        <v>161</v>
      </c>
      <c r="BM154" s="2"/>
      <c r="BN154" t="s">
        <v>2068</v>
      </c>
      <c r="BR154" t="s">
        <v>189</v>
      </c>
      <c r="BS154" t="s">
        <v>103</v>
      </c>
      <c r="BU154">
        <v>0</v>
      </c>
      <c r="BV154">
        <v>0</v>
      </c>
      <c r="BW154">
        <v>0</v>
      </c>
      <c r="BX154">
        <v>0</v>
      </c>
      <c r="BY154">
        <v>0</v>
      </c>
      <c r="BZ154">
        <v>0</v>
      </c>
      <c r="CA154">
        <v>0</v>
      </c>
      <c r="CF154" s="2"/>
      <c r="CH154" s="2"/>
      <c r="CK154" t="s">
        <v>1509</v>
      </c>
      <c r="CL154">
        <v>43748.56386574074</v>
      </c>
      <c r="CO154" t="s">
        <v>11</v>
      </c>
      <c r="CP154">
        <v>32493.22</v>
      </c>
      <c r="CQ154" t="s">
        <v>11</v>
      </c>
      <c r="CR154">
        <v>32493.22</v>
      </c>
      <c r="CV154" t="s">
        <v>525</v>
      </c>
      <c r="CW154" t="s">
        <v>12</v>
      </c>
      <c r="CX154" t="s">
        <v>12</v>
      </c>
      <c r="CY154" t="s">
        <v>12</v>
      </c>
      <c r="DA154" t="s">
        <v>104</v>
      </c>
      <c r="DD154" t="s">
        <v>93</v>
      </c>
      <c r="DQ154" t="s">
        <v>94</v>
      </c>
      <c r="DR154" t="s">
        <v>94</v>
      </c>
      <c r="DS154" t="s">
        <v>94</v>
      </c>
      <c r="DT154" t="s">
        <v>94</v>
      </c>
      <c r="DU154" t="s">
        <v>94</v>
      </c>
      <c r="DV154" t="s">
        <v>94</v>
      </c>
      <c r="DW154" t="s">
        <v>94</v>
      </c>
      <c r="DX154" s="2" t="s">
        <v>94</v>
      </c>
      <c r="DY154" t="s">
        <v>94</v>
      </c>
      <c r="DZ154" t="s">
        <v>94</v>
      </c>
      <c r="EA154" t="s">
        <v>94</v>
      </c>
      <c r="EB154" t="s">
        <v>94</v>
      </c>
      <c r="EC154" t="s">
        <v>94</v>
      </c>
      <c r="ED154" t="s">
        <v>94</v>
      </c>
      <c r="EE154" t="s">
        <v>89</v>
      </c>
      <c r="EF154" t="s">
        <v>94</v>
      </c>
      <c r="EG154" t="s">
        <v>105</v>
      </c>
      <c r="EJ154" t="s">
        <v>166</v>
      </c>
      <c r="EK154" t="b">
        <v>0</v>
      </c>
      <c r="EL154" t="b">
        <v>0</v>
      </c>
      <c r="EM154" t="b">
        <v>0</v>
      </c>
      <c r="EO154" t="s">
        <v>178</v>
      </c>
      <c r="EP154" t="s">
        <v>2107</v>
      </c>
    </row>
    <row r="155" spans="3:146" ht="15">
      <c r="C155" s="82">
        <v>12</v>
      </c>
      <c r="D155" s="5">
        <v>140</v>
      </c>
      <c r="E155" s="4">
        <v>13</v>
      </c>
      <c r="F155" s="5">
        <v>140</v>
      </c>
      <c r="G155" s="5" t="s">
        <v>2108</v>
      </c>
      <c r="H155" s="4" t="s">
        <v>2109</v>
      </c>
      <c r="I155" s="81" t="s">
        <v>920</v>
      </c>
      <c r="J155" s="21"/>
      <c r="K155" s="22" t="s">
        <v>2069</v>
      </c>
      <c r="L155" s="84" t="s">
        <v>2070</v>
      </c>
      <c r="M155" s="23" t="s">
        <v>905</v>
      </c>
      <c r="N155" s="23">
        <v>43749</v>
      </c>
      <c r="O155" s="24" t="s">
        <v>102</v>
      </c>
      <c r="P155" s="24" t="s">
        <v>480</v>
      </c>
      <c r="Q155" s="24">
        <v>13</v>
      </c>
      <c r="R155" s="24">
        <v>118.3</v>
      </c>
      <c r="S155" t="s">
        <v>319</v>
      </c>
      <c r="T155">
        <v>17235.5</v>
      </c>
      <c r="U155" s="2"/>
      <c r="W155" s="2"/>
      <c r="AB155" t="s">
        <v>9</v>
      </c>
      <c r="AC155" t="s">
        <v>428</v>
      </c>
      <c r="AD155" t="s">
        <v>182</v>
      </c>
      <c r="AE155" t="s">
        <v>2110</v>
      </c>
      <c r="AF155" t="s">
        <v>2110</v>
      </c>
      <c r="AG155" t="s">
        <v>183</v>
      </c>
      <c r="AH155" t="s">
        <v>2071</v>
      </c>
      <c r="AI155" t="s">
        <v>2071</v>
      </c>
      <c r="AJ155" t="s">
        <v>373</v>
      </c>
      <c r="AK155" t="s">
        <v>430</v>
      </c>
      <c r="AL155" t="s">
        <v>2072</v>
      </c>
      <c r="AO155" t="s">
        <v>2073</v>
      </c>
      <c r="AP155" t="s">
        <v>435</v>
      </c>
      <c r="AR155">
        <v>42060</v>
      </c>
      <c r="AS155">
        <v>425238146</v>
      </c>
      <c r="AT155" t="s">
        <v>2074</v>
      </c>
      <c r="AU155" t="s">
        <v>10</v>
      </c>
      <c r="AV155" t="s">
        <v>2075</v>
      </c>
      <c r="AW155" t="s">
        <v>2075</v>
      </c>
      <c r="AX155" t="s">
        <v>2076</v>
      </c>
      <c r="AY155" s="2" t="s">
        <v>2077</v>
      </c>
      <c r="AZ155" t="s">
        <v>2078</v>
      </c>
      <c r="BA155" t="s">
        <v>194</v>
      </c>
      <c r="BB155" t="s">
        <v>187</v>
      </c>
      <c r="BC155" t="s">
        <v>188</v>
      </c>
      <c r="BD155">
        <v>518128</v>
      </c>
      <c r="BE155" t="s">
        <v>2111</v>
      </c>
      <c r="BF155" t="s">
        <v>2079</v>
      </c>
      <c r="BG155" t="b">
        <v>0</v>
      </c>
      <c r="BH155" s="6" t="s">
        <v>2080</v>
      </c>
      <c r="BI155" t="s">
        <v>2081</v>
      </c>
      <c r="BJ155">
        <v>4453163191</v>
      </c>
      <c r="BK155" t="s">
        <v>162</v>
      </c>
      <c r="BL155" t="s">
        <v>161</v>
      </c>
      <c r="BM155" s="2"/>
      <c r="BR155" t="s">
        <v>189</v>
      </c>
      <c r="BS155" t="s">
        <v>103</v>
      </c>
      <c r="BU155">
        <v>0</v>
      </c>
      <c r="BV155">
        <v>0</v>
      </c>
      <c r="BW155">
        <v>0</v>
      </c>
      <c r="BX155">
        <v>0</v>
      </c>
      <c r="BY155">
        <v>0</v>
      </c>
      <c r="BZ155">
        <v>0</v>
      </c>
      <c r="CA155">
        <v>0</v>
      </c>
      <c r="CF155" s="2"/>
      <c r="CH155" s="2"/>
      <c r="CK155" t="s">
        <v>1509</v>
      </c>
      <c r="CL155">
        <v>43749.378842592596</v>
      </c>
      <c r="CO155" t="s">
        <v>11</v>
      </c>
      <c r="CP155">
        <v>121903.24</v>
      </c>
      <c r="CQ155" t="s">
        <v>11</v>
      </c>
      <c r="CR155">
        <v>121903.24</v>
      </c>
      <c r="CV155" t="s">
        <v>190</v>
      </c>
      <c r="CW155" t="s">
        <v>12</v>
      </c>
      <c r="CX155" t="s">
        <v>12</v>
      </c>
      <c r="CY155" t="s">
        <v>12</v>
      </c>
      <c r="DA155" t="s">
        <v>104</v>
      </c>
      <c r="DD155" t="s">
        <v>93</v>
      </c>
      <c r="DQ155" t="s">
        <v>94</v>
      </c>
      <c r="DR155" t="s">
        <v>94</v>
      </c>
      <c r="DS155" t="s">
        <v>94</v>
      </c>
      <c r="DT155" t="s">
        <v>94</v>
      </c>
      <c r="DU155" t="s">
        <v>94</v>
      </c>
      <c r="DV155" t="s">
        <v>94</v>
      </c>
      <c r="DW155" t="s">
        <v>94</v>
      </c>
      <c r="DX155" s="2" t="s">
        <v>94</v>
      </c>
      <c r="DY155" t="s">
        <v>94</v>
      </c>
      <c r="DZ155" t="s">
        <v>94</v>
      </c>
      <c r="EA155" t="s">
        <v>94</v>
      </c>
      <c r="EB155" t="s">
        <v>94</v>
      </c>
      <c r="EC155" t="s">
        <v>94</v>
      </c>
      <c r="ED155" t="s">
        <v>94</v>
      </c>
      <c r="EE155" t="s">
        <v>89</v>
      </c>
      <c r="EF155" t="s">
        <v>425</v>
      </c>
      <c r="EG155" t="s">
        <v>105</v>
      </c>
      <c r="EJ155" t="s">
        <v>166</v>
      </c>
      <c r="EK155" t="b">
        <v>0</v>
      </c>
      <c r="EL155" t="b">
        <v>0</v>
      </c>
      <c r="EM155" t="b">
        <v>0</v>
      </c>
      <c r="EO155" t="s">
        <v>178</v>
      </c>
      <c r="EP155" t="s">
        <v>2112</v>
      </c>
    </row>
    <row r="156" spans="3:146" ht="15">
      <c r="C156" s="82">
        <v>1</v>
      </c>
      <c r="D156" s="5"/>
      <c r="E156" s="4">
        <v>1</v>
      </c>
      <c r="F156" s="5">
        <v>7.8</v>
      </c>
      <c r="G156" s="5" t="s">
        <v>2127</v>
      </c>
      <c r="H156" s="4" t="s">
        <v>2128</v>
      </c>
      <c r="I156" s="81" t="s">
        <v>164</v>
      </c>
      <c r="J156" s="21"/>
      <c r="K156" s="22" t="s">
        <v>2113</v>
      </c>
      <c r="L156" s="84" t="s">
        <v>1710</v>
      </c>
      <c r="M156" s="23" t="s">
        <v>164</v>
      </c>
      <c r="N156" s="23">
        <v>43746</v>
      </c>
      <c r="O156" s="24" t="s">
        <v>102</v>
      </c>
      <c r="P156" s="24" t="s">
        <v>181</v>
      </c>
      <c r="Q156" s="24">
        <v>1</v>
      </c>
      <c r="R156" s="24">
        <v>7.8</v>
      </c>
      <c r="S156" t="s">
        <v>528</v>
      </c>
      <c r="T156">
        <v>50</v>
      </c>
      <c r="U156" s="2" t="s">
        <v>163</v>
      </c>
      <c r="V156">
        <v>43746.875810185185</v>
      </c>
      <c r="W156" s="2" t="s">
        <v>427</v>
      </c>
      <c r="X156">
        <v>43746.896018518521</v>
      </c>
      <c r="AB156" t="s">
        <v>9</v>
      </c>
      <c r="AC156" t="s">
        <v>2114</v>
      </c>
      <c r="AD156" t="s">
        <v>200</v>
      </c>
      <c r="AE156">
        <v>0</v>
      </c>
      <c r="AF156">
        <v>0</v>
      </c>
      <c r="AG156" t="s">
        <v>183</v>
      </c>
      <c r="AH156" t="s">
        <v>2115</v>
      </c>
      <c r="AI156" t="s">
        <v>2115</v>
      </c>
      <c r="AJ156" t="s">
        <v>601</v>
      </c>
      <c r="AK156" t="s">
        <v>602</v>
      </c>
      <c r="AL156" t="s">
        <v>2116</v>
      </c>
      <c r="AO156" t="s">
        <v>2117</v>
      </c>
      <c r="AP156" t="s">
        <v>2118</v>
      </c>
      <c r="AR156">
        <v>4100</v>
      </c>
      <c r="AS156">
        <v>0</v>
      </c>
      <c r="AT156" t="s">
        <v>2119</v>
      </c>
      <c r="AU156" t="s">
        <v>10</v>
      </c>
      <c r="AV156" t="s">
        <v>2120</v>
      </c>
      <c r="AW156" t="s">
        <v>2120</v>
      </c>
      <c r="AX156" t="s">
        <v>2121</v>
      </c>
      <c r="AY156" s="2" t="s">
        <v>2122</v>
      </c>
      <c r="BA156" t="s">
        <v>2123</v>
      </c>
      <c r="BB156" t="s">
        <v>1864</v>
      </c>
      <c r="BC156" t="s">
        <v>188</v>
      </c>
      <c r="BD156">
        <v>528000</v>
      </c>
      <c r="BE156">
        <v>18695965823</v>
      </c>
      <c r="BF156" t="s">
        <v>2124</v>
      </c>
      <c r="BG156" t="b">
        <v>0</v>
      </c>
      <c r="BH156" s="6" t="s">
        <v>2125</v>
      </c>
      <c r="BI156" t="s">
        <v>2126</v>
      </c>
      <c r="BJ156">
        <v>4453163191</v>
      </c>
      <c r="BK156" t="s">
        <v>162</v>
      </c>
      <c r="BL156" t="s">
        <v>161</v>
      </c>
      <c r="BM156" s="2"/>
      <c r="BO156" t="s">
        <v>89</v>
      </c>
      <c r="BP156">
        <v>94051000</v>
      </c>
      <c r="BR156" t="s">
        <v>180</v>
      </c>
      <c r="BS156" t="s">
        <v>103</v>
      </c>
      <c r="BU156">
        <v>0</v>
      </c>
      <c r="BV156">
        <v>53.45</v>
      </c>
      <c r="BW156">
        <v>0</v>
      </c>
      <c r="BX156">
        <v>0</v>
      </c>
      <c r="BY156">
        <v>0</v>
      </c>
      <c r="BZ156">
        <v>0</v>
      </c>
      <c r="CA156">
        <v>53.45</v>
      </c>
      <c r="CB156" t="s">
        <v>444</v>
      </c>
      <c r="CF156" s="2"/>
      <c r="CH156" s="2"/>
      <c r="CJ156">
        <v>5.3142019950142899E+17</v>
      </c>
      <c r="CK156" t="s">
        <v>1509</v>
      </c>
      <c r="CL156">
        <v>43746.378900462965</v>
      </c>
      <c r="CO156" t="s">
        <v>11</v>
      </c>
      <c r="CP156">
        <v>391.56</v>
      </c>
      <c r="CQ156" t="s">
        <v>11</v>
      </c>
      <c r="CR156">
        <v>391.56</v>
      </c>
      <c r="CV156" t="s">
        <v>525</v>
      </c>
      <c r="CW156" t="s">
        <v>12</v>
      </c>
      <c r="CX156" t="s">
        <v>12</v>
      </c>
      <c r="CY156" t="s">
        <v>12</v>
      </c>
      <c r="DA156" t="s">
        <v>104</v>
      </c>
      <c r="DD156" t="s">
        <v>93</v>
      </c>
      <c r="DQ156" t="s">
        <v>94</v>
      </c>
      <c r="DR156" t="s">
        <v>94</v>
      </c>
      <c r="DS156" t="s">
        <v>94</v>
      </c>
      <c r="DT156" t="s">
        <v>94</v>
      </c>
      <c r="DU156" t="s">
        <v>94</v>
      </c>
      <c r="DV156" t="s">
        <v>94</v>
      </c>
      <c r="DW156" t="s">
        <v>94</v>
      </c>
      <c r="DX156" s="2" t="s">
        <v>94</v>
      </c>
      <c r="DY156" t="s">
        <v>94</v>
      </c>
      <c r="DZ156" t="s">
        <v>94</v>
      </c>
      <c r="EA156" t="s">
        <v>94</v>
      </c>
      <c r="EB156" t="s">
        <v>94</v>
      </c>
      <c r="EC156" t="s">
        <v>94</v>
      </c>
      <c r="ED156" t="s">
        <v>94</v>
      </c>
      <c r="EE156" t="s">
        <v>89</v>
      </c>
      <c r="EF156" t="s">
        <v>425</v>
      </c>
      <c r="EG156" t="s">
        <v>105</v>
      </c>
      <c r="EJ156" t="s">
        <v>166</v>
      </c>
      <c r="EK156" t="b">
        <v>0</v>
      </c>
      <c r="EL156" t="b">
        <v>0</v>
      </c>
      <c r="EM156" t="b">
        <v>0</v>
      </c>
      <c r="EO156" t="s">
        <v>177</v>
      </c>
      <c r="EP156" t="s">
        <v>2129</v>
      </c>
    </row>
    <row r="157" spans="3:146" ht="15">
      <c r="C157" s="82">
        <v>1</v>
      </c>
      <c r="D157" s="5"/>
      <c r="E157" s="4">
        <v>1</v>
      </c>
      <c r="F157" s="5">
        <v>0.74</v>
      </c>
      <c r="G157" s="5" t="s">
        <v>2144</v>
      </c>
      <c r="H157" s="4" t="s">
        <v>2145</v>
      </c>
      <c r="I157" s="81" t="s">
        <v>920</v>
      </c>
      <c r="J157" s="21"/>
      <c r="K157" s="22" t="s">
        <v>2130</v>
      </c>
      <c r="L157" s="84" t="s">
        <v>1551</v>
      </c>
      <c r="M157" s="23" t="s">
        <v>905</v>
      </c>
      <c r="N157" s="23">
        <v>43736</v>
      </c>
      <c r="O157" s="24" t="s">
        <v>102</v>
      </c>
      <c r="P157" s="24" t="s">
        <v>179</v>
      </c>
      <c r="Q157" s="24">
        <v>1</v>
      </c>
      <c r="R157" s="24">
        <v>0.74</v>
      </c>
      <c r="S157" t="s">
        <v>319</v>
      </c>
      <c r="T157">
        <v>30</v>
      </c>
      <c r="U157" s="2" t="s">
        <v>163</v>
      </c>
      <c r="V157">
        <v>43736.782037037039</v>
      </c>
      <c r="W157" s="2" t="s">
        <v>444</v>
      </c>
      <c r="X157">
        <v>43738.446342592593</v>
      </c>
      <c r="AB157" t="s">
        <v>9</v>
      </c>
      <c r="AC157" t="s">
        <v>2131</v>
      </c>
      <c r="AD157" t="s">
        <v>182</v>
      </c>
      <c r="AE157">
        <v>2017344</v>
      </c>
      <c r="AF157">
        <v>2017344</v>
      </c>
      <c r="AG157" t="s">
        <v>183</v>
      </c>
      <c r="AH157" t="s">
        <v>2132</v>
      </c>
      <c r="AI157" t="s">
        <v>2132</v>
      </c>
      <c r="AJ157" t="s">
        <v>1257</v>
      </c>
      <c r="AK157" t="s">
        <v>1258</v>
      </c>
      <c r="AL157" t="s">
        <v>2133</v>
      </c>
      <c r="AO157" t="s">
        <v>2134</v>
      </c>
      <c r="AP157" t="s">
        <v>2135</v>
      </c>
      <c r="AR157">
        <v>4300</v>
      </c>
      <c r="AS157">
        <v>70256868</v>
      </c>
      <c r="AT157" t="s">
        <v>2136</v>
      </c>
      <c r="AU157" t="s">
        <v>10</v>
      </c>
      <c r="AV157" t="s">
        <v>2137</v>
      </c>
      <c r="AW157" t="s">
        <v>2137</v>
      </c>
      <c r="AX157" t="s">
        <v>2138</v>
      </c>
      <c r="AY157" s="2" t="s">
        <v>2139</v>
      </c>
      <c r="AZ157" t="s">
        <v>2140</v>
      </c>
      <c r="BA157" t="s">
        <v>186</v>
      </c>
      <c r="BB157" t="s">
        <v>187</v>
      </c>
      <c r="BC157" t="s">
        <v>188</v>
      </c>
      <c r="BD157">
        <v>518104</v>
      </c>
      <c r="BE157">
        <v>-616358</v>
      </c>
      <c r="BF157" t="s">
        <v>2141</v>
      </c>
      <c r="BG157" t="b">
        <v>0</v>
      </c>
      <c r="BH157" s="6" t="s">
        <v>2142</v>
      </c>
      <c r="BI157" t="s">
        <v>2143</v>
      </c>
      <c r="BJ157">
        <v>4453163191</v>
      </c>
      <c r="BK157" t="s">
        <v>162</v>
      </c>
      <c r="BL157" t="s">
        <v>161</v>
      </c>
      <c r="BM157" s="2"/>
      <c r="BO157" t="s">
        <v>89</v>
      </c>
      <c r="BP157">
        <v>90269000</v>
      </c>
      <c r="BR157" t="s">
        <v>180</v>
      </c>
      <c r="BS157" t="s">
        <v>103</v>
      </c>
      <c r="BU157">
        <v>0</v>
      </c>
      <c r="BV157">
        <v>0</v>
      </c>
      <c r="BW157">
        <v>0</v>
      </c>
      <c r="BX157">
        <v>0</v>
      </c>
      <c r="BY157">
        <v>0</v>
      </c>
      <c r="BZ157">
        <v>0</v>
      </c>
      <c r="CA157">
        <v>0</v>
      </c>
      <c r="CF157" s="2"/>
      <c r="CH157" s="2"/>
      <c r="CJ157">
        <v>5.3142019950139398E+17</v>
      </c>
      <c r="CK157" t="s">
        <v>1509</v>
      </c>
      <c r="CL157">
        <v>43736.375844907408</v>
      </c>
      <c r="CO157" t="s">
        <v>11</v>
      </c>
      <c r="CP157">
        <v>212.18</v>
      </c>
      <c r="CQ157" t="s">
        <v>11</v>
      </c>
      <c r="CR157">
        <v>212.18</v>
      </c>
      <c r="CV157" t="s">
        <v>190</v>
      </c>
      <c r="CW157" t="s">
        <v>12</v>
      </c>
      <c r="CX157" t="s">
        <v>12</v>
      </c>
      <c r="CY157" t="s">
        <v>12</v>
      </c>
      <c r="DA157" t="s">
        <v>104</v>
      </c>
      <c r="DD157" t="s">
        <v>93</v>
      </c>
      <c r="DQ157" t="s">
        <v>94</v>
      </c>
      <c r="DR157" t="s">
        <v>94</v>
      </c>
      <c r="DS157" t="s">
        <v>94</v>
      </c>
      <c r="DT157" t="s">
        <v>94</v>
      </c>
      <c r="DU157" t="s">
        <v>94</v>
      </c>
      <c r="DV157" t="s">
        <v>94</v>
      </c>
      <c r="DW157" t="s">
        <v>94</v>
      </c>
      <c r="DX157" s="2" t="s">
        <v>94</v>
      </c>
      <c r="DY157" t="s">
        <v>94</v>
      </c>
      <c r="DZ157" t="s">
        <v>94</v>
      </c>
      <c r="EA157" t="s">
        <v>94</v>
      </c>
      <c r="EB157" t="s">
        <v>94</v>
      </c>
      <c r="EC157" t="s">
        <v>94</v>
      </c>
      <c r="ED157" t="s">
        <v>94</v>
      </c>
      <c r="EE157" t="s">
        <v>89</v>
      </c>
      <c r="EF157" t="s">
        <v>425</v>
      </c>
      <c r="EG157" t="s">
        <v>105</v>
      </c>
      <c r="EJ157" t="s">
        <v>166</v>
      </c>
      <c r="EK157" t="b">
        <v>0</v>
      </c>
      <c r="EL157" t="b">
        <v>0</v>
      </c>
      <c r="EM157" t="b">
        <v>0</v>
      </c>
      <c r="EO157" t="s">
        <v>177</v>
      </c>
      <c r="EP157" t="s">
        <v>2146</v>
      </c>
    </row>
    <row r="158" spans="3:146" ht="15">
      <c r="C158" s="82">
        <v>1</v>
      </c>
      <c r="D158" s="5"/>
      <c r="E158" s="4">
        <v>1</v>
      </c>
      <c r="F158" s="5">
        <v>1.9</v>
      </c>
      <c r="G158" s="5" t="s">
        <v>2187</v>
      </c>
      <c r="H158" s="4" t="s">
        <v>2188</v>
      </c>
      <c r="I158" s="81" t="s">
        <v>164</v>
      </c>
      <c r="J158" s="21"/>
      <c r="K158" s="22" t="s">
        <v>2147</v>
      </c>
      <c r="L158" s="84" t="s">
        <v>2148</v>
      </c>
      <c r="M158" s="23" t="s">
        <v>447</v>
      </c>
      <c r="N158" s="23">
        <v>43753</v>
      </c>
      <c r="O158" s="24" t="s">
        <v>102</v>
      </c>
      <c r="P158" s="24" t="s">
        <v>179</v>
      </c>
      <c r="Q158" s="24">
        <v>1</v>
      </c>
      <c r="R158" s="24">
        <v>1.9</v>
      </c>
      <c r="S158" t="s">
        <v>319</v>
      </c>
      <c r="T158">
        <v>40.25</v>
      </c>
      <c r="U158" s="2" t="s">
        <v>163</v>
      </c>
      <c r="V158">
        <v>43753.81045138889</v>
      </c>
      <c r="W158" s="2" t="s">
        <v>444</v>
      </c>
      <c r="X158">
        <v>43755.600277777776</v>
      </c>
      <c r="AB158" t="s">
        <v>9</v>
      </c>
      <c r="AC158" t="s">
        <v>1347</v>
      </c>
      <c r="AD158" t="s">
        <v>182</v>
      </c>
      <c r="AE158" t="s">
        <v>183</v>
      </c>
      <c r="AF158" t="s">
        <v>183</v>
      </c>
      <c r="AG158" t="s">
        <v>810</v>
      </c>
      <c r="AH158" t="s">
        <v>2149</v>
      </c>
      <c r="AI158" t="s">
        <v>2149</v>
      </c>
      <c r="AJ158" t="s">
        <v>369</v>
      </c>
      <c r="AK158" t="s">
        <v>370</v>
      </c>
      <c r="AL158" t="s">
        <v>2150</v>
      </c>
      <c r="AO158" t="s">
        <v>2151</v>
      </c>
      <c r="AP158" t="s">
        <v>1351</v>
      </c>
      <c r="AQ158" t="s">
        <v>1352</v>
      </c>
      <c r="AR158" t="s">
        <v>2189</v>
      </c>
      <c r="AS158">
        <v>387719012</v>
      </c>
      <c r="AT158" t="s">
        <v>2152</v>
      </c>
      <c r="AU158" t="s">
        <v>10</v>
      </c>
      <c r="AV158" t="s">
        <v>784</v>
      </c>
      <c r="AW158" t="s">
        <v>784</v>
      </c>
      <c r="AX158" t="s">
        <v>785</v>
      </c>
      <c r="AY158" s="2" t="s">
        <v>786</v>
      </c>
      <c r="BA158" t="s">
        <v>186</v>
      </c>
      <c r="BB158" t="s">
        <v>187</v>
      </c>
      <c r="BC158" t="s">
        <v>188</v>
      </c>
      <c r="BD158">
        <v>518102</v>
      </c>
      <c r="BE158" t="s">
        <v>787</v>
      </c>
      <c r="BF158" t="s">
        <v>788</v>
      </c>
      <c r="BG158" t="b">
        <v>0</v>
      </c>
      <c r="BH158" s="6" t="s">
        <v>2153</v>
      </c>
      <c r="BI158" t="s">
        <v>2154</v>
      </c>
      <c r="BJ158">
        <v>4453163191</v>
      </c>
      <c r="BK158" t="s">
        <v>162</v>
      </c>
      <c r="BL158" t="s">
        <v>161</v>
      </c>
      <c r="BM158" s="2"/>
      <c r="BN158" t="s">
        <v>791</v>
      </c>
      <c r="BO158" t="s">
        <v>89</v>
      </c>
      <c r="BP158">
        <v>94054090</v>
      </c>
      <c r="BR158" t="s">
        <v>180</v>
      </c>
      <c r="BS158" t="s">
        <v>103</v>
      </c>
      <c r="BU158">
        <v>0</v>
      </c>
      <c r="BV158">
        <v>0</v>
      </c>
      <c r="BW158">
        <v>0</v>
      </c>
      <c r="BX158">
        <v>0</v>
      </c>
      <c r="BY158">
        <v>0</v>
      </c>
      <c r="BZ158">
        <v>0</v>
      </c>
      <c r="CA158">
        <v>0</v>
      </c>
      <c r="CF158" s="2"/>
      <c r="CH158" s="2"/>
      <c r="CJ158" t="s">
        <v>1023</v>
      </c>
      <c r="CK158" t="s">
        <v>1509</v>
      </c>
      <c r="CL158">
        <v>43753.574756944443</v>
      </c>
      <c r="CO158" t="s">
        <v>11</v>
      </c>
      <c r="CP158">
        <v>284.68</v>
      </c>
      <c r="CQ158" t="s">
        <v>11</v>
      </c>
      <c r="CR158">
        <v>284.68</v>
      </c>
      <c r="CV158" t="s">
        <v>525</v>
      </c>
      <c r="CW158" t="s">
        <v>12</v>
      </c>
      <c r="CX158" t="s">
        <v>12</v>
      </c>
      <c r="CY158" t="s">
        <v>12</v>
      </c>
      <c r="DA158" t="s">
        <v>104</v>
      </c>
      <c r="DD158" t="s">
        <v>93</v>
      </c>
      <c r="DQ158" t="s">
        <v>94</v>
      </c>
      <c r="DR158" t="s">
        <v>94</v>
      </c>
      <c r="DS158" t="s">
        <v>94</v>
      </c>
      <c r="DT158" t="s">
        <v>94</v>
      </c>
      <c r="DU158" t="s">
        <v>94</v>
      </c>
      <c r="DV158" t="s">
        <v>94</v>
      </c>
      <c r="DW158" t="s">
        <v>94</v>
      </c>
      <c r="DX158" s="2" t="s">
        <v>94</v>
      </c>
      <c r="DY158" t="s">
        <v>94</v>
      </c>
      <c r="DZ158" t="s">
        <v>94</v>
      </c>
      <c r="EA158" t="s">
        <v>94</v>
      </c>
      <c r="EB158" t="s">
        <v>94</v>
      </c>
      <c r="EC158" t="s">
        <v>94</v>
      </c>
      <c r="ED158" t="s">
        <v>94</v>
      </c>
      <c r="EE158" t="s">
        <v>89</v>
      </c>
      <c r="EF158" t="s">
        <v>425</v>
      </c>
      <c r="EG158" t="s">
        <v>105</v>
      </c>
      <c r="EJ158" t="s">
        <v>166</v>
      </c>
      <c r="EK158" t="b">
        <v>0</v>
      </c>
      <c r="EL158" t="b">
        <v>0</v>
      </c>
      <c r="EM158" t="b">
        <v>0</v>
      </c>
      <c r="EO158" t="s">
        <v>177</v>
      </c>
      <c r="EP158" t="s">
        <v>2190</v>
      </c>
    </row>
    <row r="159" spans="3:146" ht="15">
      <c r="C159" s="82">
        <v>3</v>
      </c>
      <c r="D159" s="5"/>
      <c r="E159" s="4">
        <v>1</v>
      </c>
      <c r="F159" s="5">
        <v>0.74</v>
      </c>
      <c r="G159" s="5" t="s">
        <v>2191</v>
      </c>
      <c r="H159" s="4" t="s">
        <v>2145</v>
      </c>
      <c r="I159" s="81" t="s">
        <v>920</v>
      </c>
      <c r="J159" s="21"/>
      <c r="K159" s="22" t="s">
        <v>2130</v>
      </c>
      <c r="L159" s="84" t="s">
        <v>1551</v>
      </c>
      <c r="M159" s="23" t="s">
        <v>905</v>
      </c>
      <c r="N159" s="23">
        <v>43736</v>
      </c>
      <c r="O159" s="24" t="s">
        <v>102</v>
      </c>
      <c r="P159" s="24" t="s">
        <v>179</v>
      </c>
      <c r="Q159" s="24">
        <v>1</v>
      </c>
      <c r="R159" s="24">
        <v>0.74</v>
      </c>
      <c r="S159" t="s">
        <v>319</v>
      </c>
      <c r="T159">
        <v>30</v>
      </c>
      <c r="U159" s="2" t="s">
        <v>163</v>
      </c>
      <c r="V159">
        <v>43736.782037037039</v>
      </c>
      <c r="W159" s="2" t="s">
        <v>444</v>
      </c>
      <c r="X159">
        <v>43738.446342592593</v>
      </c>
      <c r="AB159" t="s">
        <v>9</v>
      </c>
      <c r="AC159" t="s">
        <v>2131</v>
      </c>
      <c r="AD159" t="s">
        <v>182</v>
      </c>
      <c r="AE159" t="s">
        <v>2192</v>
      </c>
      <c r="AF159" t="s">
        <v>2192</v>
      </c>
      <c r="AG159" t="s">
        <v>183</v>
      </c>
      <c r="AH159" t="s">
        <v>2132</v>
      </c>
      <c r="AI159" t="s">
        <v>2132</v>
      </c>
      <c r="AJ159" t="s">
        <v>1257</v>
      </c>
      <c r="AK159" t="s">
        <v>1258</v>
      </c>
      <c r="AL159" t="s">
        <v>2133</v>
      </c>
      <c r="AO159" t="s">
        <v>2134</v>
      </c>
      <c r="AP159" t="s">
        <v>2135</v>
      </c>
      <c r="AR159" t="s">
        <v>2193</v>
      </c>
      <c r="AS159">
        <v>70256868</v>
      </c>
      <c r="AT159" t="s">
        <v>2136</v>
      </c>
      <c r="AU159" t="s">
        <v>10</v>
      </c>
      <c r="AV159" t="s">
        <v>2137</v>
      </c>
      <c r="AW159" t="s">
        <v>2137</v>
      </c>
      <c r="AX159" t="s">
        <v>2138</v>
      </c>
      <c r="AY159" s="2" t="s">
        <v>2139</v>
      </c>
      <c r="AZ159" t="s">
        <v>2140</v>
      </c>
      <c r="BA159" t="s">
        <v>186</v>
      </c>
      <c r="BB159" t="s">
        <v>187</v>
      </c>
      <c r="BC159" t="s">
        <v>188</v>
      </c>
      <c r="BD159">
        <v>518104</v>
      </c>
      <c r="BE159" t="s">
        <v>2194</v>
      </c>
      <c r="BF159" t="s">
        <v>2141</v>
      </c>
      <c r="BG159" t="b">
        <v>0</v>
      </c>
      <c r="BH159" s="6" t="s">
        <v>2142</v>
      </c>
      <c r="BI159" t="s">
        <v>2143</v>
      </c>
      <c r="BJ159">
        <v>4453163191</v>
      </c>
      <c r="BK159" t="s">
        <v>162</v>
      </c>
      <c r="BL159" t="s">
        <v>161</v>
      </c>
      <c r="BM159" s="2"/>
      <c r="BO159" t="s">
        <v>89</v>
      </c>
      <c r="BP159">
        <v>90269000</v>
      </c>
      <c r="BR159" t="s">
        <v>180</v>
      </c>
      <c r="BS159" t="s">
        <v>103</v>
      </c>
      <c r="BU159">
        <v>0</v>
      </c>
      <c r="BV159">
        <v>0</v>
      </c>
      <c r="BW159">
        <v>0</v>
      </c>
      <c r="BX159">
        <v>0</v>
      </c>
      <c r="BY159">
        <v>0</v>
      </c>
      <c r="BZ159">
        <v>0</v>
      </c>
      <c r="CA159">
        <v>0</v>
      </c>
      <c r="CF159" s="2"/>
      <c r="CH159" s="2"/>
      <c r="CJ159" t="s">
        <v>1023</v>
      </c>
      <c r="CK159" t="s">
        <v>1509</v>
      </c>
      <c r="CL159">
        <v>43736.375844907408</v>
      </c>
      <c r="CO159" t="s">
        <v>11</v>
      </c>
      <c r="CP159">
        <v>212.18</v>
      </c>
      <c r="CQ159" t="s">
        <v>11</v>
      </c>
      <c r="CR159">
        <v>212.18</v>
      </c>
      <c r="CV159" t="s">
        <v>190</v>
      </c>
      <c r="CW159" t="s">
        <v>12</v>
      </c>
      <c r="CX159" t="s">
        <v>12</v>
      </c>
      <c r="CY159" t="s">
        <v>12</v>
      </c>
      <c r="DA159" t="s">
        <v>104</v>
      </c>
      <c r="DD159" t="s">
        <v>93</v>
      </c>
      <c r="DQ159" t="s">
        <v>94</v>
      </c>
      <c r="DR159" t="s">
        <v>94</v>
      </c>
      <c r="DS159" t="s">
        <v>94</v>
      </c>
      <c r="DT159" t="s">
        <v>94</v>
      </c>
      <c r="DU159" t="s">
        <v>94</v>
      </c>
      <c r="DV159" t="s">
        <v>94</v>
      </c>
      <c r="DW159" t="s">
        <v>94</v>
      </c>
      <c r="DX159" s="2" t="s">
        <v>94</v>
      </c>
      <c r="DY159" t="s">
        <v>94</v>
      </c>
      <c r="DZ159" t="s">
        <v>94</v>
      </c>
      <c r="EA159" t="s">
        <v>94</v>
      </c>
      <c r="EB159" t="s">
        <v>94</v>
      </c>
      <c r="EC159" t="s">
        <v>94</v>
      </c>
      <c r="ED159" t="s">
        <v>94</v>
      </c>
      <c r="EE159" t="s">
        <v>89</v>
      </c>
      <c r="EF159" t="s">
        <v>425</v>
      </c>
      <c r="EG159" t="s">
        <v>105</v>
      </c>
      <c r="EJ159" t="s">
        <v>166</v>
      </c>
      <c r="EK159" t="b">
        <v>0</v>
      </c>
      <c r="EL159" t="b">
        <v>0</v>
      </c>
      <c r="EM159" t="b">
        <v>0</v>
      </c>
      <c r="EO159" t="s">
        <v>177</v>
      </c>
      <c r="EP159" t="s">
        <v>2195</v>
      </c>
    </row>
    <row r="160" spans="3:146" ht="15">
      <c r="C160" s="82">
        <v>421</v>
      </c>
      <c r="D160" s="5"/>
      <c r="E160" s="4">
        <v>1</v>
      </c>
      <c r="F160" s="5">
        <v>0.8</v>
      </c>
      <c r="G160" s="5" t="s">
        <v>2196</v>
      </c>
      <c r="H160" s="4" t="s">
        <v>2197</v>
      </c>
      <c r="I160" s="81" t="s">
        <v>817</v>
      </c>
      <c r="J160" s="21"/>
      <c r="K160" s="22" t="s">
        <v>2155</v>
      </c>
      <c r="L160" s="84" t="s">
        <v>2156</v>
      </c>
      <c r="M160" s="23" t="s">
        <v>817</v>
      </c>
      <c r="N160" s="23">
        <v>43751</v>
      </c>
      <c r="O160" s="24" t="s">
        <v>102</v>
      </c>
      <c r="P160" s="24" t="s">
        <v>179</v>
      </c>
      <c r="Q160" s="24">
        <v>1</v>
      </c>
      <c r="R160" s="24">
        <v>0.8</v>
      </c>
      <c r="S160" t="s">
        <v>319</v>
      </c>
      <c r="T160">
        <v>30</v>
      </c>
      <c r="U160" s="2" t="s">
        <v>163</v>
      </c>
      <c r="V160">
        <v>43751.865856481483</v>
      </c>
      <c r="W160" s="2" t="s">
        <v>444</v>
      </c>
      <c r="X160">
        <v>43754.45584490741</v>
      </c>
      <c r="AB160" t="s">
        <v>9</v>
      </c>
      <c r="AC160" t="s">
        <v>2157</v>
      </c>
      <c r="AD160" t="s">
        <v>209</v>
      </c>
      <c r="AE160" t="s">
        <v>2198</v>
      </c>
      <c r="AF160" t="s">
        <v>2198</v>
      </c>
      <c r="AG160" t="s">
        <v>183</v>
      </c>
      <c r="AH160" t="s">
        <v>2158</v>
      </c>
      <c r="AI160" t="s">
        <v>2158</v>
      </c>
      <c r="AJ160" t="s">
        <v>184</v>
      </c>
      <c r="AK160" t="s">
        <v>185</v>
      </c>
      <c r="AL160" t="s">
        <v>2159</v>
      </c>
      <c r="AM160" t="s">
        <v>2160</v>
      </c>
      <c r="AO160" t="s">
        <v>2161</v>
      </c>
      <c r="AP160" t="s">
        <v>2162</v>
      </c>
      <c r="AQ160" t="s">
        <v>2161</v>
      </c>
      <c r="AR160" t="s">
        <v>2163</v>
      </c>
      <c r="AS160">
        <v>1491636228</v>
      </c>
      <c r="AT160" t="s">
        <v>2164</v>
      </c>
      <c r="AU160" t="s">
        <v>10</v>
      </c>
      <c r="AV160" t="s">
        <v>2165</v>
      </c>
      <c r="AW160" t="s">
        <v>2165</v>
      </c>
      <c r="AX160" t="s">
        <v>2166</v>
      </c>
      <c r="AY160" s="2" t="s">
        <v>2167</v>
      </c>
      <c r="BA160" t="s">
        <v>538</v>
      </c>
      <c r="BB160" t="s">
        <v>223</v>
      </c>
      <c r="BC160" t="s">
        <v>188</v>
      </c>
      <c r="BD160">
        <v>510440</v>
      </c>
      <c r="BE160" t="s">
        <v>2199</v>
      </c>
      <c r="BF160" t="s">
        <v>2168</v>
      </c>
      <c r="BG160" t="b">
        <v>0</v>
      </c>
      <c r="BH160" s="6" t="s">
        <v>2169</v>
      </c>
      <c r="BI160" t="s">
        <v>2170</v>
      </c>
      <c r="BJ160">
        <v>4453163191</v>
      </c>
      <c r="BK160" t="s">
        <v>162</v>
      </c>
      <c r="BL160" t="s">
        <v>161</v>
      </c>
      <c r="BM160" s="2"/>
      <c r="BO160" t="s">
        <v>89</v>
      </c>
      <c r="BP160">
        <v>48191000</v>
      </c>
      <c r="BR160" t="s">
        <v>180</v>
      </c>
      <c r="BS160" t="s">
        <v>103</v>
      </c>
      <c r="BU160">
        <v>0</v>
      </c>
      <c r="BV160">
        <v>0</v>
      </c>
      <c r="BW160">
        <v>0</v>
      </c>
      <c r="BX160">
        <v>0</v>
      </c>
      <c r="BY160">
        <v>0</v>
      </c>
      <c r="BZ160">
        <v>0</v>
      </c>
      <c r="CA160">
        <v>0</v>
      </c>
      <c r="CF160" s="2"/>
      <c r="CH160" s="2"/>
      <c r="CJ160" t="s">
        <v>1023</v>
      </c>
      <c r="CK160" t="s">
        <v>1849</v>
      </c>
      <c r="CL160">
        <v>43751.590844907405</v>
      </c>
      <c r="CO160" t="s">
        <v>11</v>
      </c>
      <c r="CP160">
        <v>212.18</v>
      </c>
      <c r="CQ160" t="s">
        <v>11</v>
      </c>
      <c r="CR160">
        <v>212.18</v>
      </c>
      <c r="CV160" t="s">
        <v>190</v>
      </c>
      <c r="CW160" t="s">
        <v>12</v>
      </c>
      <c r="CX160" t="s">
        <v>12</v>
      </c>
      <c r="CY160" t="s">
        <v>12</v>
      </c>
      <c r="DA160" t="s">
        <v>104</v>
      </c>
      <c r="DD160" t="s">
        <v>93</v>
      </c>
      <c r="DQ160" t="s">
        <v>94</v>
      </c>
      <c r="DR160" t="s">
        <v>94</v>
      </c>
      <c r="DS160" t="s">
        <v>94</v>
      </c>
      <c r="DT160" t="s">
        <v>94</v>
      </c>
      <c r="DU160" t="s">
        <v>94</v>
      </c>
      <c r="DV160" t="s">
        <v>94</v>
      </c>
      <c r="DW160" t="s">
        <v>94</v>
      </c>
      <c r="DX160" s="2" t="s">
        <v>94</v>
      </c>
      <c r="DY160" t="s">
        <v>94</v>
      </c>
      <c r="DZ160" t="s">
        <v>94</v>
      </c>
      <c r="EA160" t="s">
        <v>94</v>
      </c>
      <c r="EB160" t="s">
        <v>94</v>
      </c>
      <c r="EC160" t="s">
        <v>94</v>
      </c>
      <c r="ED160" t="s">
        <v>94</v>
      </c>
      <c r="EE160" t="s">
        <v>89</v>
      </c>
      <c r="EF160" t="s">
        <v>425</v>
      </c>
      <c r="EG160" t="s">
        <v>105</v>
      </c>
      <c r="EJ160" t="s">
        <v>166</v>
      </c>
      <c r="EK160" t="b">
        <v>0</v>
      </c>
      <c r="EL160" t="b">
        <v>0</v>
      </c>
      <c r="EM160" t="b">
        <v>0</v>
      </c>
      <c r="EO160" t="s">
        <v>177</v>
      </c>
      <c r="EP160" t="s">
        <v>2200</v>
      </c>
    </row>
    <row r="161" spans="3:146" ht="15">
      <c r="C161" s="82">
        <v>141</v>
      </c>
      <c r="D161" s="5"/>
      <c r="E161" s="4">
        <v>1</v>
      </c>
      <c r="F161" s="5">
        <v>1.5</v>
      </c>
      <c r="G161" s="5" t="s">
        <v>2201</v>
      </c>
      <c r="H161" s="4" t="s">
        <v>2202</v>
      </c>
      <c r="I161" s="81" t="s">
        <v>164</v>
      </c>
      <c r="J161" s="21"/>
      <c r="K161" s="22" t="s">
        <v>2171</v>
      </c>
      <c r="L161" s="84" t="s">
        <v>2172</v>
      </c>
      <c r="M161" s="23" t="s">
        <v>164</v>
      </c>
      <c r="N161" s="23">
        <v>43747</v>
      </c>
      <c r="O161" s="24" t="s">
        <v>102</v>
      </c>
      <c r="P161" s="24" t="s">
        <v>179</v>
      </c>
      <c r="Q161" s="24">
        <v>1</v>
      </c>
      <c r="R161" s="24">
        <v>1.5</v>
      </c>
      <c r="S161" t="s">
        <v>528</v>
      </c>
      <c r="T161">
        <v>28</v>
      </c>
      <c r="U161" s="2" t="s">
        <v>163</v>
      </c>
      <c r="V161">
        <v>43747.830659722225</v>
      </c>
      <c r="W161" s="2" t="s">
        <v>444</v>
      </c>
      <c r="X161">
        <v>43749.415983796294</v>
      </c>
      <c r="AB161" t="s">
        <v>9</v>
      </c>
      <c r="AC161" t="s">
        <v>2173</v>
      </c>
      <c r="AD161" t="s">
        <v>191</v>
      </c>
      <c r="AE161" t="s">
        <v>2203</v>
      </c>
      <c r="AF161" t="s">
        <v>2203</v>
      </c>
      <c r="AG161" t="s">
        <v>183</v>
      </c>
      <c r="AH161" t="s">
        <v>2174</v>
      </c>
      <c r="AI161" t="s">
        <v>2174</v>
      </c>
      <c r="AJ161" t="s">
        <v>795</v>
      </c>
      <c r="AK161" t="s">
        <v>796</v>
      </c>
      <c r="AL161" t="s">
        <v>2175</v>
      </c>
      <c r="AO161" t="s">
        <v>2176</v>
      </c>
      <c r="AP161" t="s">
        <v>2177</v>
      </c>
      <c r="AQ161" t="s">
        <v>2178</v>
      </c>
      <c r="AR161" t="s">
        <v>2204</v>
      </c>
      <c r="AS161">
        <v>-539518</v>
      </c>
      <c r="AT161" t="s">
        <v>2179</v>
      </c>
      <c r="AU161" t="s">
        <v>10</v>
      </c>
      <c r="AV161" t="s">
        <v>2180</v>
      </c>
      <c r="AW161" t="s">
        <v>2180</v>
      </c>
      <c r="AX161" t="s">
        <v>2181</v>
      </c>
      <c r="AY161" s="2" t="s">
        <v>2182</v>
      </c>
      <c r="AZ161" t="s">
        <v>2183</v>
      </c>
      <c r="BA161" t="s">
        <v>726</v>
      </c>
      <c r="BB161" t="s">
        <v>192</v>
      </c>
      <c r="BC161" t="s">
        <v>188</v>
      </c>
      <c r="BD161">
        <v>523585</v>
      </c>
      <c r="BE161" t="s">
        <v>2205</v>
      </c>
      <c r="BF161" t="s">
        <v>2184</v>
      </c>
      <c r="BG161" t="b">
        <v>0</v>
      </c>
      <c r="BH161" s="6" t="s">
        <v>2185</v>
      </c>
      <c r="BI161" t="s">
        <v>2186</v>
      </c>
      <c r="BJ161">
        <v>4453163191</v>
      </c>
      <c r="BK161" t="s">
        <v>162</v>
      </c>
      <c r="BL161" t="s">
        <v>161</v>
      </c>
      <c r="BM161" s="2"/>
      <c r="BO161" t="s">
        <v>89</v>
      </c>
      <c r="BP161">
        <v>73269090</v>
      </c>
      <c r="BR161" t="s">
        <v>180</v>
      </c>
      <c r="BS161" t="s">
        <v>103</v>
      </c>
      <c r="BU161">
        <v>0</v>
      </c>
      <c r="BV161">
        <v>0</v>
      </c>
      <c r="BW161">
        <v>0</v>
      </c>
      <c r="BX161">
        <v>0</v>
      </c>
      <c r="BY161">
        <v>0</v>
      </c>
      <c r="BZ161">
        <v>0</v>
      </c>
      <c r="CA161">
        <v>0</v>
      </c>
      <c r="CF161" s="2"/>
      <c r="CH161" s="2"/>
      <c r="CJ161" t="s">
        <v>1023</v>
      </c>
      <c r="CK161" t="s">
        <v>1509</v>
      </c>
      <c r="CL161">
        <v>43747.380671296298</v>
      </c>
      <c r="CO161" t="s">
        <v>11</v>
      </c>
      <c r="CP161">
        <v>219.27</v>
      </c>
      <c r="CQ161" t="s">
        <v>11</v>
      </c>
      <c r="CR161">
        <v>219.27</v>
      </c>
      <c r="CV161" t="s">
        <v>190</v>
      </c>
      <c r="CW161" t="s">
        <v>12</v>
      </c>
      <c r="CX161" t="s">
        <v>12</v>
      </c>
      <c r="CY161" t="s">
        <v>12</v>
      </c>
      <c r="DA161" t="s">
        <v>104</v>
      </c>
      <c r="DD161" t="s">
        <v>93</v>
      </c>
      <c r="DQ161" t="s">
        <v>94</v>
      </c>
      <c r="DR161" t="s">
        <v>94</v>
      </c>
      <c r="DS161" t="s">
        <v>94</v>
      </c>
      <c r="DT161" t="s">
        <v>94</v>
      </c>
      <c r="DU161" t="s">
        <v>94</v>
      </c>
      <c r="DV161" t="s">
        <v>94</v>
      </c>
      <c r="DW161" t="s">
        <v>94</v>
      </c>
      <c r="DX161" s="2" t="s">
        <v>94</v>
      </c>
      <c r="DY161" t="s">
        <v>94</v>
      </c>
      <c r="DZ161" t="s">
        <v>94</v>
      </c>
      <c r="EA161" t="s">
        <v>94</v>
      </c>
      <c r="EB161" t="s">
        <v>94</v>
      </c>
      <c r="EC161" t="s">
        <v>94</v>
      </c>
      <c r="ED161" t="s">
        <v>94</v>
      </c>
      <c r="EE161" t="s">
        <v>89</v>
      </c>
      <c r="EF161" t="s">
        <v>425</v>
      </c>
      <c r="EG161" t="s">
        <v>105</v>
      </c>
      <c r="EJ161" t="s">
        <v>166</v>
      </c>
      <c r="EK161" t="b">
        <v>0</v>
      </c>
      <c r="EL161" t="b">
        <v>0</v>
      </c>
      <c r="EM161" t="b">
        <v>0</v>
      </c>
      <c r="EO161" t="s">
        <v>177</v>
      </c>
      <c r="EP161" t="s">
        <v>2206</v>
      </c>
    </row>
    <row r="162" spans="3:146" ht="15">
      <c r="C162" s="82">
        <v>141</v>
      </c>
      <c r="D162" s="5"/>
      <c r="E162" s="4">
        <v>2</v>
      </c>
      <c r="F162" s="5">
        <v>8.07</v>
      </c>
      <c r="G162" s="5" t="s">
        <v>2225</v>
      </c>
      <c r="H162" s="4" t="s">
        <v>2226</v>
      </c>
      <c r="I162" s="81" t="s">
        <v>920</v>
      </c>
      <c r="J162" s="21"/>
      <c r="K162" s="22" t="s">
        <v>2207</v>
      </c>
      <c r="L162" s="84" t="s">
        <v>2070</v>
      </c>
      <c r="M162" s="23" t="s">
        <v>920</v>
      </c>
      <c r="N162" s="23">
        <v>43749</v>
      </c>
      <c r="O162" s="24" t="s">
        <v>102</v>
      </c>
      <c r="P162" s="24" t="s">
        <v>181</v>
      </c>
      <c r="Q162" s="24">
        <v>2</v>
      </c>
      <c r="R162" s="24">
        <v>8.07</v>
      </c>
      <c r="S162" t="s">
        <v>11</v>
      </c>
      <c r="T162">
        <v>4233</v>
      </c>
      <c r="U162" s="2" t="s">
        <v>163</v>
      </c>
      <c r="V162">
        <v>43752.578460648147</v>
      </c>
      <c r="W162" s="2" t="s">
        <v>444</v>
      </c>
      <c r="X162">
        <v>43759.606840277775</v>
      </c>
      <c r="AB162" t="s">
        <v>9</v>
      </c>
      <c r="AC162" t="s">
        <v>2208</v>
      </c>
      <c r="AD162" t="s">
        <v>200</v>
      </c>
      <c r="AE162">
        <v>466102</v>
      </c>
      <c r="AF162">
        <v>466102</v>
      </c>
      <c r="AG162">
        <v>3056312</v>
      </c>
      <c r="AH162" t="s">
        <v>2209</v>
      </c>
      <c r="AI162" t="s">
        <v>2209</v>
      </c>
      <c r="AJ162" t="s">
        <v>601</v>
      </c>
      <c r="AK162" t="s">
        <v>602</v>
      </c>
      <c r="AL162" t="s">
        <v>2210</v>
      </c>
      <c r="AO162" t="s">
        <v>2211</v>
      </c>
      <c r="AP162" t="s">
        <v>2212</v>
      </c>
      <c r="AQ162" t="s">
        <v>2213</v>
      </c>
      <c r="AR162">
        <v>56010</v>
      </c>
      <c r="AS162">
        <v>587217112</v>
      </c>
      <c r="AT162" t="s">
        <v>2214</v>
      </c>
      <c r="AU162" t="s">
        <v>10</v>
      </c>
      <c r="AV162" t="s">
        <v>2215</v>
      </c>
      <c r="AW162" t="s">
        <v>2216</v>
      </c>
      <c r="AX162" t="s">
        <v>2217</v>
      </c>
      <c r="AY162" s="2" t="s">
        <v>2218</v>
      </c>
      <c r="AZ162" t="s">
        <v>332</v>
      </c>
      <c r="BA162" t="s">
        <v>2123</v>
      </c>
      <c r="BB162" t="s">
        <v>1864</v>
      </c>
      <c r="BC162" t="s">
        <v>188</v>
      </c>
      <c r="BD162">
        <v>528000</v>
      </c>
      <c r="BE162" t="s">
        <v>2219</v>
      </c>
      <c r="BF162" t="s">
        <v>2220</v>
      </c>
      <c r="BG162" t="b">
        <v>0</v>
      </c>
      <c r="BH162" s="6" t="s">
        <v>2221</v>
      </c>
      <c r="BI162" t="s">
        <v>2222</v>
      </c>
      <c r="BJ162">
        <v>4453163191</v>
      </c>
      <c r="BK162" t="s">
        <v>162</v>
      </c>
      <c r="BL162" t="s">
        <v>161</v>
      </c>
      <c r="BM162" s="2"/>
      <c r="BN162" t="s">
        <v>2223</v>
      </c>
      <c r="BO162" t="s">
        <v>89</v>
      </c>
      <c r="BP162">
        <v>84834090</v>
      </c>
      <c r="BR162" t="s">
        <v>180</v>
      </c>
      <c r="BS162" t="s">
        <v>103</v>
      </c>
      <c r="BU162">
        <v>250.86</v>
      </c>
      <c r="BV162">
        <v>582.91999999999996</v>
      </c>
      <c r="BW162">
        <v>0</v>
      </c>
      <c r="BX162">
        <v>0</v>
      </c>
      <c r="BY162">
        <v>0</v>
      </c>
      <c r="BZ162">
        <v>0</v>
      </c>
      <c r="CA162">
        <v>833.78</v>
      </c>
      <c r="CF162" s="2"/>
      <c r="CH162" s="2"/>
      <c r="CJ162">
        <v>5.3142019950146502E+17</v>
      </c>
      <c r="CK162" t="s">
        <v>1509</v>
      </c>
      <c r="CL162">
        <v>43749.379467592589</v>
      </c>
      <c r="CM162" t="s">
        <v>2224</v>
      </c>
      <c r="CN162">
        <v>43753</v>
      </c>
      <c r="CO162" t="s">
        <v>11</v>
      </c>
      <c r="CP162">
        <v>4233</v>
      </c>
      <c r="CQ162" t="s">
        <v>11</v>
      </c>
      <c r="CR162">
        <v>4233</v>
      </c>
      <c r="CV162" t="s">
        <v>525</v>
      </c>
      <c r="CW162" t="s">
        <v>12</v>
      </c>
      <c r="CX162" t="s">
        <v>12</v>
      </c>
      <c r="CY162" t="s">
        <v>12</v>
      </c>
      <c r="DA162" t="s">
        <v>104</v>
      </c>
      <c r="DD162" t="s">
        <v>93</v>
      </c>
      <c r="DQ162" t="s">
        <v>94</v>
      </c>
      <c r="DR162" t="s">
        <v>94</v>
      </c>
      <c r="DS162" t="s">
        <v>94</v>
      </c>
      <c r="DT162" t="s">
        <v>94</v>
      </c>
      <c r="DU162" t="s">
        <v>94</v>
      </c>
      <c r="DV162" t="s">
        <v>94</v>
      </c>
      <c r="DW162" t="s">
        <v>94</v>
      </c>
      <c r="DX162" s="2" t="s">
        <v>94</v>
      </c>
      <c r="DY162" t="s">
        <v>94</v>
      </c>
      <c r="DZ162" t="s">
        <v>94</v>
      </c>
      <c r="EA162" t="s">
        <v>94</v>
      </c>
      <c r="EB162" t="s">
        <v>94</v>
      </c>
      <c r="EC162" t="s">
        <v>94</v>
      </c>
      <c r="ED162" t="s">
        <v>94</v>
      </c>
      <c r="EE162" t="s">
        <v>89</v>
      </c>
      <c r="EF162" t="s">
        <v>425</v>
      </c>
      <c r="EG162" t="s">
        <v>105</v>
      </c>
      <c r="EJ162" t="s">
        <v>526</v>
      </c>
      <c r="EK162" t="b">
        <v>0</v>
      </c>
      <c r="EL162" t="b">
        <v>0</v>
      </c>
      <c r="EM162" t="b">
        <v>0</v>
      </c>
      <c r="EO162" t="s">
        <v>177</v>
      </c>
      <c r="EP162" t="s">
        <v>2227</v>
      </c>
    </row>
    <row r="163" spans="3:146" ht="15">
      <c r="C163" s="82">
        <v>23</v>
      </c>
      <c r="D163" s="5"/>
      <c r="E163" s="4">
        <v>1</v>
      </c>
      <c r="F163" s="5">
        <v>0.55000000000000004</v>
      </c>
      <c r="G163" s="5" t="s">
        <v>2289</v>
      </c>
      <c r="H163" s="4" t="s">
        <v>2290</v>
      </c>
      <c r="I163" s="81" t="s">
        <v>164</v>
      </c>
      <c r="J163" s="21"/>
      <c r="K163" s="22" t="s">
        <v>2228</v>
      </c>
      <c r="L163" s="84" t="s">
        <v>2229</v>
      </c>
      <c r="M163" s="23" t="s">
        <v>447</v>
      </c>
      <c r="N163" s="23">
        <v>43754</v>
      </c>
      <c r="O163" s="24" t="s">
        <v>102</v>
      </c>
      <c r="P163" s="24" t="s">
        <v>179</v>
      </c>
      <c r="Q163" s="24">
        <v>1</v>
      </c>
      <c r="R163" s="24">
        <v>0.55000000000000004</v>
      </c>
      <c r="S163" t="s">
        <v>528</v>
      </c>
      <c r="T163">
        <v>26</v>
      </c>
      <c r="U163" s="2" t="s">
        <v>163</v>
      </c>
      <c r="V163">
        <v>43754.866481481484</v>
      </c>
      <c r="W163" s="2" t="s">
        <v>444</v>
      </c>
      <c r="X163">
        <v>43756.424027777779</v>
      </c>
      <c r="AB163" t="s">
        <v>9</v>
      </c>
      <c r="AC163" t="s">
        <v>2230</v>
      </c>
      <c r="AD163" t="s">
        <v>182</v>
      </c>
      <c r="AE163">
        <v>205881</v>
      </c>
      <c r="AF163">
        <v>205881</v>
      </c>
      <c r="AG163" t="s">
        <v>183</v>
      </c>
      <c r="AH163" t="s">
        <v>2231</v>
      </c>
      <c r="AI163" t="s">
        <v>2231</v>
      </c>
      <c r="AJ163" t="s">
        <v>1735</v>
      </c>
      <c r="AK163" t="s">
        <v>1736</v>
      </c>
      <c r="AL163" t="s">
        <v>2232</v>
      </c>
      <c r="AO163" t="s">
        <v>2233</v>
      </c>
      <c r="AP163" t="s">
        <v>2234</v>
      </c>
      <c r="AQ163" t="s">
        <v>2235</v>
      </c>
      <c r="AR163" t="s">
        <v>2236</v>
      </c>
      <c r="AS163">
        <v>2105590870</v>
      </c>
      <c r="AT163" t="s">
        <v>2237</v>
      </c>
      <c r="AU163" t="s">
        <v>10</v>
      </c>
      <c r="AV163" t="s">
        <v>2238</v>
      </c>
      <c r="AW163" t="s">
        <v>2238</v>
      </c>
      <c r="AX163" t="s">
        <v>2239</v>
      </c>
      <c r="AY163" s="2" t="s">
        <v>2240</v>
      </c>
      <c r="AZ163" t="s">
        <v>2241</v>
      </c>
      <c r="BA163" t="s">
        <v>194</v>
      </c>
      <c r="BB163" t="s">
        <v>187</v>
      </c>
      <c r="BC163" t="s">
        <v>188</v>
      </c>
      <c r="BD163">
        <v>518127</v>
      </c>
      <c r="BE163">
        <v>8675582368859</v>
      </c>
      <c r="BG163" t="b">
        <v>0</v>
      </c>
      <c r="BH163" s="6" t="s">
        <v>2242</v>
      </c>
      <c r="BI163" t="s">
        <v>2243</v>
      </c>
      <c r="BJ163">
        <v>4453163191</v>
      </c>
      <c r="BK163" t="s">
        <v>162</v>
      </c>
      <c r="BL163" t="s">
        <v>161</v>
      </c>
      <c r="BM163" s="2"/>
      <c r="BO163" t="s">
        <v>89</v>
      </c>
      <c r="BP163">
        <v>39232900</v>
      </c>
      <c r="BR163" t="s">
        <v>180</v>
      </c>
      <c r="BS163" t="s">
        <v>103</v>
      </c>
      <c r="BU163">
        <v>0</v>
      </c>
      <c r="BV163">
        <v>0</v>
      </c>
      <c r="BW163">
        <v>0</v>
      </c>
      <c r="BX163">
        <v>0</v>
      </c>
      <c r="BY163">
        <v>0</v>
      </c>
      <c r="BZ163">
        <v>0</v>
      </c>
      <c r="CA163">
        <v>0</v>
      </c>
      <c r="CF163" s="2"/>
      <c r="CH163" s="2"/>
      <c r="CJ163" t="s">
        <v>1023</v>
      </c>
      <c r="CK163" t="s">
        <v>1509</v>
      </c>
      <c r="CL163">
        <v>43754.374039351853</v>
      </c>
      <c r="CO163" t="s">
        <v>11</v>
      </c>
      <c r="CP163">
        <v>203.61</v>
      </c>
      <c r="CQ163" t="s">
        <v>11</v>
      </c>
      <c r="CR163">
        <v>203.61</v>
      </c>
      <c r="CV163" t="s">
        <v>190</v>
      </c>
      <c r="CW163" t="s">
        <v>12</v>
      </c>
      <c r="CX163" t="s">
        <v>12</v>
      </c>
      <c r="CY163" t="s">
        <v>12</v>
      </c>
      <c r="DA163" t="s">
        <v>104</v>
      </c>
      <c r="DD163" t="s">
        <v>93</v>
      </c>
      <c r="DQ163" t="s">
        <v>94</v>
      </c>
      <c r="DR163" t="s">
        <v>94</v>
      </c>
      <c r="DS163" t="s">
        <v>94</v>
      </c>
      <c r="DT163" t="s">
        <v>94</v>
      </c>
      <c r="DU163" t="s">
        <v>94</v>
      </c>
      <c r="DV163" t="s">
        <v>94</v>
      </c>
      <c r="DW163" t="s">
        <v>94</v>
      </c>
      <c r="DX163" s="2" t="s">
        <v>94</v>
      </c>
      <c r="DY163" t="s">
        <v>94</v>
      </c>
      <c r="DZ163" t="s">
        <v>94</v>
      </c>
      <c r="EA163" t="s">
        <v>94</v>
      </c>
      <c r="EB163" t="s">
        <v>94</v>
      </c>
      <c r="EC163" t="s">
        <v>94</v>
      </c>
      <c r="ED163" t="s">
        <v>94</v>
      </c>
      <c r="EE163" t="s">
        <v>89</v>
      </c>
      <c r="EF163" t="s">
        <v>425</v>
      </c>
      <c r="EG163" t="s">
        <v>105</v>
      </c>
      <c r="EJ163" t="s">
        <v>166</v>
      </c>
      <c r="EK163" t="b">
        <v>0</v>
      </c>
      <c r="EL163" t="b">
        <v>0</v>
      </c>
      <c r="EM163" t="b">
        <v>0</v>
      </c>
      <c r="EO163" t="s">
        <v>177</v>
      </c>
      <c r="EP163" t="s">
        <v>2291</v>
      </c>
    </row>
    <row r="164" spans="3:146" ht="15">
      <c r="C164" s="82">
        <v>1231</v>
      </c>
      <c r="D164" s="5"/>
      <c r="E164" s="4">
        <v>1</v>
      </c>
      <c r="F164" s="5">
        <v>2.7</v>
      </c>
      <c r="G164" s="5" t="s">
        <v>2292</v>
      </c>
      <c r="H164" s="4" t="s">
        <v>2293</v>
      </c>
      <c r="I164" s="81" t="s">
        <v>920</v>
      </c>
      <c r="J164" s="21"/>
      <c r="K164" s="22" t="s">
        <v>2244</v>
      </c>
      <c r="L164" s="84" t="s">
        <v>2245</v>
      </c>
      <c r="M164" s="23" t="s">
        <v>905</v>
      </c>
      <c r="N164" s="23">
        <v>43757</v>
      </c>
      <c r="O164" s="24" t="s">
        <v>102</v>
      </c>
      <c r="P164" s="24" t="s">
        <v>179</v>
      </c>
      <c r="Q164" s="24">
        <v>1</v>
      </c>
      <c r="R164" s="24">
        <v>2.7</v>
      </c>
      <c r="S164" t="s">
        <v>319</v>
      </c>
      <c r="T164">
        <v>32</v>
      </c>
      <c r="U164" s="2" t="s">
        <v>163</v>
      </c>
      <c r="V164">
        <v>43757.883483796293</v>
      </c>
      <c r="W164" s="2" t="s">
        <v>444</v>
      </c>
      <c r="X164">
        <v>43759.387395833335</v>
      </c>
      <c r="AB164" t="s">
        <v>9</v>
      </c>
      <c r="AC164" t="s">
        <v>2246</v>
      </c>
      <c r="AD164" t="s">
        <v>209</v>
      </c>
      <c r="AE164">
        <v>42569</v>
      </c>
      <c r="AF164">
        <v>42569</v>
      </c>
      <c r="AG164" t="s">
        <v>183</v>
      </c>
      <c r="AH164" t="s">
        <v>2247</v>
      </c>
      <c r="AI164" t="s">
        <v>2247</v>
      </c>
      <c r="AJ164" t="s">
        <v>795</v>
      </c>
      <c r="AK164" t="s">
        <v>796</v>
      </c>
      <c r="AL164" t="s">
        <v>2248</v>
      </c>
      <c r="AO164" t="s">
        <v>2249</v>
      </c>
      <c r="AP164" t="s">
        <v>2250</v>
      </c>
      <c r="AQ164" t="s">
        <v>2251</v>
      </c>
      <c r="AR164" t="s">
        <v>2294</v>
      </c>
      <c r="AS164">
        <v>966457129</v>
      </c>
      <c r="AT164" t="s">
        <v>2252</v>
      </c>
      <c r="AU164" t="s">
        <v>10</v>
      </c>
      <c r="AV164" t="s">
        <v>2253</v>
      </c>
      <c r="AW164" t="s">
        <v>2253</v>
      </c>
      <c r="AX164" t="s">
        <v>2254</v>
      </c>
      <c r="AY164" s="2" t="s">
        <v>2255</v>
      </c>
      <c r="AZ164" t="s">
        <v>2256</v>
      </c>
      <c r="BA164" t="s">
        <v>2257</v>
      </c>
      <c r="BB164" t="s">
        <v>1576</v>
      </c>
      <c r="BC164" t="s">
        <v>188</v>
      </c>
      <c r="BD164">
        <v>510850</v>
      </c>
      <c r="BE164">
        <v>13538730284</v>
      </c>
      <c r="BF164" t="s">
        <v>2258</v>
      </c>
      <c r="BG164" t="b">
        <v>0</v>
      </c>
      <c r="BH164" s="6" t="s">
        <v>2259</v>
      </c>
      <c r="BI164" t="s">
        <v>2260</v>
      </c>
      <c r="BJ164">
        <v>4453163191</v>
      </c>
      <c r="BK164" t="s">
        <v>162</v>
      </c>
      <c r="BL164" t="s">
        <v>161</v>
      </c>
      <c r="BM164" s="2"/>
      <c r="BO164" t="s">
        <v>89</v>
      </c>
      <c r="BP164">
        <v>4202210090</v>
      </c>
      <c r="BR164" t="s">
        <v>180</v>
      </c>
      <c r="BS164" t="s">
        <v>103</v>
      </c>
      <c r="BU164">
        <v>0</v>
      </c>
      <c r="BV164">
        <v>0</v>
      </c>
      <c r="BW164">
        <v>0</v>
      </c>
      <c r="BX164">
        <v>0</v>
      </c>
      <c r="BY164">
        <v>0</v>
      </c>
      <c r="BZ164">
        <v>0</v>
      </c>
      <c r="CA164">
        <v>0</v>
      </c>
      <c r="CF164" s="2"/>
      <c r="CH164" s="2"/>
      <c r="CJ164" t="s">
        <v>1023</v>
      </c>
      <c r="CK164" t="s">
        <v>2261</v>
      </c>
      <c r="CL164">
        <v>43757.374745370369</v>
      </c>
      <c r="CO164" t="s">
        <v>11</v>
      </c>
      <c r="CP164">
        <v>226.33</v>
      </c>
      <c r="CQ164" t="s">
        <v>11</v>
      </c>
      <c r="CR164">
        <v>226.33</v>
      </c>
      <c r="CV164" t="s">
        <v>190</v>
      </c>
      <c r="CW164" t="s">
        <v>12</v>
      </c>
      <c r="CX164" t="s">
        <v>12</v>
      </c>
      <c r="CY164" t="s">
        <v>12</v>
      </c>
      <c r="DA164" t="s">
        <v>104</v>
      </c>
      <c r="DD164" t="s">
        <v>93</v>
      </c>
      <c r="DQ164" t="s">
        <v>94</v>
      </c>
      <c r="DR164" t="s">
        <v>94</v>
      </c>
      <c r="DS164" t="s">
        <v>94</v>
      </c>
      <c r="DT164" t="s">
        <v>94</v>
      </c>
      <c r="DU164" t="s">
        <v>94</v>
      </c>
      <c r="DV164" t="s">
        <v>94</v>
      </c>
      <c r="DW164" t="s">
        <v>94</v>
      </c>
      <c r="DX164" s="2" t="s">
        <v>94</v>
      </c>
      <c r="DY164" t="s">
        <v>94</v>
      </c>
      <c r="DZ164" t="s">
        <v>94</v>
      </c>
      <c r="EA164" t="s">
        <v>94</v>
      </c>
      <c r="EB164" t="s">
        <v>94</v>
      </c>
      <c r="EC164" t="s">
        <v>94</v>
      </c>
      <c r="ED164" t="s">
        <v>94</v>
      </c>
      <c r="EE164" t="s">
        <v>89</v>
      </c>
      <c r="EF164" t="s">
        <v>425</v>
      </c>
      <c r="EG164" t="s">
        <v>105</v>
      </c>
      <c r="EJ164" t="s">
        <v>166</v>
      </c>
      <c r="EK164" t="b">
        <v>0</v>
      </c>
      <c r="EL164" t="b">
        <v>0</v>
      </c>
      <c r="EM164" t="b">
        <v>0</v>
      </c>
      <c r="EO164" t="s">
        <v>177</v>
      </c>
      <c r="EP164" t="s">
        <v>2295</v>
      </c>
    </row>
    <row r="165" spans="3:146" ht="15">
      <c r="C165" s="82">
        <v>3</v>
      </c>
      <c r="D165" s="5"/>
      <c r="E165" s="4">
        <v>1</v>
      </c>
      <c r="F165" s="5">
        <v>0.19</v>
      </c>
      <c r="G165" s="5" t="s">
        <v>2296</v>
      </c>
      <c r="H165" s="4" t="s">
        <v>2197</v>
      </c>
      <c r="I165" s="81" t="s">
        <v>817</v>
      </c>
      <c r="J165" s="21"/>
      <c r="K165" s="22" t="s">
        <v>2262</v>
      </c>
      <c r="L165" s="84" t="s">
        <v>2156</v>
      </c>
      <c r="M165" s="23" t="s">
        <v>817</v>
      </c>
      <c r="N165" s="23">
        <v>43751</v>
      </c>
      <c r="O165" s="24" t="s">
        <v>102</v>
      </c>
      <c r="P165" s="24" t="s">
        <v>179</v>
      </c>
      <c r="Q165" s="24">
        <v>1</v>
      </c>
      <c r="R165" s="24">
        <v>0.19</v>
      </c>
      <c r="S165" t="s">
        <v>372</v>
      </c>
      <c r="T165">
        <v>21</v>
      </c>
      <c r="U165" s="2" t="s">
        <v>163</v>
      </c>
      <c r="V165">
        <v>43751.865671296298</v>
      </c>
      <c r="W165" s="2" t="s">
        <v>444</v>
      </c>
      <c r="X165">
        <v>43754.45584490741</v>
      </c>
      <c r="AB165" t="s">
        <v>9</v>
      </c>
      <c r="AC165" t="s">
        <v>2263</v>
      </c>
      <c r="AD165" t="s">
        <v>191</v>
      </c>
      <c r="AE165">
        <v>943654</v>
      </c>
      <c r="AF165">
        <v>943654</v>
      </c>
      <c r="AG165" t="s">
        <v>183</v>
      </c>
      <c r="AH165" t="s">
        <v>2264</v>
      </c>
      <c r="AI165" t="s">
        <v>2264</v>
      </c>
      <c r="AJ165" t="s">
        <v>184</v>
      </c>
      <c r="AK165" t="s">
        <v>185</v>
      </c>
      <c r="AL165" t="s">
        <v>2265</v>
      </c>
      <c r="AO165" t="s">
        <v>2266</v>
      </c>
      <c r="AP165" t="s">
        <v>2267</v>
      </c>
      <c r="AQ165" t="s">
        <v>2268</v>
      </c>
      <c r="AR165" t="s">
        <v>2269</v>
      </c>
      <c r="AS165">
        <v>1655884723</v>
      </c>
      <c r="AT165" t="s">
        <v>2270</v>
      </c>
      <c r="AU165" t="s">
        <v>10</v>
      </c>
      <c r="AV165" t="s">
        <v>2271</v>
      </c>
      <c r="AW165" t="s">
        <v>2271</v>
      </c>
      <c r="AX165" t="s">
        <v>2272</v>
      </c>
      <c r="AY165" s="2" t="s">
        <v>2273</v>
      </c>
      <c r="AZ165" t="s">
        <v>2274</v>
      </c>
      <c r="BA165" t="s">
        <v>726</v>
      </c>
      <c r="BB165" t="s">
        <v>192</v>
      </c>
      <c r="BC165" t="s">
        <v>188</v>
      </c>
      <c r="BD165">
        <v>523949</v>
      </c>
      <c r="BE165">
        <v>76933252572</v>
      </c>
      <c r="BF165" t="s">
        <v>2275</v>
      </c>
      <c r="BG165" t="b">
        <v>0</v>
      </c>
      <c r="BH165" s="6" t="s">
        <v>2276</v>
      </c>
      <c r="BI165" t="s">
        <v>2170</v>
      </c>
      <c r="BJ165">
        <v>4453163191</v>
      </c>
      <c r="BK165" t="s">
        <v>162</v>
      </c>
      <c r="BL165" t="s">
        <v>161</v>
      </c>
      <c r="BM165" s="2"/>
      <c r="BO165" t="s">
        <v>89</v>
      </c>
      <c r="BP165">
        <v>48191000</v>
      </c>
      <c r="BR165" t="s">
        <v>180</v>
      </c>
      <c r="BS165" t="s">
        <v>103</v>
      </c>
      <c r="BU165">
        <v>0</v>
      </c>
      <c r="BV165">
        <v>0</v>
      </c>
      <c r="BW165">
        <v>0</v>
      </c>
      <c r="BX165">
        <v>0</v>
      </c>
      <c r="BY165">
        <v>0</v>
      </c>
      <c r="BZ165">
        <v>0</v>
      </c>
      <c r="CA165">
        <v>0</v>
      </c>
      <c r="CF165" s="2"/>
      <c r="CH165" s="2"/>
      <c r="CJ165" t="s">
        <v>1023</v>
      </c>
      <c r="CK165" t="s">
        <v>1849</v>
      </c>
      <c r="CL165">
        <v>43751.377314814818</v>
      </c>
      <c r="CO165" t="s">
        <v>11</v>
      </c>
      <c r="CP165">
        <v>185.67</v>
      </c>
      <c r="CQ165" t="s">
        <v>11</v>
      </c>
      <c r="CR165">
        <v>185.67</v>
      </c>
      <c r="CV165" t="s">
        <v>190</v>
      </c>
      <c r="CW165" t="s">
        <v>12</v>
      </c>
      <c r="CX165" t="s">
        <v>12</v>
      </c>
      <c r="CY165" t="s">
        <v>12</v>
      </c>
      <c r="DA165" t="s">
        <v>104</v>
      </c>
      <c r="DD165" t="s">
        <v>93</v>
      </c>
      <c r="DQ165" t="s">
        <v>94</v>
      </c>
      <c r="DR165" t="s">
        <v>94</v>
      </c>
      <c r="DS165" t="s">
        <v>94</v>
      </c>
      <c r="DT165" t="s">
        <v>94</v>
      </c>
      <c r="DU165" t="s">
        <v>94</v>
      </c>
      <c r="DV165" t="s">
        <v>94</v>
      </c>
      <c r="DW165" t="s">
        <v>94</v>
      </c>
      <c r="DX165" s="2" t="s">
        <v>94</v>
      </c>
      <c r="DY165" t="s">
        <v>94</v>
      </c>
      <c r="DZ165" t="s">
        <v>94</v>
      </c>
      <c r="EA165" t="s">
        <v>94</v>
      </c>
      <c r="EB165" t="s">
        <v>94</v>
      </c>
      <c r="EC165" t="s">
        <v>94</v>
      </c>
      <c r="ED165" t="s">
        <v>94</v>
      </c>
      <c r="EE165" t="s">
        <v>89</v>
      </c>
      <c r="EF165" t="s">
        <v>425</v>
      </c>
      <c r="EG165" t="s">
        <v>105</v>
      </c>
      <c r="EJ165" t="s">
        <v>166</v>
      </c>
      <c r="EK165" t="b">
        <v>0</v>
      </c>
      <c r="EL165" t="b">
        <v>0</v>
      </c>
      <c r="EM165" t="b">
        <v>0</v>
      </c>
      <c r="EO165" t="s">
        <v>177</v>
      </c>
      <c r="EP165" t="s">
        <v>2297</v>
      </c>
    </row>
    <row r="166" spans="3:146">
      <c r="C166" s="4">
        <v>3</v>
      </c>
      <c r="D166" s="4"/>
      <c r="E166" s="4">
        <v>1</v>
      </c>
      <c r="F166" s="4">
        <v>14.95</v>
      </c>
      <c r="G166" s="5" t="s">
        <v>2296</v>
      </c>
      <c r="H166" s="4" t="s">
        <v>2298</v>
      </c>
      <c r="I166" s="4" t="s">
        <v>817</v>
      </c>
      <c r="J166" s="5"/>
      <c r="K166" s="22" t="s">
        <v>2277</v>
      </c>
      <c r="L166" s="84" t="s">
        <v>2156</v>
      </c>
      <c r="M166" s="23" t="s">
        <v>817</v>
      </c>
      <c r="N166" s="23">
        <v>43751</v>
      </c>
      <c r="O166" s="24" t="s">
        <v>102</v>
      </c>
      <c r="P166" s="24" t="s">
        <v>181</v>
      </c>
      <c r="Q166" s="24">
        <v>1</v>
      </c>
      <c r="R166" s="24">
        <v>14.95</v>
      </c>
      <c r="S166" t="s">
        <v>319</v>
      </c>
      <c r="T166">
        <v>85</v>
      </c>
      <c r="U166" s="2" t="s">
        <v>163</v>
      </c>
      <c r="V166">
        <v>43751.865856481483</v>
      </c>
      <c r="W166" s="2" t="s">
        <v>444</v>
      </c>
      <c r="X166">
        <v>43754.45584490741</v>
      </c>
      <c r="AB166" t="s">
        <v>9</v>
      </c>
      <c r="AC166" t="s">
        <v>991</v>
      </c>
      <c r="AD166" t="s">
        <v>191</v>
      </c>
      <c r="AE166">
        <v>21840451</v>
      </c>
      <c r="AF166">
        <v>21840451</v>
      </c>
      <c r="AG166" t="s">
        <v>183</v>
      </c>
      <c r="AH166" t="s">
        <v>2278</v>
      </c>
      <c r="AI166" t="s">
        <v>2278</v>
      </c>
      <c r="AJ166" t="s">
        <v>369</v>
      </c>
      <c r="AK166" t="s">
        <v>370</v>
      </c>
      <c r="AL166" t="s">
        <v>2279</v>
      </c>
      <c r="AO166" t="s">
        <v>2280</v>
      </c>
      <c r="AP166" t="s">
        <v>995</v>
      </c>
      <c r="AQ166" t="s">
        <v>996</v>
      </c>
      <c r="AR166" t="s">
        <v>2299</v>
      </c>
      <c r="AS166">
        <v>296488818</v>
      </c>
      <c r="AT166" t="s">
        <v>2281</v>
      </c>
      <c r="AU166" t="s">
        <v>10</v>
      </c>
      <c r="AV166" t="s">
        <v>2282</v>
      </c>
      <c r="AW166" t="s">
        <v>2282</v>
      </c>
      <c r="AX166" t="s">
        <v>2283</v>
      </c>
      <c r="AY166" t="s">
        <v>2284</v>
      </c>
      <c r="AZ166" t="s">
        <v>2285</v>
      </c>
      <c r="BA166" t="s">
        <v>726</v>
      </c>
      <c r="BB166" t="s">
        <v>192</v>
      </c>
      <c r="BC166" t="s">
        <v>188</v>
      </c>
      <c r="BD166">
        <v>523001</v>
      </c>
      <c r="BE166">
        <v>15920200317</v>
      </c>
      <c r="BF166" t="s">
        <v>2286</v>
      </c>
      <c r="BG166" t="b">
        <v>0</v>
      </c>
      <c r="BH166" s="6" t="s">
        <v>2287</v>
      </c>
      <c r="BI166" t="s">
        <v>2288</v>
      </c>
      <c r="BJ166">
        <v>4453163191</v>
      </c>
      <c r="BK166" t="s">
        <v>162</v>
      </c>
      <c r="BL166" t="s">
        <v>161</v>
      </c>
      <c r="BM166" s="2"/>
      <c r="BO166" t="s">
        <v>89</v>
      </c>
      <c r="BP166">
        <v>3926909090</v>
      </c>
      <c r="BR166" t="s">
        <v>180</v>
      </c>
      <c r="BS166" t="s">
        <v>103</v>
      </c>
      <c r="BU166">
        <v>54.46</v>
      </c>
      <c r="BV166">
        <v>85.23</v>
      </c>
      <c r="BW166">
        <v>0</v>
      </c>
      <c r="BX166">
        <v>0</v>
      </c>
      <c r="BY166">
        <v>0</v>
      </c>
      <c r="BZ166">
        <v>0</v>
      </c>
      <c r="CA166">
        <v>139.69</v>
      </c>
      <c r="CF166" s="2"/>
      <c r="CH166" s="2"/>
      <c r="CJ166" t="s">
        <v>1023</v>
      </c>
      <c r="CK166" t="s">
        <v>1849</v>
      </c>
      <c r="CL166">
        <v>43751.377581018518</v>
      </c>
      <c r="CO166" t="s">
        <v>11</v>
      </c>
      <c r="CP166">
        <v>601.19000000000005</v>
      </c>
      <c r="CQ166" t="s">
        <v>11</v>
      </c>
      <c r="CR166">
        <v>601.19000000000005</v>
      </c>
      <c r="CV166" t="s">
        <v>190</v>
      </c>
      <c r="CW166" t="s">
        <v>12</v>
      </c>
      <c r="CX166" t="s">
        <v>12</v>
      </c>
      <c r="CY166" t="s">
        <v>12</v>
      </c>
      <c r="DA166" t="s">
        <v>104</v>
      </c>
      <c r="DD166" t="s">
        <v>93</v>
      </c>
      <c r="DQ166" t="s">
        <v>94</v>
      </c>
      <c r="DR166" t="s">
        <v>94</v>
      </c>
      <c r="DS166" t="s">
        <v>94</v>
      </c>
      <c r="DT166" t="s">
        <v>94</v>
      </c>
      <c r="DU166" t="s">
        <v>94</v>
      </c>
      <c r="DV166" t="s">
        <v>94</v>
      </c>
      <c r="DW166" t="s">
        <v>94</v>
      </c>
      <c r="DX166" s="2" t="s">
        <v>94</v>
      </c>
      <c r="DY166" t="s">
        <v>94</v>
      </c>
      <c r="DZ166" t="s">
        <v>94</v>
      </c>
      <c r="EA166" t="s">
        <v>94</v>
      </c>
      <c r="EB166" t="s">
        <v>94</v>
      </c>
      <c r="EC166" t="s">
        <v>94</v>
      </c>
      <c r="ED166" t="s">
        <v>94</v>
      </c>
      <c r="EE166" t="s">
        <v>89</v>
      </c>
      <c r="EF166" t="s">
        <v>425</v>
      </c>
      <c r="EG166" t="s">
        <v>105</v>
      </c>
      <c r="EJ166" t="s">
        <v>166</v>
      </c>
      <c r="EK166" t="b">
        <v>0</v>
      </c>
      <c r="EL166" t="b">
        <v>0</v>
      </c>
      <c r="EM166" t="b">
        <v>0</v>
      </c>
      <c r="EO166" t="s">
        <v>177</v>
      </c>
      <c r="EP166" t="s">
        <v>2297</v>
      </c>
    </row>
    <row r="167" spans="3:146" ht="15">
      <c r="C167" s="82">
        <v>0</v>
      </c>
      <c r="D167" s="5"/>
      <c r="E167" s="4">
        <v>1</v>
      </c>
      <c r="F167" s="5">
        <v>0.95</v>
      </c>
      <c r="G167" s="5" t="s">
        <v>2339</v>
      </c>
      <c r="H167" s="4" t="s">
        <v>2340</v>
      </c>
      <c r="I167" s="81" t="s">
        <v>920</v>
      </c>
      <c r="J167" s="21"/>
      <c r="K167" s="22" t="s">
        <v>2300</v>
      </c>
      <c r="L167" s="84" t="s">
        <v>2070</v>
      </c>
      <c r="M167" s="23" t="s">
        <v>905</v>
      </c>
      <c r="N167" s="23">
        <v>43749</v>
      </c>
      <c r="O167" s="24" t="s">
        <v>102</v>
      </c>
      <c r="P167" s="24" t="s">
        <v>480</v>
      </c>
      <c r="Q167" s="24">
        <v>1</v>
      </c>
      <c r="R167" s="24">
        <v>0.95</v>
      </c>
      <c r="S167" t="s">
        <v>319</v>
      </c>
      <c r="T167">
        <v>6</v>
      </c>
      <c r="U167" s="2"/>
      <c r="W167" s="2"/>
      <c r="AB167" t="s">
        <v>9</v>
      </c>
      <c r="AC167" t="s">
        <v>2301</v>
      </c>
      <c r="AD167" t="s">
        <v>249</v>
      </c>
      <c r="AE167">
        <v>22676</v>
      </c>
      <c r="AF167">
        <v>22676</v>
      </c>
      <c r="AG167" t="s">
        <v>183</v>
      </c>
      <c r="AH167" t="s">
        <v>2302</v>
      </c>
      <c r="AI167" t="s">
        <v>2302</v>
      </c>
      <c r="AJ167" t="s">
        <v>211</v>
      </c>
      <c r="AK167" t="s">
        <v>212</v>
      </c>
      <c r="AL167" t="s">
        <v>2303</v>
      </c>
      <c r="AM167" t="s">
        <v>2304</v>
      </c>
      <c r="AO167" t="s">
        <v>2305</v>
      </c>
      <c r="AP167" t="s">
        <v>2306</v>
      </c>
      <c r="AQ167" t="s">
        <v>2307</v>
      </c>
      <c r="AR167">
        <v>400063</v>
      </c>
      <c r="AS167">
        <v>2242244224</v>
      </c>
      <c r="AU167" t="s">
        <v>10</v>
      </c>
      <c r="AV167" t="s">
        <v>2308</v>
      </c>
      <c r="AW167" t="s">
        <v>2308</v>
      </c>
      <c r="AX167" t="s">
        <v>2309</v>
      </c>
      <c r="AY167" s="2" t="s">
        <v>2310</v>
      </c>
      <c r="AZ167" t="s">
        <v>2311</v>
      </c>
      <c r="BA167" t="s">
        <v>2312</v>
      </c>
      <c r="BB167" t="s">
        <v>2313</v>
      </c>
      <c r="BC167" t="s">
        <v>253</v>
      </c>
      <c r="BD167">
        <v>537000</v>
      </c>
      <c r="BE167" t="s">
        <v>2341</v>
      </c>
      <c r="BF167" t="s">
        <v>2314</v>
      </c>
      <c r="BG167" t="b">
        <v>0</v>
      </c>
      <c r="BH167" s="6" t="s">
        <v>2315</v>
      </c>
      <c r="BI167" t="s">
        <v>2316</v>
      </c>
      <c r="BJ167">
        <v>4453163191</v>
      </c>
      <c r="BK167" t="s">
        <v>162</v>
      </c>
      <c r="BL167" t="s">
        <v>161</v>
      </c>
      <c r="BM167" s="2"/>
      <c r="BR167" t="s">
        <v>180</v>
      </c>
      <c r="BS167" t="s">
        <v>103</v>
      </c>
      <c r="BU167">
        <v>0</v>
      </c>
      <c r="BV167">
        <v>0</v>
      </c>
      <c r="BW167">
        <v>0</v>
      </c>
      <c r="BX167">
        <v>0</v>
      </c>
      <c r="BY167">
        <v>0</v>
      </c>
      <c r="BZ167">
        <v>0</v>
      </c>
      <c r="CA167">
        <v>0</v>
      </c>
      <c r="CF167" s="2"/>
      <c r="CH167" s="2"/>
      <c r="CI167" t="s">
        <v>2317</v>
      </c>
      <c r="CK167" t="s">
        <v>2261</v>
      </c>
      <c r="CL167">
        <v>43749.567384259259</v>
      </c>
      <c r="CO167" t="s">
        <v>11</v>
      </c>
      <c r="CP167">
        <v>42.44</v>
      </c>
      <c r="CQ167" t="s">
        <v>11</v>
      </c>
      <c r="CR167">
        <v>42.44</v>
      </c>
      <c r="CV167" t="s">
        <v>190</v>
      </c>
      <c r="CW167" t="s">
        <v>12</v>
      </c>
      <c r="CX167" t="s">
        <v>12</v>
      </c>
      <c r="CY167" t="s">
        <v>12</v>
      </c>
      <c r="DA167" t="s">
        <v>104</v>
      </c>
      <c r="DD167" t="s">
        <v>93</v>
      </c>
      <c r="DQ167" t="s">
        <v>94</v>
      </c>
      <c r="DR167" t="s">
        <v>94</v>
      </c>
      <c r="DS167" t="s">
        <v>94</v>
      </c>
      <c r="DT167" t="s">
        <v>94</v>
      </c>
      <c r="DU167" t="s">
        <v>94</v>
      </c>
      <c r="DV167" t="s">
        <v>94</v>
      </c>
      <c r="DW167" t="s">
        <v>94</v>
      </c>
      <c r="DX167" s="2" t="s">
        <v>94</v>
      </c>
      <c r="DY167" t="s">
        <v>94</v>
      </c>
      <c r="DZ167" t="s">
        <v>94</v>
      </c>
      <c r="EA167" t="s">
        <v>94</v>
      </c>
      <c r="EB167" t="s">
        <v>94</v>
      </c>
      <c r="EC167" t="s">
        <v>94</v>
      </c>
      <c r="ED167" t="s">
        <v>94</v>
      </c>
      <c r="EE167" t="s">
        <v>89</v>
      </c>
      <c r="EF167" t="s">
        <v>425</v>
      </c>
      <c r="EG167" t="s">
        <v>105</v>
      </c>
      <c r="EJ167" t="s">
        <v>166</v>
      </c>
      <c r="EK167" t="b">
        <v>0</v>
      </c>
      <c r="EL167" t="b">
        <v>0</v>
      </c>
      <c r="EM167" t="b">
        <v>0</v>
      </c>
      <c r="EO167" t="s">
        <v>177</v>
      </c>
      <c r="EP167" t="s">
        <v>2342</v>
      </c>
    </row>
    <row r="168" spans="3:146" ht="15">
      <c r="C168" s="82">
        <v>21</v>
      </c>
      <c r="D168" s="5"/>
      <c r="E168" s="4">
        <v>1</v>
      </c>
      <c r="F168" s="5">
        <v>4.82</v>
      </c>
      <c r="G168" s="5" t="s">
        <v>2343</v>
      </c>
      <c r="H168" s="4" t="s">
        <v>502</v>
      </c>
      <c r="I168" s="81" t="s">
        <v>817</v>
      </c>
      <c r="J168" s="21"/>
      <c r="K168" s="22" t="s">
        <v>2318</v>
      </c>
      <c r="L168" s="84" t="s">
        <v>2319</v>
      </c>
      <c r="M168" s="23" t="s">
        <v>817</v>
      </c>
      <c r="N168" s="23">
        <v>43758</v>
      </c>
      <c r="O168" s="24" t="s">
        <v>102</v>
      </c>
      <c r="P168" s="24" t="s">
        <v>480</v>
      </c>
      <c r="Q168" s="24">
        <v>1</v>
      </c>
      <c r="R168" s="24">
        <v>4.82</v>
      </c>
      <c r="S168" t="s">
        <v>319</v>
      </c>
      <c r="T168">
        <v>20</v>
      </c>
      <c r="U168" s="2"/>
      <c r="W168" s="2"/>
      <c r="AB168" t="s">
        <v>9</v>
      </c>
      <c r="AC168" t="s">
        <v>2320</v>
      </c>
      <c r="AD168" t="s">
        <v>209</v>
      </c>
      <c r="AE168">
        <v>768173</v>
      </c>
      <c r="AF168">
        <v>768173</v>
      </c>
      <c r="AG168" t="s">
        <v>183</v>
      </c>
      <c r="AH168" t="s">
        <v>2321</v>
      </c>
      <c r="AI168" t="s">
        <v>2321</v>
      </c>
      <c r="AJ168" t="s">
        <v>2322</v>
      </c>
      <c r="AK168" t="s">
        <v>2323</v>
      </c>
      <c r="AL168" t="s">
        <v>2324</v>
      </c>
      <c r="AM168" t="s">
        <v>2325</v>
      </c>
      <c r="AN168" t="s">
        <v>2326</v>
      </c>
      <c r="AO168" t="s">
        <v>2327</v>
      </c>
      <c r="AP168" t="s">
        <v>2328</v>
      </c>
      <c r="AQ168" t="s">
        <v>2329</v>
      </c>
      <c r="AR168">
        <v>42100</v>
      </c>
      <c r="AS168">
        <v>3322390800</v>
      </c>
      <c r="AT168" t="s">
        <v>2330</v>
      </c>
      <c r="AU168" t="s">
        <v>10</v>
      </c>
      <c r="AV168" t="s">
        <v>2331</v>
      </c>
      <c r="AW168" t="s">
        <v>2331</v>
      </c>
      <c r="AX168" t="s">
        <v>2332</v>
      </c>
      <c r="AY168" s="2" t="s">
        <v>2333</v>
      </c>
      <c r="AZ168" t="s">
        <v>2334</v>
      </c>
      <c r="BA168" t="s">
        <v>520</v>
      </c>
      <c r="BB168" t="s">
        <v>223</v>
      </c>
      <c r="BC168" t="s">
        <v>188</v>
      </c>
      <c r="BD168">
        <v>510033</v>
      </c>
      <c r="BE168" t="s">
        <v>2335</v>
      </c>
      <c r="BF168" t="s">
        <v>2336</v>
      </c>
      <c r="BG168" t="b">
        <v>0</v>
      </c>
      <c r="BH168" s="6" t="s">
        <v>2337</v>
      </c>
      <c r="BI168" t="s">
        <v>2338</v>
      </c>
      <c r="BJ168">
        <v>4453163191</v>
      </c>
      <c r="BK168" t="s">
        <v>162</v>
      </c>
      <c r="BL168" t="s">
        <v>161</v>
      </c>
      <c r="BM168" s="2"/>
      <c r="BR168" t="s">
        <v>180</v>
      </c>
      <c r="BS168" t="s">
        <v>103</v>
      </c>
      <c r="BU168">
        <v>0</v>
      </c>
      <c r="BV168">
        <v>0</v>
      </c>
      <c r="BW168">
        <v>0</v>
      </c>
      <c r="BX168">
        <v>0</v>
      </c>
      <c r="BY168">
        <v>0</v>
      </c>
      <c r="BZ168">
        <v>0</v>
      </c>
      <c r="CA168">
        <v>0</v>
      </c>
      <c r="CF168" s="2"/>
      <c r="CH168" s="2"/>
      <c r="CK168" t="s">
        <v>500</v>
      </c>
      <c r="CL168">
        <v>43758.377557870372</v>
      </c>
      <c r="CO168" t="s">
        <v>11</v>
      </c>
      <c r="CP168">
        <v>141.46</v>
      </c>
      <c r="CQ168" t="s">
        <v>11</v>
      </c>
      <c r="CR168">
        <v>141.46</v>
      </c>
      <c r="CV168" t="s">
        <v>190</v>
      </c>
      <c r="CW168" t="s">
        <v>12</v>
      </c>
      <c r="CX168" t="s">
        <v>12</v>
      </c>
      <c r="CY168" t="s">
        <v>12</v>
      </c>
      <c r="DA168" t="s">
        <v>104</v>
      </c>
      <c r="DD168" t="s">
        <v>93</v>
      </c>
      <c r="DQ168" t="s">
        <v>94</v>
      </c>
      <c r="DR168" t="s">
        <v>94</v>
      </c>
      <c r="DS168" t="s">
        <v>94</v>
      </c>
      <c r="DT168" t="s">
        <v>94</v>
      </c>
      <c r="DU168" t="s">
        <v>94</v>
      </c>
      <c r="DV168" t="s">
        <v>94</v>
      </c>
      <c r="DW168" t="s">
        <v>94</v>
      </c>
      <c r="DX168" s="2" t="s">
        <v>94</v>
      </c>
      <c r="DY168" t="s">
        <v>94</v>
      </c>
      <c r="DZ168" t="s">
        <v>94</v>
      </c>
      <c r="EA168" t="s">
        <v>94</v>
      </c>
      <c r="EB168" t="s">
        <v>94</v>
      </c>
      <c r="EC168" t="s">
        <v>94</v>
      </c>
      <c r="ED168" t="s">
        <v>94</v>
      </c>
      <c r="EE168" t="s">
        <v>89</v>
      </c>
      <c r="EF168" t="s">
        <v>425</v>
      </c>
      <c r="EG168" t="s">
        <v>105</v>
      </c>
      <c r="EJ168" t="s">
        <v>166</v>
      </c>
      <c r="EK168" t="b">
        <v>0</v>
      </c>
      <c r="EL168" t="b">
        <v>0</v>
      </c>
      <c r="EM168" t="b">
        <v>0</v>
      </c>
      <c r="EO168" t="s">
        <v>177</v>
      </c>
      <c r="EP168" t="s">
        <v>2344</v>
      </c>
    </row>
    <row r="169" spans="3:146" ht="15">
      <c r="C169" s="82">
        <v>42</v>
      </c>
      <c r="D169" s="5"/>
      <c r="E169" s="4">
        <v>1</v>
      </c>
      <c r="F169" s="5">
        <v>0.1</v>
      </c>
      <c r="G169" s="5" t="s">
        <v>2384</v>
      </c>
      <c r="H169" s="4" t="s">
        <v>2385</v>
      </c>
      <c r="I169" s="81" t="s">
        <v>920</v>
      </c>
      <c r="J169" s="21"/>
      <c r="K169" s="22" t="s">
        <v>2345</v>
      </c>
      <c r="L169" s="84" t="s">
        <v>2245</v>
      </c>
      <c r="M169" s="23" t="s">
        <v>905</v>
      </c>
      <c r="N169" s="23">
        <v>43757</v>
      </c>
      <c r="O169" s="24" t="s">
        <v>102</v>
      </c>
      <c r="P169" s="24" t="s">
        <v>179</v>
      </c>
      <c r="Q169" s="24">
        <v>1</v>
      </c>
      <c r="R169" s="24">
        <v>0.1</v>
      </c>
      <c r="S169" t="s">
        <v>528</v>
      </c>
      <c r="T169">
        <v>18</v>
      </c>
      <c r="U169" s="2" t="s">
        <v>163</v>
      </c>
      <c r="V169">
        <v>43757.883460648147</v>
      </c>
      <c r="W169" s="2" t="s">
        <v>444</v>
      </c>
      <c r="X169">
        <v>43759.387395833335</v>
      </c>
      <c r="AB169" t="s">
        <v>9</v>
      </c>
      <c r="AC169" t="s">
        <v>818</v>
      </c>
      <c r="AD169" t="s">
        <v>241</v>
      </c>
      <c r="AE169">
        <v>3077467</v>
      </c>
      <c r="AF169">
        <v>3077467</v>
      </c>
      <c r="AG169" t="s">
        <v>183</v>
      </c>
      <c r="AH169" t="s">
        <v>2346</v>
      </c>
      <c r="AI169" t="s">
        <v>2346</v>
      </c>
      <c r="AJ169" t="s">
        <v>821</v>
      </c>
      <c r="AK169" t="s">
        <v>822</v>
      </c>
      <c r="AL169" t="s">
        <v>2347</v>
      </c>
      <c r="AM169" t="s">
        <v>2348</v>
      </c>
      <c r="AO169" t="s">
        <v>2349</v>
      </c>
      <c r="AP169" t="s">
        <v>825</v>
      </c>
      <c r="AR169">
        <v>4300</v>
      </c>
      <c r="AS169">
        <v>-3219329108</v>
      </c>
      <c r="AT169" t="s">
        <v>2350</v>
      </c>
      <c r="AU169" t="s">
        <v>10</v>
      </c>
      <c r="AV169" t="s">
        <v>2351</v>
      </c>
      <c r="AW169" t="s">
        <v>2351</v>
      </c>
      <c r="AX169" t="s">
        <v>2352</v>
      </c>
      <c r="AY169" s="2" t="s">
        <v>2353</v>
      </c>
      <c r="BA169" t="s">
        <v>2354</v>
      </c>
      <c r="BB169" t="s">
        <v>2355</v>
      </c>
      <c r="BC169" t="s">
        <v>188</v>
      </c>
      <c r="BD169">
        <v>517000</v>
      </c>
      <c r="BE169">
        <v>-867629972290</v>
      </c>
      <c r="BF169" t="s">
        <v>2356</v>
      </c>
      <c r="BG169" t="b">
        <v>0</v>
      </c>
      <c r="BH169" s="6" t="s">
        <v>2357</v>
      </c>
      <c r="BI169" t="s">
        <v>2358</v>
      </c>
      <c r="BJ169">
        <v>4453163191</v>
      </c>
      <c r="BK169" t="s">
        <v>162</v>
      </c>
      <c r="BL169" t="s">
        <v>161</v>
      </c>
      <c r="BM169" s="2"/>
      <c r="BO169" t="s">
        <v>89</v>
      </c>
      <c r="BP169">
        <v>65050099</v>
      </c>
      <c r="BR169" t="s">
        <v>189</v>
      </c>
      <c r="BS169" t="s">
        <v>103</v>
      </c>
      <c r="BU169">
        <v>0</v>
      </c>
      <c r="BV169">
        <v>0</v>
      </c>
      <c r="BW169">
        <v>0</v>
      </c>
      <c r="BX169">
        <v>0</v>
      </c>
      <c r="BY169">
        <v>0</v>
      </c>
      <c r="BZ169">
        <v>0</v>
      </c>
      <c r="CA169">
        <v>0</v>
      </c>
      <c r="CF169" s="2"/>
      <c r="CH169" s="2"/>
      <c r="CJ169">
        <v>5.3142019950150502E+17</v>
      </c>
      <c r="CK169" t="s">
        <v>2261</v>
      </c>
      <c r="CL169">
        <v>43757.374236111114</v>
      </c>
      <c r="CO169" t="s">
        <v>11</v>
      </c>
      <c r="CP169">
        <v>140.96</v>
      </c>
      <c r="CQ169" t="s">
        <v>11</v>
      </c>
      <c r="CR169">
        <v>140.96</v>
      </c>
      <c r="CV169" t="s">
        <v>190</v>
      </c>
      <c r="CW169" t="s">
        <v>12</v>
      </c>
      <c r="CX169" t="s">
        <v>12</v>
      </c>
      <c r="CY169" t="s">
        <v>12</v>
      </c>
      <c r="DA169" t="s">
        <v>104</v>
      </c>
      <c r="DD169" t="s">
        <v>93</v>
      </c>
      <c r="DQ169" t="s">
        <v>94</v>
      </c>
      <c r="DR169" t="s">
        <v>94</v>
      </c>
      <c r="DS169" t="s">
        <v>94</v>
      </c>
      <c r="DT169" t="s">
        <v>94</v>
      </c>
      <c r="DU169" t="s">
        <v>94</v>
      </c>
      <c r="DV169" t="s">
        <v>94</v>
      </c>
      <c r="DW169" t="s">
        <v>94</v>
      </c>
      <c r="DX169" s="2" t="s">
        <v>94</v>
      </c>
      <c r="DY169" t="s">
        <v>94</v>
      </c>
      <c r="DZ169" t="s">
        <v>94</v>
      </c>
      <c r="EA169" t="s">
        <v>94</v>
      </c>
      <c r="EB169" t="s">
        <v>94</v>
      </c>
      <c r="EC169" t="s">
        <v>94</v>
      </c>
      <c r="ED169" t="s">
        <v>94</v>
      </c>
      <c r="EE169" t="s">
        <v>89</v>
      </c>
      <c r="EF169" t="s">
        <v>425</v>
      </c>
      <c r="EG169" t="s">
        <v>105</v>
      </c>
      <c r="EJ169" t="s">
        <v>166</v>
      </c>
      <c r="EK169" t="b">
        <v>0</v>
      </c>
      <c r="EL169" t="b">
        <v>0</v>
      </c>
      <c r="EM169" t="b">
        <v>0</v>
      </c>
      <c r="EO169" t="s">
        <v>177</v>
      </c>
      <c r="EP169" t="s">
        <v>2386</v>
      </c>
    </row>
    <row r="170" spans="3:146" ht="15">
      <c r="C170" s="82">
        <v>4242</v>
      </c>
      <c r="D170" s="5"/>
      <c r="E170" s="4">
        <v>1</v>
      </c>
      <c r="F170" s="5">
        <v>0.15</v>
      </c>
      <c r="G170" s="5" t="s">
        <v>2387</v>
      </c>
      <c r="H170" s="4" t="s">
        <v>2388</v>
      </c>
      <c r="I170" s="81" t="s">
        <v>817</v>
      </c>
      <c r="J170" s="21"/>
      <c r="K170" s="22" t="s">
        <v>2359</v>
      </c>
      <c r="L170" s="84" t="s">
        <v>2319</v>
      </c>
      <c r="M170" s="23" t="s">
        <v>817</v>
      </c>
      <c r="N170" s="23">
        <v>43758</v>
      </c>
      <c r="O170" s="24" t="s">
        <v>102</v>
      </c>
      <c r="P170" s="24" t="s">
        <v>179</v>
      </c>
      <c r="Q170" s="24">
        <v>1</v>
      </c>
      <c r="R170" s="24">
        <v>0.15</v>
      </c>
      <c r="S170" t="s">
        <v>528</v>
      </c>
      <c r="T170">
        <v>15</v>
      </c>
      <c r="U170" s="2" t="s">
        <v>163</v>
      </c>
      <c r="V170">
        <v>43758.845590277779</v>
      </c>
      <c r="W170" s="2" t="s">
        <v>444</v>
      </c>
      <c r="X170">
        <v>43760.438611111109</v>
      </c>
      <c r="AB170" t="s">
        <v>9</v>
      </c>
      <c r="AC170" t="s">
        <v>2360</v>
      </c>
      <c r="AD170" t="s">
        <v>182</v>
      </c>
      <c r="AE170">
        <v>24813</v>
      </c>
      <c r="AF170">
        <v>24813</v>
      </c>
      <c r="AH170" t="s">
        <v>2361</v>
      </c>
      <c r="AI170" t="s">
        <v>2361</v>
      </c>
      <c r="AJ170" t="s">
        <v>1214</v>
      </c>
      <c r="AK170" t="s">
        <v>1215</v>
      </c>
      <c r="AL170" t="s">
        <v>2362</v>
      </c>
      <c r="AO170" t="s">
        <v>2363</v>
      </c>
      <c r="AP170" t="s">
        <v>2364</v>
      </c>
      <c r="AQ170" t="s">
        <v>2365</v>
      </c>
      <c r="AR170">
        <v>8835</v>
      </c>
      <c r="AS170">
        <v>554623521</v>
      </c>
      <c r="AT170" t="s">
        <v>2366</v>
      </c>
      <c r="AU170" t="s">
        <v>10</v>
      </c>
      <c r="AV170" t="s">
        <v>2367</v>
      </c>
      <c r="AW170" t="s">
        <v>2367</v>
      </c>
      <c r="AX170" t="s">
        <v>2368</v>
      </c>
      <c r="AY170" s="2" t="s">
        <v>2369</v>
      </c>
      <c r="BA170" t="s">
        <v>194</v>
      </c>
      <c r="BB170" t="s">
        <v>187</v>
      </c>
      <c r="BC170" t="s">
        <v>188</v>
      </c>
      <c r="BD170">
        <v>518110</v>
      </c>
      <c r="BE170">
        <v>8613612239371</v>
      </c>
      <c r="BF170" t="s">
        <v>2370</v>
      </c>
      <c r="BG170" t="b">
        <v>0</v>
      </c>
      <c r="BH170" s="6" t="s">
        <v>2371</v>
      </c>
      <c r="BI170" t="s">
        <v>2372</v>
      </c>
      <c r="BJ170">
        <v>4453163191</v>
      </c>
      <c r="BK170" t="s">
        <v>162</v>
      </c>
      <c r="BL170" t="s">
        <v>161</v>
      </c>
      <c r="BM170" s="2"/>
      <c r="BO170" t="s">
        <v>89</v>
      </c>
      <c r="BP170">
        <v>3921909090</v>
      </c>
      <c r="BR170" t="s">
        <v>180</v>
      </c>
      <c r="BS170" t="s">
        <v>103</v>
      </c>
      <c r="BU170">
        <v>0</v>
      </c>
      <c r="BV170">
        <v>0</v>
      </c>
      <c r="BW170">
        <v>0</v>
      </c>
      <c r="BX170">
        <v>0</v>
      </c>
      <c r="BY170">
        <v>0</v>
      </c>
      <c r="BZ170">
        <v>0</v>
      </c>
      <c r="CA170">
        <v>0</v>
      </c>
      <c r="CF170" s="2"/>
      <c r="CH170" s="2"/>
      <c r="CJ170">
        <v>5.3142019950150701E+17</v>
      </c>
      <c r="CK170" t="s">
        <v>500</v>
      </c>
      <c r="CL170">
        <v>43758.377569444441</v>
      </c>
      <c r="CO170" t="s">
        <v>11</v>
      </c>
      <c r="CP170">
        <v>117.47</v>
      </c>
      <c r="CQ170" t="s">
        <v>11</v>
      </c>
      <c r="CR170">
        <v>117.47</v>
      </c>
      <c r="CV170" t="s">
        <v>190</v>
      </c>
      <c r="CW170" t="s">
        <v>12</v>
      </c>
      <c r="CX170" t="s">
        <v>12</v>
      </c>
      <c r="CY170" t="s">
        <v>12</v>
      </c>
      <c r="DA170" t="s">
        <v>104</v>
      </c>
      <c r="DD170" t="s">
        <v>93</v>
      </c>
      <c r="DQ170" t="s">
        <v>94</v>
      </c>
      <c r="DR170" t="s">
        <v>94</v>
      </c>
      <c r="DS170" t="s">
        <v>94</v>
      </c>
      <c r="DT170" t="s">
        <v>94</v>
      </c>
      <c r="DU170" t="s">
        <v>94</v>
      </c>
      <c r="DV170" t="s">
        <v>94</v>
      </c>
      <c r="DW170" t="s">
        <v>94</v>
      </c>
      <c r="DX170" s="2" t="s">
        <v>94</v>
      </c>
      <c r="DY170" t="s">
        <v>94</v>
      </c>
      <c r="DZ170" t="s">
        <v>94</v>
      </c>
      <c r="EA170" t="s">
        <v>94</v>
      </c>
      <c r="EB170" t="s">
        <v>94</v>
      </c>
      <c r="EC170" t="s">
        <v>94</v>
      </c>
      <c r="ED170" t="s">
        <v>94</v>
      </c>
      <c r="EE170" t="s">
        <v>89</v>
      </c>
      <c r="EF170" t="s">
        <v>425</v>
      </c>
      <c r="EG170" t="s">
        <v>105</v>
      </c>
      <c r="EJ170" t="s">
        <v>166</v>
      </c>
      <c r="EK170" t="b">
        <v>0</v>
      </c>
      <c r="EL170" t="b">
        <v>0</v>
      </c>
      <c r="EM170" t="b">
        <v>0</v>
      </c>
      <c r="EO170" t="s">
        <v>177</v>
      </c>
      <c r="EP170" t="s">
        <v>2389</v>
      </c>
    </row>
    <row r="171" spans="3:146" ht="15">
      <c r="C171" s="82">
        <v>424</v>
      </c>
      <c r="D171" s="5"/>
      <c r="E171" s="4">
        <v>1</v>
      </c>
      <c r="F171" s="5">
        <v>0.16</v>
      </c>
      <c r="G171" s="5" t="s">
        <v>2390</v>
      </c>
      <c r="H171" s="4" t="s">
        <v>2391</v>
      </c>
      <c r="I171" s="81" t="s">
        <v>164</v>
      </c>
      <c r="J171" s="21"/>
      <c r="K171" s="22" t="s">
        <v>2373</v>
      </c>
      <c r="L171" s="84" t="s">
        <v>2229</v>
      </c>
      <c r="M171" s="23" t="s">
        <v>164</v>
      </c>
      <c r="N171" s="23">
        <v>43754</v>
      </c>
      <c r="O171" s="24" t="s">
        <v>102</v>
      </c>
      <c r="P171" s="24" t="s">
        <v>179</v>
      </c>
      <c r="Q171" s="24">
        <v>1</v>
      </c>
      <c r="R171" s="24">
        <v>0.16</v>
      </c>
      <c r="S171" t="s">
        <v>528</v>
      </c>
      <c r="T171">
        <v>20</v>
      </c>
      <c r="U171" s="2" t="s">
        <v>163</v>
      </c>
      <c r="V171">
        <v>43754.866388888891</v>
      </c>
      <c r="W171" s="2" t="s">
        <v>444</v>
      </c>
      <c r="X171">
        <v>43756.424027777779</v>
      </c>
      <c r="AB171" t="s">
        <v>9</v>
      </c>
      <c r="AC171" t="s">
        <v>1566</v>
      </c>
      <c r="AD171" t="s">
        <v>191</v>
      </c>
      <c r="AE171">
        <v>1072119</v>
      </c>
      <c r="AF171">
        <v>1072119</v>
      </c>
      <c r="AG171" t="s">
        <v>183</v>
      </c>
      <c r="AH171" t="s">
        <v>2374</v>
      </c>
      <c r="AI171" t="s">
        <v>2374</v>
      </c>
      <c r="AJ171" t="s">
        <v>601</v>
      </c>
      <c r="AK171" t="s">
        <v>602</v>
      </c>
      <c r="AL171" t="s">
        <v>2375</v>
      </c>
      <c r="AO171" t="s">
        <v>2376</v>
      </c>
      <c r="AP171" t="s">
        <v>1570</v>
      </c>
      <c r="AQ171" t="s">
        <v>2376</v>
      </c>
      <c r="AR171">
        <v>63100</v>
      </c>
      <c r="AS171">
        <v>0</v>
      </c>
      <c r="AT171" t="s">
        <v>2377</v>
      </c>
      <c r="AU171" t="s">
        <v>10</v>
      </c>
      <c r="AV171" t="s">
        <v>2378</v>
      </c>
      <c r="AW171" t="s">
        <v>2378</v>
      </c>
      <c r="AX171" t="s">
        <v>2379</v>
      </c>
      <c r="AY171" s="2" t="s">
        <v>2380</v>
      </c>
      <c r="BA171" t="s">
        <v>371</v>
      </c>
      <c r="BB171" t="s">
        <v>192</v>
      </c>
      <c r="BC171" t="s">
        <v>371</v>
      </c>
      <c r="BD171">
        <v>523719</v>
      </c>
      <c r="BE171">
        <v>76986858888</v>
      </c>
      <c r="BF171" t="s">
        <v>2381</v>
      </c>
      <c r="BG171" t="b">
        <v>0</v>
      </c>
      <c r="BH171" s="6" t="s">
        <v>2382</v>
      </c>
      <c r="BI171" t="s">
        <v>2383</v>
      </c>
      <c r="BJ171">
        <v>4453163191</v>
      </c>
      <c r="BK171" t="s">
        <v>162</v>
      </c>
      <c r="BL171" t="s">
        <v>161</v>
      </c>
      <c r="BM171" s="2"/>
      <c r="BO171" t="s">
        <v>89</v>
      </c>
      <c r="BP171">
        <v>3921909090</v>
      </c>
      <c r="BR171" t="s">
        <v>180</v>
      </c>
      <c r="BS171" t="s">
        <v>103</v>
      </c>
      <c r="BU171">
        <v>0</v>
      </c>
      <c r="BV171">
        <v>0</v>
      </c>
      <c r="BW171">
        <v>0</v>
      </c>
      <c r="BX171">
        <v>0</v>
      </c>
      <c r="BY171">
        <v>0</v>
      </c>
      <c r="BZ171">
        <v>0</v>
      </c>
      <c r="CA171">
        <v>0</v>
      </c>
      <c r="CF171" s="2"/>
      <c r="CH171" s="2"/>
      <c r="CJ171">
        <v>5.3142019950148E+17</v>
      </c>
      <c r="CK171" t="s">
        <v>1509</v>
      </c>
      <c r="CL171">
        <v>43754.375185185185</v>
      </c>
      <c r="CO171" t="s">
        <v>11</v>
      </c>
      <c r="CP171">
        <v>156.62</v>
      </c>
      <c r="CQ171" t="s">
        <v>11</v>
      </c>
      <c r="CR171">
        <v>156.62</v>
      </c>
      <c r="CV171" t="s">
        <v>190</v>
      </c>
      <c r="CW171" t="s">
        <v>12</v>
      </c>
      <c r="CX171" t="s">
        <v>12</v>
      </c>
      <c r="CY171" t="s">
        <v>12</v>
      </c>
      <c r="DA171" t="s">
        <v>104</v>
      </c>
      <c r="DD171" t="s">
        <v>93</v>
      </c>
      <c r="DQ171" t="s">
        <v>94</v>
      </c>
      <c r="DR171" t="s">
        <v>94</v>
      </c>
      <c r="DS171" t="s">
        <v>94</v>
      </c>
      <c r="DT171" t="s">
        <v>94</v>
      </c>
      <c r="DU171" t="s">
        <v>94</v>
      </c>
      <c r="DV171" t="s">
        <v>94</v>
      </c>
      <c r="DW171" t="s">
        <v>94</v>
      </c>
      <c r="DX171" s="2" t="s">
        <v>94</v>
      </c>
      <c r="DY171" t="s">
        <v>94</v>
      </c>
      <c r="DZ171" t="s">
        <v>94</v>
      </c>
      <c r="EA171" t="s">
        <v>94</v>
      </c>
      <c r="EB171" t="s">
        <v>94</v>
      </c>
      <c r="EC171" t="s">
        <v>94</v>
      </c>
      <c r="ED171" t="s">
        <v>94</v>
      </c>
      <c r="EE171" t="s">
        <v>89</v>
      </c>
      <c r="EF171" t="s">
        <v>425</v>
      </c>
      <c r="EG171" t="s">
        <v>105</v>
      </c>
      <c r="EJ171" t="s">
        <v>166</v>
      </c>
      <c r="EK171" t="b">
        <v>0</v>
      </c>
      <c r="EL171" t="b">
        <v>0</v>
      </c>
      <c r="EM171" t="b">
        <v>0</v>
      </c>
      <c r="EO171" t="s">
        <v>177</v>
      </c>
      <c r="EP171" t="s">
        <v>2392</v>
      </c>
    </row>
    <row r="172" spans="3:146" ht="15">
      <c r="C172" s="82">
        <v>3</v>
      </c>
      <c r="D172" s="5"/>
      <c r="E172" s="4">
        <v>1</v>
      </c>
      <c r="F172" s="5">
        <v>11.35</v>
      </c>
      <c r="G172" s="5" t="s">
        <v>2451</v>
      </c>
      <c r="H172" s="4" t="s">
        <v>2452</v>
      </c>
      <c r="I172" s="81" t="s">
        <v>817</v>
      </c>
      <c r="J172" s="21"/>
      <c r="K172" s="22" t="s">
        <v>2414</v>
      </c>
      <c r="L172" s="84" t="s">
        <v>2319</v>
      </c>
      <c r="M172" s="23" t="s">
        <v>817</v>
      </c>
      <c r="N172" s="23">
        <v>43758</v>
      </c>
      <c r="O172" s="24" t="s">
        <v>102</v>
      </c>
      <c r="P172" s="24" t="s">
        <v>181</v>
      </c>
      <c r="Q172" s="24">
        <v>1</v>
      </c>
      <c r="R172" s="24">
        <v>11.35</v>
      </c>
      <c r="S172" t="s">
        <v>319</v>
      </c>
      <c r="T172">
        <v>320</v>
      </c>
      <c r="U172" s="2" t="s">
        <v>163</v>
      </c>
      <c r="V172">
        <v>43758.845567129632</v>
      </c>
      <c r="W172" s="2" t="s">
        <v>444</v>
      </c>
      <c r="X172">
        <v>43760.438611111109</v>
      </c>
      <c r="AB172" t="s">
        <v>9</v>
      </c>
      <c r="AC172" t="s">
        <v>1531</v>
      </c>
      <c r="AD172" t="s">
        <v>191</v>
      </c>
      <c r="AE172">
        <v>532675</v>
      </c>
      <c r="AF172">
        <v>532675</v>
      </c>
      <c r="AG172" t="s">
        <v>183</v>
      </c>
      <c r="AH172" t="s">
        <v>2415</v>
      </c>
      <c r="AI172" t="s">
        <v>2415</v>
      </c>
      <c r="AJ172" t="s">
        <v>1533</v>
      </c>
      <c r="AK172" t="s">
        <v>1534</v>
      </c>
      <c r="AL172" t="s">
        <v>2416</v>
      </c>
      <c r="AO172" t="s">
        <v>2417</v>
      </c>
      <c r="AP172" t="s">
        <v>1538</v>
      </c>
      <c r="AQ172" t="s">
        <v>2418</v>
      </c>
      <c r="AR172" t="s">
        <v>2453</v>
      </c>
      <c r="AS172">
        <v>9029964712</v>
      </c>
      <c r="AT172" t="s">
        <v>2419</v>
      </c>
      <c r="AU172" t="s">
        <v>10</v>
      </c>
      <c r="AV172" t="s">
        <v>2420</v>
      </c>
      <c r="AW172" t="s">
        <v>2420</v>
      </c>
      <c r="AX172" t="s">
        <v>2421</v>
      </c>
      <c r="AY172" s="2" t="s">
        <v>2422</v>
      </c>
      <c r="AZ172" t="s">
        <v>2423</v>
      </c>
      <c r="BA172" t="s">
        <v>726</v>
      </c>
      <c r="BB172" t="s">
        <v>192</v>
      </c>
      <c r="BC172" t="s">
        <v>188</v>
      </c>
      <c r="BD172">
        <v>523926</v>
      </c>
      <c r="BE172">
        <v>18718925231</v>
      </c>
      <c r="BF172" t="s">
        <v>2424</v>
      </c>
      <c r="BG172" t="b">
        <v>0</v>
      </c>
      <c r="BH172" s="6" t="s">
        <v>2425</v>
      </c>
      <c r="BI172" t="s">
        <v>2426</v>
      </c>
      <c r="BJ172">
        <v>4453163191</v>
      </c>
      <c r="BK172" t="s">
        <v>162</v>
      </c>
      <c r="BL172" t="s">
        <v>161</v>
      </c>
      <c r="BM172" s="2"/>
      <c r="BO172" t="s">
        <v>89</v>
      </c>
      <c r="BP172">
        <v>3824999990</v>
      </c>
      <c r="BR172" t="s">
        <v>180</v>
      </c>
      <c r="BS172" t="s">
        <v>103</v>
      </c>
      <c r="BU172">
        <v>147.11000000000001</v>
      </c>
      <c r="BV172">
        <v>313.35000000000002</v>
      </c>
      <c r="BW172">
        <v>0</v>
      </c>
      <c r="BX172">
        <v>0</v>
      </c>
      <c r="BY172">
        <v>0</v>
      </c>
      <c r="BZ172">
        <v>0</v>
      </c>
      <c r="CA172">
        <v>460.46</v>
      </c>
      <c r="CF172" s="2"/>
      <c r="CH172" s="2"/>
      <c r="CJ172" t="s">
        <v>1023</v>
      </c>
      <c r="CK172" t="s">
        <v>500</v>
      </c>
      <c r="CL172">
        <v>43758.377245370371</v>
      </c>
      <c r="CO172" t="s">
        <v>11</v>
      </c>
      <c r="CP172">
        <v>2263.3000000000002</v>
      </c>
      <c r="CQ172" t="s">
        <v>11</v>
      </c>
      <c r="CR172">
        <v>2263.3000000000002</v>
      </c>
      <c r="CV172" t="s">
        <v>190</v>
      </c>
      <c r="CW172" t="s">
        <v>12</v>
      </c>
      <c r="CX172" t="s">
        <v>12</v>
      </c>
      <c r="CY172" t="s">
        <v>12</v>
      </c>
      <c r="DA172" t="s">
        <v>104</v>
      </c>
      <c r="DD172" t="s">
        <v>93</v>
      </c>
      <c r="DQ172" t="s">
        <v>94</v>
      </c>
      <c r="DR172" t="s">
        <v>94</v>
      </c>
      <c r="DS172" t="s">
        <v>94</v>
      </c>
      <c r="DT172" t="s">
        <v>94</v>
      </c>
      <c r="DU172" t="s">
        <v>94</v>
      </c>
      <c r="DV172" t="s">
        <v>94</v>
      </c>
      <c r="DW172" t="s">
        <v>94</v>
      </c>
      <c r="DX172" s="2" t="s">
        <v>94</v>
      </c>
      <c r="DY172" t="s">
        <v>94</v>
      </c>
      <c r="DZ172" t="s">
        <v>94</v>
      </c>
      <c r="EA172" t="s">
        <v>94</v>
      </c>
      <c r="EB172" t="s">
        <v>94</v>
      </c>
      <c r="EC172" t="s">
        <v>94</v>
      </c>
      <c r="ED172" t="s">
        <v>94</v>
      </c>
      <c r="EE172" t="s">
        <v>89</v>
      </c>
      <c r="EF172" t="s">
        <v>425</v>
      </c>
      <c r="EG172" t="s">
        <v>105</v>
      </c>
      <c r="EJ172" t="s">
        <v>166</v>
      </c>
      <c r="EK172" t="b">
        <v>0</v>
      </c>
      <c r="EL172" t="b">
        <v>0</v>
      </c>
      <c r="EM172" t="b">
        <v>0</v>
      </c>
      <c r="EO172" t="s">
        <v>177</v>
      </c>
      <c r="EP172" t="s">
        <v>2454</v>
      </c>
    </row>
    <row r="173" spans="3:146">
      <c r="C173" s="4">
        <v>3</v>
      </c>
      <c r="D173" s="4"/>
      <c r="E173" s="4">
        <v>1</v>
      </c>
      <c r="F173" s="4">
        <v>0.75</v>
      </c>
      <c r="G173" s="5" t="s">
        <v>2451</v>
      </c>
      <c r="H173" s="4" t="s">
        <v>2455</v>
      </c>
      <c r="I173" s="4" t="s">
        <v>817</v>
      </c>
      <c r="J173" s="5"/>
      <c r="K173" s="22" t="s">
        <v>2400</v>
      </c>
      <c r="L173" s="84" t="s">
        <v>2319</v>
      </c>
      <c r="M173" s="23" t="s">
        <v>817</v>
      </c>
      <c r="N173" s="23">
        <v>43758</v>
      </c>
      <c r="O173" s="24" t="s">
        <v>102</v>
      </c>
      <c r="P173" s="24" t="s">
        <v>179</v>
      </c>
      <c r="Q173" s="24">
        <v>1</v>
      </c>
      <c r="R173" s="24">
        <v>0.75</v>
      </c>
      <c r="S173" t="s">
        <v>372</v>
      </c>
      <c r="T173">
        <v>29</v>
      </c>
      <c r="U173" s="2" t="s">
        <v>163</v>
      </c>
      <c r="V173">
        <v>43758.845555555556</v>
      </c>
      <c r="W173" s="2" t="s">
        <v>444</v>
      </c>
      <c r="X173">
        <v>43758.845868055556</v>
      </c>
      <c r="AB173" t="s">
        <v>9</v>
      </c>
      <c r="AC173" t="s">
        <v>1309</v>
      </c>
      <c r="AD173" t="s">
        <v>209</v>
      </c>
      <c r="AE173">
        <v>1067405</v>
      </c>
      <c r="AF173">
        <v>1067405</v>
      </c>
      <c r="AG173" t="s">
        <v>183</v>
      </c>
      <c r="AH173" t="s">
        <v>2401</v>
      </c>
      <c r="AI173" t="s">
        <v>2401</v>
      </c>
      <c r="AJ173" t="s">
        <v>184</v>
      </c>
      <c r="AK173" t="s">
        <v>185</v>
      </c>
      <c r="AL173" t="s">
        <v>2402</v>
      </c>
      <c r="AM173" t="s">
        <v>2403</v>
      </c>
      <c r="AO173" t="s">
        <v>2403</v>
      </c>
      <c r="AP173" t="s">
        <v>1314</v>
      </c>
      <c r="AQ173" t="s">
        <v>2404</v>
      </c>
      <c r="AR173" t="s">
        <v>2405</v>
      </c>
      <c r="AS173">
        <v>1952670777</v>
      </c>
      <c r="AT173" t="s">
        <v>2406</v>
      </c>
      <c r="AU173" t="s">
        <v>10</v>
      </c>
      <c r="AV173" t="s">
        <v>2407</v>
      </c>
      <c r="AW173" t="s">
        <v>2407</v>
      </c>
      <c r="AX173" t="s">
        <v>2408</v>
      </c>
      <c r="AY173" t="s">
        <v>2409</v>
      </c>
      <c r="BA173" t="s">
        <v>2410</v>
      </c>
      <c r="BB173" t="s">
        <v>1524</v>
      </c>
      <c r="BC173" t="s">
        <v>188</v>
      </c>
      <c r="BD173">
        <v>529040</v>
      </c>
      <c r="BE173">
        <v>13534755516</v>
      </c>
      <c r="BF173" t="s">
        <v>2411</v>
      </c>
      <c r="BG173" t="b">
        <v>0</v>
      </c>
      <c r="BH173" s="6" t="s">
        <v>2412</v>
      </c>
      <c r="BI173" t="s">
        <v>2413</v>
      </c>
      <c r="BJ173">
        <v>4453163191</v>
      </c>
      <c r="BK173" t="s">
        <v>162</v>
      </c>
      <c r="BL173" t="s">
        <v>161</v>
      </c>
      <c r="BM173" s="2"/>
      <c r="BO173" t="s">
        <v>89</v>
      </c>
      <c r="BP173">
        <v>46021930</v>
      </c>
      <c r="BR173" t="s">
        <v>180</v>
      </c>
      <c r="BS173" t="s">
        <v>103</v>
      </c>
      <c r="BU173">
        <v>0</v>
      </c>
      <c r="BV173">
        <v>0</v>
      </c>
      <c r="BW173">
        <v>0</v>
      </c>
      <c r="BX173">
        <v>0</v>
      </c>
      <c r="BY173">
        <v>0</v>
      </c>
      <c r="BZ173">
        <v>0</v>
      </c>
      <c r="CA173">
        <v>0</v>
      </c>
      <c r="CF173" s="2"/>
      <c r="CH173" s="2"/>
      <c r="CJ173" t="s">
        <v>1023</v>
      </c>
      <c r="CK173" t="s">
        <v>500</v>
      </c>
      <c r="CL173">
        <v>43758.378275462965</v>
      </c>
      <c r="CO173" t="s">
        <v>11</v>
      </c>
      <c r="CP173">
        <v>256.39999999999998</v>
      </c>
      <c r="CQ173" t="s">
        <v>11</v>
      </c>
      <c r="CR173">
        <v>256.39999999999998</v>
      </c>
      <c r="CV173" t="s">
        <v>190</v>
      </c>
      <c r="CW173" t="s">
        <v>12</v>
      </c>
      <c r="CX173" t="s">
        <v>12</v>
      </c>
      <c r="CY173" t="s">
        <v>12</v>
      </c>
      <c r="DA173" t="s">
        <v>104</v>
      </c>
      <c r="DD173" t="s">
        <v>93</v>
      </c>
      <c r="DQ173" t="s">
        <v>94</v>
      </c>
      <c r="DR173" t="s">
        <v>94</v>
      </c>
      <c r="DS173" t="s">
        <v>94</v>
      </c>
      <c r="DT173" t="s">
        <v>94</v>
      </c>
      <c r="DU173" t="s">
        <v>94</v>
      </c>
      <c r="DV173" t="s">
        <v>94</v>
      </c>
      <c r="DW173" t="s">
        <v>94</v>
      </c>
      <c r="DX173" s="2" t="s">
        <v>94</v>
      </c>
      <c r="DY173" t="s">
        <v>94</v>
      </c>
      <c r="DZ173" t="s">
        <v>94</v>
      </c>
      <c r="EA173" t="s">
        <v>94</v>
      </c>
      <c r="EB173" t="s">
        <v>94</v>
      </c>
      <c r="EC173" t="s">
        <v>94</v>
      </c>
      <c r="ED173" t="s">
        <v>94</v>
      </c>
      <c r="EE173" t="s">
        <v>89</v>
      </c>
      <c r="EF173" t="s">
        <v>425</v>
      </c>
      <c r="EG173" t="s">
        <v>105</v>
      </c>
      <c r="EJ173" t="s">
        <v>166</v>
      </c>
      <c r="EK173" t="b">
        <v>0</v>
      </c>
      <c r="EL173" t="b">
        <v>0</v>
      </c>
      <c r="EM173" t="b">
        <v>0</v>
      </c>
      <c r="EO173" t="s">
        <v>177</v>
      </c>
      <c r="EP173" t="s">
        <v>2454</v>
      </c>
    </row>
    <row r="174" spans="3:146" ht="15">
      <c r="C174" s="82">
        <v>113</v>
      </c>
      <c r="D174" s="5">
        <v>18.5</v>
      </c>
      <c r="E174" s="4">
        <v>2</v>
      </c>
      <c r="F174" s="5">
        <v>18.5</v>
      </c>
      <c r="G174" s="5" t="s">
        <v>2456</v>
      </c>
      <c r="H174" s="4" t="s">
        <v>2457</v>
      </c>
      <c r="I174" s="81" t="s">
        <v>817</v>
      </c>
      <c r="J174" s="21"/>
      <c r="K174" s="22" t="s">
        <v>2393</v>
      </c>
      <c r="L174" s="84" t="s">
        <v>2319</v>
      </c>
      <c r="M174" s="23" t="s">
        <v>817</v>
      </c>
      <c r="N174" s="23">
        <v>43758</v>
      </c>
      <c r="O174" s="24" t="s">
        <v>102</v>
      </c>
      <c r="P174" s="24" t="s">
        <v>480</v>
      </c>
      <c r="Q174" s="24">
        <v>2</v>
      </c>
      <c r="R174" s="24">
        <v>5</v>
      </c>
      <c r="S174" t="s">
        <v>319</v>
      </c>
      <c r="T174">
        <v>1360</v>
      </c>
      <c r="U174" s="2"/>
      <c r="W174" s="2"/>
      <c r="AB174" t="s">
        <v>9</v>
      </c>
      <c r="AC174" t="s">
        <v>599</v>
      </c>
      <c r="AD174" t="s">
        <v>182</v>
      </c>
      <c r="AE174">
        <v>487771</v>
      </c>
      <c r="AF174">
        <v>487771</v>
      </c>
      <c r="AG174" t="s">
        <v>183</v>
      </c>
      <c r="AH174" t="s">
        <v>1999</v>
      </c>
      <c r="AI174" t="s">
        <v>1999</v>
      </c>
      <c r="AJ174" t="s">
        <v>601</v>
      </c>
      <c r="AK174" t="s">
        <v>602</v>
      </c>
      <c r="AL174" t="s">
        <v>2000</v>
      </c>
      <c r="AO174" t="s">
        <v>604</v>
      </c>
      <c r="AP174" t="s">
        <v>605</v>
      </c>
      <c r="AQ174" t="s">
        <v>606</v>
      </c>
      <c r="AR174" t="s">
        <v>672</v>
      </c>
      <c r="AS174">
        <v>392459035</v>
      </c>
      <c r="AT174" t="s">
        <v>2001</v>
      </c>
      <c r="AU174" t="s">
        <v>10</v>
      </c>
      <c r="AV174" t="s">
        <v>2394</v>
      </c>
      <c r="AW174" t="s">
        <v>2394</v>
      </c>
      <c r="AX174" t="s">
        <v>2395</v>
      </c>
      <c r="AY174" s="2" t="s">
        <v>2396</v>
      </c>
      <c r="BA174" t="s">
        <v>194</v>
      </c>
      <c r="BB174" t="s">
        <v>187</v>
      </c>
      <c r="BC174" t="s">
        <v>188</v>
      </c>
      <c r="BD174">
        <v>518109</v>
      </c>
      <c r="BE174">
        <v>8613128859716</v>
      </c>
      <c r="BF174" t="s">
        <v>2397</v>
      </c>
      <c r="BG174" t="b">
        <v>0</v>
      </c>
      <c r="BH174" s="6" t="s">
        <v>2398</v>
      </c>
      <c r="BI174" t="s">
        <v>2399</v>
      </c>
      <c r="BJ174">
        <v>4453163191</v>
      </c>
      <c r="BK174" t="s">
        <v>162</v>
      </c>
      <c r="BL174" t="s">
        <v>161</v>
      </c>
      <c r="BM174" s="2"/>
      <c r="BR174" t="s">
        <v>180</v>
      </c>
      <c r="BS174" t="s">
        <v>103</v>
      </c>
      <c r="BU174">
        <v>0</v>
      </c>
      <c r="BV174">
        <v>0</v>
      </c>
      <c r="BW174">
        <v>0</v>
      </c>
      <c r="BX174">
        <v>0</v>
      </c>
      <c r="BY174">
        <v>0</v>
      </c>
      <c r="BZ174">
        <v>0</v>
      </c>
      <c r="CA174">
        <v>0</v>
      </c>
      <c r="CF174" s="2"/>
      <c r="CH174" s="2"/>
      <c r="CK174" t="s">
        <v>500</v>
      </c>
      <c r="CL174">
        <v>43758.585520833331</v>
      </c>
      <c r="CO174" t="s">
        <v>11</v>
      </c>
      <c r="CP174">
        <v>9619.01</v>
      </c>
      <c r="CQ174" t="s">
        <v>11</v>
      </c>
      <c r="CR174">
        <v>9619.01</v>
      </c>
      <c r="CV174" t="s">
        <v>190</v>
      </c>
      <c r="CW174" t="s">
        <v>12</v>
      </c>
      <c r="CX174" t="s">
        <v>12</v>
      </c>
      <c r="CY174" t="s">
        <v>12</v>
      </c>
      <c r="DA174" t="s">
        <v>104</v>
      </c>
      <c r="DD174" t="s">
        <v>93</v>
      </c>
      <c r="DQ174" t="s">
        <v>94</v>
      </c>
      <c r="DR174" t="s">
        <v>94</v>
      </c>
      <c r="DS174" t="s">
        <v>94</v>
      </c>
      <c r="DT174" t="s">
        <v>94</v>
      </c>
      <c r="DU174" t="s">
        <v>94</v>
      </c>
      <c r="DV174" t="s">
        <v>94</v>
      </c>
      <c r="DW174" t="s">
        <v>94</v>
      </c>
      <c r="DX174" s="2" t="s">
        <v>94</v>
      </c>
      <c r="DY174" t="s">
        <v>94</v>
      </c>
      <c r="DZ174" t="s">
        <v>94</v>
      </c>
      <c r="EA174" t="s">
        <v>94</v>
      </c>
      <c r="EB174" t="s">
        <v>94</v>
      </c>
      <c r="EC174" t="s">
        <v>94</v>
      </c>
      <c r="ED174" t="s">
        <v>94</v>
      </c>
      <c r="EE174" t="s">
        <v>89</v>
      </c>
      <c r="EF174" t="s">
        <v>425</v>
      </c>
      <c r="EG174" t="s">
        <v>105</v>
      </c>
      <c r="EJ174" t="s">
        <v>166</v>
      </c>
      <c r="EK174" t="b">
        <v>0</v>
      </c>
      <c r="EL174" t="b">
        <v>0</v>
      </c>
      <c r="EM174" t="b">
        <v>0</v>
      </c>
      <c r="EO174" t="s">
        <v>178</v>
      </c>
      <c r="EP174" t="s">
        <v>2458</v>
      </c>
    </row>
    <row r="175" spans="3:146" ht="15">
      <c r="C175" s="82">
        <v>1</v>
      </c>
      <c r="D175" s="5"/>
      <c r="E175" s="4">
        <v>1</v>
      </c>
      <c r="F175" s="5">
        <v>0.24</v>
      </c>
      <c r="G175" s="5" t="s">
        <v>2459</v>
      </c>
      <c r="H175" s="4" t="s">
        <v>2460</v>
      </c>
      <c r="I175" s="81" t="s">
        <v>920</v>
      </c>
      <c r="J175" s="21"/>
      <c r="K175" s="22" t="s">
        <v>2461</v>
      </c>
      <c r="L175" s="84" t="s">
        <v>2450</v>
      </c>
      <c r="M175" s="23" t="s">
        <v>920</v>
      </c>
      <c r="N175" s="23">
        <v>43760</v>
      </c>
      <c r="O175" s="24" t="s">
        <v>102</v>
      </c>
      <c r="P175" s="24" t="s">
        <v>179</v>
      </c>
      <c r="Q175" s="24">
        <v>1</v>
      </c>
      <c r="R175" s="24">
        <v>0.24</v>
      </c>
      <c r="S175" t="s">
        <v>11</v>
      </c>
      <c r="T175">
        <v>100</v>
      </c>
      <c r="U175" s="2" t="s">
        <v>163</v>
      </c>
      <c r="V175">
        <v>43760.56422453704</v>
      </c>
      <c r="W175" s="2" t="s">
        <v>444</v>
      </c>
      <c r="X175">
        <v>43760.60796296296</v>
      </c>
      <c r="AB175" t="s">
        <v>9</v>
      </c>
      <c r="AC175" t="s">
        <v>714</v>
      </c>
      <c r="AD175" t="s">
        <v>209</v>
      </c>
      <c r="AE175">
        <v>27993</v>
      </c>
      <c r="AF175">
        <v>27993</v>
      </c>
      <c r="AG175" t="s">
        <v>183</v>
      </c>
      <c r="AH175" t="s">
        <v>2427</v>
      </c>
      <c r="AI175" t="s">
        <v>2427</v>
      </c>
      <c r="AJ175" t="s">
        <v>1214</v>
      </c>
      <c r="AK175" t="s">
        <v>1215</v>
      </c>
      <c r="AL175" t="s">
        <v>2428</v>
      </c>
      <c r="AM175" t="s">
        <v>2429</v>
      </c>
      <c r="AO175" t="s">
        <v>2430</v>
      </c>
      <c r="AP175" t="s">
        <v>720</v>
      </c>
      <c r="AR175" t="s">
        <v>2462</v>
      </c>
      <c r="AS175">
        <v>-3594</v>
      </c>
      <c r="AT175" t="s">
        <v>2431</v>
      </c>
      <c r="AU175" t="s">
        <v>10</v>
      </c>
      <c r="AV175" t="s">
        <v>2432</v>
      </c>
      <c r="AW175" t="s">
        <v>2433</v>
      </c>
      <c r="AX175" t="s">
        <v>2434</v>
      </c>
      <c r="AY175" s="2" t="s">
        <v>2435</v>
      </c>
      <c r="BA175" t="s">
        <v>222</v>
      </c>
      <c r="BB175" t="s">
        <v>223</v>
      </c>
      <c r="BC175" t="s">
        <v>188</v>
      </c>
      <c r="BD175">
        <v>510000</v>
      </c>
      <c r="BE175">
        <v>13060602305</v>
      </c>
      <c r="BF175" t="s">
        <v>2436</v>
      </c>
      <c r="BG175" t="b">
        <v>0</v>
      </c>
      <c r="BH175" s="6" t="s">
        <v>2437</v>
      </c>
      <c r="BI175" t="s">
        <v>2438</v>
      </c>
      <c r="BJ175">
        <v>4453163191</v>
      </c>
      <c r="BK175" t="s">
        <v>162</v>
      </c>
      <c r="BL175" t="s">
        <v>161</v>
      </c>
      <c r="BM175" s="2"/>
      <c r="BO175" t="s">
        <v>89</v>
      </c>
      <c r="BP175">
        <v>3926909090</v>
      </c>
      <c r="BR175" t="s">
        <v>180</v>
      </c>
      <c r="BS175" t="s">
        <v>103</v>
      </c>
      <c r="BU175">
        <v>0</v>
      </c>
      <c r="BV175">
        <v>0</v>
      </c>
      <c r="BW175">
        <v>0</v>
      </c>
      <c r="BX175">
        <v>0</v>
      </c>
      <c r="BY175">
        <v>0</v>
      </c>
      <c r="BZ175">
        <v>0</v>
      </c>
      <c r="CA175">
        <v>0</v>
      </c>
      <c r="CF175" s="2"/>
      <c r="CH175" s="2"/>
      <c r="CJ175" t="s">
        <v>1023</v>
      </c>
      <c r="CK175" t="s">
        <v>1509</v>
      </c>
      <c r="CL175">
        <v>43756.381365740737</v>
      </c>
      <c r="CO175" t="s">
        <v>11</v>
      </c>
      <c r="CP175">
        <v>100</v>
      </c>
      <c r="CQ175" t="s">
        <v>11</v>
      </c>
      <c r="CR175">
        <v>100</v>
      </c>
      <c r="CV175" t="s">
        <v>190</v>
      </c>
      <c r="CW175" t="s">
        <v>12</v>
      </c>
      <c r="CX175" t="s">
        <v>12</v>
      </c>
      <c r="CY175" t="s">
        <v>12</v>
      </c>
      <c r="DA175" t="s">
        <v>104</v>
      </c>
      <c r="DD175" t="s">
        <v>93</v>
      </c>
      <c r="DQ175" t="s">
        <v>94</v>
      </c>
      <c r="DR175" t="s">
        <v>94</v>
      </c>
      <c r="DS175" t="s">
        <v>94</v>
      </c>
      <c r="DT175" t="s">
        <v>94</v>
      </c>
      <c r="DU175" t="s">
        <v>94</v>
      </c>
      <c r="DV175" t="s">
        <v>94</v>
      </c>
      <c r="DW175" t="s">
        <v>94</v>
      </c>
      <c r="DX175" s="2" t="s">
        <v>94</v>
      </c>
      <c r="DY175" t="s">
        <v>94</v>
      </c>
      <c r="DZ175" t="s">
        <v>94</v>
      </c>
      <c r="EA175" t="s">
        <v>94</v>
      </c>
      <c r="EB175" t="s">
        <v>94</v>
      </c>
      <c r="EC175" t="s">
        <v>94</v>
      </c>
      <c r="ED175" t="s">
        <v>94</v>
      </c>
      <c r="EE175" t="s">
        <v>89</v>
      </c>
      <c r="EF175" t="s">
        <v>425</v>
      </c>
      <c r="EG175" t="s">
        <v>105</v>
      </c>
      <c r="EJ175" t="s">
        <v>526</v>
      </c>
      <c r="EK175" t="b">
        <v>0</v>
      </c>
      <c r="EL175" t="b">
        <v>0</v>
      </c>
      <c r="EM175" t="b">
        <v>0</v>
      </c>
      <c r="EO175" t="s">
        <v>177</v>
      </c>
      <c r="EP175" t="s">
        <v>2463</v>
      </c>
    </row>
    <row r="176" spans="3:146" ht="15">
      <c r="C176" s="82">
        <v>13</v>
      </c>
      <c r="D176" s="5"/>
      <c r="E176" s="4">
        <v>1</v>
      </c>
      <c r="F176" s="5">
        <v>0.8</v>
      </c>
      <c r="G176" s="5" t="s">
        <v>2464</v>
      </c>
      <c r="H176" s="4" t="s">
        <v>2465</v>
      </c>
      <c r="I176" s="81" t="s">
        <v>164</v>
      </c>
      <c r="J176" s="21"/>
      <c r="K176" s="22" t="s">
        <v>2439</v>
      </c>
      <c r="L176" s="84" t="s">
        <v>1834</v>
      </c>
      <c r="M176" s="23" t="s">
        <v>164</v>
      </c>
      <c r="N176" s="23">
        <v>43757</v>
      </c>
      <c r="O176" s="24" t="s">
        <v>102</v>
      </c>
      <c r="P176" s="24" t="s">
        <v>181</v>
      </c>
      <c r="Q176" s="24">
        <v>1</v>
      </c>
      <c r="R176" s="24">
        <v>0.8</v>
      </c>
      <c r="S176" t="s">
        <v>11</v>
      </c>
      <c r="T176">
        <v>4917</v>
      </c>
      <c r="U176" s="2" t="s">
        <v>163</v>
      </c>
      <c r="V176">
        <v>43757.428124999999</v>
      </c>
      <c r="W176" s="2" t="s">
        <v>444</v>
      </c>
      <c r="X176">
        <v>43757.438981481479</v>
      </c>
      <c r="AB176" t="s">
        <v>9</v>
      </c>
      <c r="AC176" t="s">
        <v>2440</v>
      </c>
      <c r="AD176" t="s">
        <v>182</v>
      </c>
      <c r="AE176">
        <v>120994</v>
      </c>
      <c r="AF176">
        <v>120994</v>
      </c>
      <c r="AG176" t="s">
        <v>183</v>
      </c>
      <c r="AH176" t="s">
        <v>2441</v>
      </c>
      <c r="AI176" t="s">
        <v>2441</v>
      </c>
      <c r="AJ176" t="s">
        <v>716</v>
      </c>
      <c r="AK176" t="s">
        <v>717</v>
      </c>
      <c r="AL176" t="s">
        <v>2442</v>
      </c>
      <c r="AM176" t="s">
        <v>2443</v>
      </c>
      <c r="AO176" t="s">
        <v>719</v>
      </c>
      <c r="AP176" t="s">
        <v>720</v>
      </c>
      <c r="AQ176" t="s">
        <v>719</v>
      </c>
      <c r="AR176" t="s">
        <v>2466</v>
      </c>
      <c r="AS176">
        <v>15351120001</v>
      </c>
      <c r="AU176" t="s">
        <v>10</v>
      </c>
      <c r="AV176" t="s">
        <v>2444</v>
      </c>
      <c r="AW176" t="s">
        <v>2445</v>
      </c>
      <c r="AX176" t="s">
        <v>2446</v>
      </c>
      <c r="AY176" s="2" t="s">
        <v>2447</v>
      </c>
      <c r="BA176" t="s">
        <v>186</v>
      </c>
      <c r="BB176" t="s">
        <v>187</v>
      </c>
      <c r="BC176" t="s">
        <v>188</v>
      </c>
      <c r="BD176">
        <v>518109</v>
      </c>
      <c r="BE176">
        <v>8615692086205</v>
      </c>
      <c r="BF176" t="s">
        <v>2448</v>
      </c>
      <c r="BG176" t="b">
        <v>0</v>
      </c>
      <c r="BH176" s="6" t="s">
        <v>1244</v>
      </c>
      <c r="BI176" t="s">
        <v>2449</v>
      </c>
      <c r="BJ176">
        <v>4453163191</v>
      </c>
      <c r="BK176" t="s">
        <v>162</v>
      </c>
      <c r="BL176" t="s">
        <v>161</v>
      </c>
      <c r="BM176" s="2"/>
      <c r="BO176" t="s">
        <v>89</v>
      </c>
      <c r="BP176">
        <v>84733090</v>
      </c>
      <c r="BR176" t="s">
        <v>189</v>
      </c>
      <c r="BS176" t="s">
        <v>103</v>
      </c>
      <c r="BU176">
        <v>0</v>
      </c>
      <c r="BV176">
        <v>639.21</v>
      </c>
      <c r="BW176">
        <v>0</v>
      </c>
      <c r="BX176">
        <v>0</v>
      </c>
      <c r="BY176">
        <v>0</v>
      </c>
      <c r="BZ176">
        <v>0</v>
      </c>
      <c r="CA176">
        <v>639.21</v>
      </c>
      <c r="CF176" s="2"/>
      <c r="CH176" s="2"/>
      <c r="CJ176" t="s">
        <v>1023</v>
      </c>
      <c r="CK176" t="s">
        <v>1849</v>
      </c>
      <c r="CL176">
        <v>43744.387546296297</v>
      </c>
      <c r="CO176" t="s">
        <v>11</v>
      </c>
      <c r="CP176">
        <v>4917</v>
      </c>
      <c r="CQ176" t="s">
        <v>11</v>
      </c>
      <c r="CR176">
        <v>4917</v>
      </c>
      <c r="CV176" t="s">
        <v>190</v>
      </c>
      <c r="CW176" t="s">
        <v>12</v>
      </c>
      <c r="CX176" t="s">
        <v>12</v>
      </c>
      <c r="CY176" t="s">
        <v>12</v>
      </c>
      <c r="DA176" t="s">
        <v>104</v>
      </c>
      <c r="DD176" t="s">
        <v>93</v>
      </c>
      <c r="DQ176" t="s">
        <v>94</v>
      </c>
      <c r="DR176" t="s">
        <v>94</v>
      </c>
      <c r="DS176" t="s">
        <v>94</v>
      </c>
      <c r="DT176" t="s">
        <v>94</v>
      </c>
      <c r="DU176" t="s">
        <v>94</v>
      </c>
      <c r="DV176" t="s">
        <v>94</v>
      </c>
      <c r="DW176" t="s">
        <v>94</v>
      </c>
      <c r="DX176" s="2" t="s">
        <v>94</v>
      </c>
      <c r="DY176" t="s">
        <v>94</v>
      </c>
      <c r="DZ176" t="s">
        <v>94</v>
      </c>
      <c r="EA176" t="s">
        <v>94</v>
      </c>
      <c r="EB176" t="s">
        <v>94</v>
      </c>
      <c r="EC176" t="s">
        <v>94</v>
      </c>
      <c r="ED176" t="s">
        <v>94</v>
      </c>
      <c r="EE176" t="s">
        <v>89</v>
      </c>
      <c r="EF176" t="s">
        <v>94</v>
      </c>
      <c r="EG176" t="s">
        <v>105</v>
      </c>
      <c r="EJ176" t="s">
        <v>526</v>
      </c>
      <c r="EK176" t="b">
        <v>0</v>
      </c>
      <c r="EL176" t="b">
        <v>0</v>
      </c>
      <c r="EM176" t="b">
        <v>0</v>
      </c>
      <c r="EO176" t="s">
        <v>177</v>
      </c>
      <c r="EP176" t="s">
        <v>2467</v>
      </c>
    </row>
    <row r="177" spans="3:146" ht="15">
      <c r="C177" s="82">
        <v>13212</v>
      </c>
      <c r="D177" s="5"/>
      <c r="E177" s="4">
        <v>1</v>
      </c>
      <c r="F177" s="5">
        <v>38</v>
      </c>
      <c r="G177" s="5" t="s">
        <v>2482</v>
      </c>
      <c r="H177" s="4" t="s">
        <v>2483</v>
      </c>
      <c r="I177" s="81" t="s">
        <v>164</v>
      </c>
      <c r="J177" s="21"/>
      <c r="K177" s="22" t="s">
        <v>2468</v>
      </c>
      <c r="L177" s="84" t="s">
        <v>1818</v>
      </c>
      <c r="M177" s="23" t="s">
        <v>164</v>
      </c>
      <c r="N177" s="23">
        <v>43742</v>
      </c>
      <c r="O177" s="24" t="s">
        <v>102</v>
      </c>
      <c r="P177" s="24" t="s">
        <v>480</v>
      </c>
      <c r="Q177" s="24">
        <v>1</v>
      </c>
      <c r="R177" s="24">
        <v>38</v>
      </c>
      <c r="S177" t="s">
        <v>528</v>
      </c>
      <c r="T177">
        <v>25</v>
      </c>
      <c r="U177" s="2"/>
      <c r="W177" s="2"/>
      <c r="AB177" t="s">
        <v>9</v>
      </c>
      <c r="AC177" t="s">
        <v>1255</v>
      </c>
      <c r="AD177" t="s">
        <v>275</v>
      </c>
      <c r="AE177">
        <v>2016974</v>
      </c>
      <c r="AF177">
        <v>2016974</v>
      </c>
      <c r="AH177" t="s">
        <v>2470</v>
      </c>
      <c r="AI177" t="s">
        <v>2470</v>
      </c>
      <c r="AJ177" t="s">
        <v>1257</v>
      </c>
      <c r="AK177" t="s">
        <v>1258</v>
      </c>
      <c r="AL177" t="s">
        <v>2471</v>
      </c>
      <c r="AO177" t="s">
        <v>2472</v>
      </c>
      <c r="AP177" t="s">
        <v>1261</v>
      </c>
      <c r="AR177">
        <v>5683</v>
      </c>
      <c r="AS177">
        <v>63733245</v>
      </c>
      <c r="AT177" t="s">
        <v>2473</v>
      </c>
      <c r="AU177" t="s">
        <v>10</v>
      </c>
      <c r="AV177" t="s">
        <v>2474</v>
      </c>
      <c r="AW177" t="s">
        <v>2474</v>
      </c>
      <c r="AX177" t="s">
        <v>2475</v>
      </c>
      <c r="AY177" s="2"/>
      <c r="BA177" t="s">
        <v>2480</v>
      </c>
      <c r="BB177" t="s">
        <v>286</v>
      </c>
      <c r="BD177">
        <v>610041</v>
      </c>
      <c r="BE177">
        <v>8615928751685</v>
      </c>
      <c r="BF177" t="s">
        <v>2477</v>
      </c>
      <c r="BG177" t="b">
        <v>0</v>
      </c>
      <c r="BH177" s="6" t="s">
        <v>2478</v>
      </c>
      <c r="BI177" t="s">
        <v>2481</v>
      </c>
      <c r="BJ177">
        <v>4453163191</v>
      </c>
      <c r="BK177" t="s">
        <v>162</v>
      </c>
      <c r="BL177" t="s">
        <v>161</v>
      </c>
      <c r="BM177" s="2"/>
      <c r="BR177" t="s">
        <v>180</v>
      </c>
      <c r="BS177" t="s">
        <v>103</v>
      </c>
      <c r="BU177">
        <v>0</v>
      </c>
      <c r="BV177">
        <v>0</v>
      </c>
      <c r="BW177">
        <v>0</v>
      </c>
      <c r="BX177">
        <v>0</v>
      </c>
      <c r="BY177">
        <v>0</v>
      </c>
      <c r="BZ177">
        <v>0</v>
      </c>
      <c r="CA177">
        <v>0</v>
      </c>
      <c r="CF177" s="2"/>
      <c r="CH177" s="2"/>
      <c r="CK177" t="s">
        <v>1509</v>
      </c>
      <c r="CL177">
        <v>43740.583634259259</v>
      </c>
      <c r="CO177" t="s">
        <v>11</v>
      </c>
      <c r="CP177">
        <v>195.78</v>
      </c>
      <c r="CQ177" t="s">
        <v>11</v>
      </c>
      <c r="CR177">
        <v>195.78</v>
      </c>
      <c r="CW177" t="s">
        <v>12</v>
      </c>
      <c r="CX177" t="s">
        <v>12</v>
      </c>
      <c r="CY177" t="s">
        <v>12</v>
      </c>
      <c r="DA177" t="s">
        <v>104</v>
      </c>
      <c r="DQ177" t="s">
        <v>94</v>
      </c>
      <c r="DR177" t="s">
        <v>94</v>
      </c>
      <c r="DS177" t="s">
        <v>94</v>
      </c>
      <c r="DT177" t="s">
        <v>94</v>
      </c>
      <c r="DU177" t="s">
        <v>94</v>
      </c>
      <c r="DV177" t="s">
        <v>94</v>
      </c>
      <c r="DW177" t="s">
        <v>94</v>
      </c>
      <c r="DX177" s="2" t="s">
        <v>94</v>
      </c>
      <c r="DY177" t="s">
        <v>94</v>
      </c>
      <c r="DZ177" t="s">
        <v>94</v>
      </c>
      <c r="EA177" t="s">
        <v>94</v>
      </c>
      <c r="EB177" t="s">
        <v>94</v>
      </c>
      <c r="EC177" t="s">
        <v>94</v>
      </c>
      <c r="ED177" t="s">
        <v>94</v>
      </c>
      <c r="EE177" t="s">
        <v>89</v>
      </c>
      <c r="EF177" t="s">
        <v>94</v>
      </c>
      <c r="EG177" t="s">
        <v>105</v>
      </c>
      <c r="EJ177" t="s">
        <v>166</v>
      </c>
      <c r="EO177" t="s">
        <v>177</v>
      </c>
      <c r="EP177" t="s">
        <v>2484</v>
      </c>
    </row>
    <row r="178" spans="3:146" ht="15">
      <c r="C178" s="82">
        <v>123</v>
      </c>
      <c r="D178" s="5"/>
      <c r="E178" s="4">
        <v>1</v>
      </c>
      <c r="F178" s="5">
        <v>38</v>
      </c>
      <c r="G178" s="5" t="s">
        <v>2485</v>
      </c>
      <c r="H178" s="4" t="s">
        <v>2483</v>
      </c>
      <c r="I178" s="81" t="s">
        <v>164</v>
      </c>
      <c r="J178" s="21"/>
      <c r="K178" s="22" t="s">
        <v>2468</v>
      </c>
      <c r="L178" s="84" t="s">
        <v>2469</v>
      </c>
      <c r="M178" s="23" t="s">
        <v>447</v>
      </c>
      <c r="N178" s="23">
        <v>43761</v>
      </c>
      <c r="O178" s="24" t="s">
        <v>102</v>
      </c>
      <c r="P178" s="24" t="s">
        <v>480</v>
      </c>
      <c r="Q178" s="24">
        <v>1</v>
      </c>
      <c r="R178" s="24">
        <v>38</v>
      </c>
      <c r="S178" t="s">
        <v>528</v>
      </c>
      <c r="T178">
        <v>25</v>
      </c>
      <c r="U178" s="2"/>
      <c r="W178" s="2"/>
      <c r="AB178" t="s">
        <v>9</v>
      </c>
      <c r="AC178" t="s">
        <v>1255</v>
      </c>
      <c r="AD178" t="s">
        <v>275</v>
      </c>
      <c r="AE178">
        <v>2016974</v>
      </c>
      <c r="AF178">
        <v>2016974</v>
      </c>
      <c r="AH178" t="s">
        <v>2470</v>
      </c>
      <c r="AI178" t="s">
        <v>2470</v>
      </c>
      <c r="AJ178" t="s">
        <v>1257</v>
      </c>
      <c r="AK178" t="s">
        <v>1258</v>
      </c>
      <c r="AL178" t="s">
        <v>2471</v>
      </c>
      <c r="AO178" t="s">
        <v>2472</v>
      </c>
      <c r="AP178" t="s">
        <v>1261</v>
      </c>
      <c r="AR178">
        <v>5683</v>
      </c>
      <c r="AS178">
        <v>63733245</v>
      </c>
      <c r="AT178" t="s">
        <v>2473</v>
      </c>
      <c r="AU178" t="s">
        <v>10</v>
      </c>
      <c r="AV178" t="s">
        <v>2474</v>
      </c>
      <c r="AW178" t="s">
        <v>2474</v>
      </c>
      <c r="AX178" t="s">
        <v>2475</v>
      </c>
      <c r="AY178" s="2"/>
      <c r="BA178" t="s">
        <v>2476</v>
      </c>
      <c r="BB178" t="s">
        <v>286</v>
      </c>
      <c r="BD178">
        <v>610041</v>
      </c>
      <c r="BE178">
        <v>8615928751685</v>
      </c>
      <c r="BF178" t="s">
        <v>2477</v>
      </c>
      <c r="BG178" t="b">
        <v>0</v>
      </c>
      <c r="BH178" s="6" t="s">
        <v>2478</v>
      </c>
      <c r="BI178" t="s">
        <v>2479</v>
      </c>
      <c r="BJ178">
        <v>4453163191</v>
      </c>
      <c r="BK178" t="s">
        <v>162</v>
      </c>
      <c r="BL178" t="s">
        <v>161</v>
      </c>
      <c r="BM178" s="2"/>
      <c r="BR178" t="s">
        <v>189</v>
      </c>
      <c r="BS178" t="s">
        <v>103</v>
      </c>
      <c r="BU178">
        <v>0</v>
      </c>
      <c r="BV178">
        <v>0</v>
      </c>
      <c r="BW178">
        <v>0</v>
      </c>
      <c r="BX178">
        <v>0</v>
      </c>
      <c r="BY178">
        <v>0</v>
      </c>
      <c r="BZ178">
        <v>0</v>
      </c>
      <c r="CA178">
        <v>0</v>
      </c>
      <c r="CF178" s="2"/>
      <c r="CH178" s="2"/>
      <c r="CK178" t="s">
        <v>1509</v>
      </c>
      <c r="CL178">
        <v>43761.581180555557</v>
      </c>
      <c r="CO178" t="s">
        <v>11</v>
      </c>
      <c r="CP178">
        <v>195.78</v>
      </c>
      <c r="CQ178" t="s">
        <v>11</v>
      </c>
      <c r="CR178">
        <v>195.78</v>
      </c>
      <c r="CW178" t="s">
        <v>12</v>
      </c>
      <c r="CX178" t="s">
        <v>12</v>
      </c>
      <c r="CY178" t="s">
        <v>12</v>
      </c>
      <c r="DA178" t="s">
        <v>104</v>
      </c>
      <c r="DQ178" t="s">
        <v>94</v>
      </c>
      <c r="DR178" t="s">
        <v>94</v>
      </c>
      <c r="DS178" t="s">
        <v>94</v>
      </c>
      <c r="DT178" t="s">
        <v>94</v>
      </c>
      <c r="DU178" t="s">
        <v>94</v>
      </c>
      <c r="DV178" t="s">
        <v>94</v>
      </c>
      <c r="DW178" t="s">
        <v>94</v>
      </c>
      <c r="DX178" s="2" t="s">
        <v>94</v>
      </c>
      <c r="DY178" t="s">
        <v>94</v>
      </c>
      <c r="DZ178" t="s">
        <v>94</v>
      </c>
      <c r="EA178" t="s">
        <v>94</v>
      </c>
      <c r="EB178" t="s">
        <v>94</v>
      </c>
      <c r="EC178" t="s">
        <v>94</v>
      </c>
      <c r="ED178" t="s">
        <v>94</v>
      </c>
      <c r="EE178" t="s">
        <v>89</v>
      </c>
      <c r="EF178" t="s">
        <v>94</v>
      </c>
      <c r="EG178" t="s">
        <v>543</v>
      </c>
      <c r="EJ178" t="s">
        <v>166</v>
      </c>
      <c r="EO178" t="s">
        <v>177</v>
      </c>
      <c r="EP178" t="s">
        <v>2486</v>
      </c>
    </row>
    <row r="179" spans="3:146" ht="15">
      <c r="C179" s="82">
        <v>42</v>
      </c>
      <c r="D179" s="5"/>
      <c r="E179" s="4">
        <v>1</v>
      </c>
      <c r="F179" s="5">
        <v>20</v>
      </c>
      <c r="G179" s="5" t="s">
        <v>2542</v>
      </c>
      <c r="H179" s="4" t="s">
        <v>2543</v>
      </c>
      <c r="I179" s="81" t="s">
        <v>920</v>
      </c>
      <c r="J179" s="21"/>
      <c r="K179" s="22" t="s">
        <v>2498</v>
      </c>
      <c r="L179" s="84" t="s">
        <v>2070</v>
      </c>
      <c r="M179" s="23" t="s">
        <v>905</v>
      </c>
      <c r="N179" s="23">
        <v>43749</v>
      </c>
      <c r="O179" s="24" t="s">
        <v>102</v>
      </c>
      <c r="P179" s="24" t="s">
        <v>181</v>
      </c>
      <c r="Q179" s="24">
        <v>1</v>
      </c>
      <c r="R179" s="24">
        <v>20</v>
      </c>
      <c r="S179" t="s">
        <v>2499</v>
      </c>
      <c r="T179" t="s">
        <v>11</v>
      </c>
      <c r="U179" s="2">
        <v>1050</v>
      </c>
      <c r="V179" t="s">
        <v>163</v>
      </c>
      <c r="W179" s="2">
        <v>43749.836076388892</v>
      </c>
      <c r="X179" t="s">
        <v>444</v>
      </c>
      <c r="Y179">
        <v>43762.676122685189</v>
      </c>
      <c r="AC179" t="s">
        <v>9</v>
      </c>
      <c r="AD179" t="s">
        <v>1781</v>
      </c>
      <c r="AE179" t="s">
        <v>209</v>
      </c>
      <c r="AF179">
        <v>70186618</v>
      </c>
      <c r="AG179">
        <v>70186618</v>
      </c>
      <c r="AH179" t="s">
        <v>183</v>
      </c>
      <c r="AI179" t="s">
        <v>2500</v>
      </c>
      <c r="AJ179" t="s">
        <v>2500</v>
      </c>
      <c r="AK179" t="s">
        <v>776</v>
      </c>
      <c r="AL179" t="s">
        <v>777</v>
      </c>
      <c r="AM179" t="s">
        <v>2501</v>
      </c>
      <c r="AP179" t="s">
        <v>2502</v>
      </c>
      <c r="AQ179" t="s">
        <v>1785</v>
      </c>
      <c r="AR179" t="s">
        <v>782</v>
      </c>
      <c r="AS179">
        <v>48703</v>
      </c>
      <c r="AT179">
        <v>2563861303</v>
      </c>
      <c r="AU179" t="s">
        <v>2503</v>
      </c>
      <c r="AV179" t="s">
        <v>10</v>
      </c>
      <c r="AW179" t="s">
        <v>2504</v>
      </c>
      <c r="AX179" t="s">
        <v>2504</v>
      </c>
      <c r="AY179" s="2" t="s">
        <v>2505</v>
      </c>
      <c r="AZ179" t="s">
        <v>2506</v>
      </c>
      <c r="BA179" t="s">
        <v>2507</v>
      </c>
      <c r="BB179" t="s">
        <v>2508</v>
      </c>
      <c r="BC179" t="s">
        <v>2509</v>
      </c>
      <c r="BD179" t="s">
        <v>2510</v>
      </c>
      <c r="BE179" t="s">
        <v>2544</v>
      </c>
      <c r="BF179" t="s">
        <v>2545</v>
      </c>
      <c r="BG179" t="s">
        <v>2511</v>
      </c>
      <c r="BH179" s="6" t="b">
        <v>0</v>
      </c>
      <c r="BI179" t="s">
        <v>2512</v>
      </c>
      <c r="BJ179">
        <v>4453163191</v>
      </c>
      <c r="BK179" t="s">
        <v>162</v>
      </c>
      <c r="BL179" t="s">
        <v>161</v>
      </c>
      <c r="BM179" s="2"/>
      <c r="BO179" t="s">
        <v>89</v>
      </c>
      <c r="BP179">
        <v>9403900099</v>
      </c>
      <c r="BR179" t="s">
        <v>189</v>
      </c>
      <c r="BS179" t="s">
        <v>103</v>
      </c>
      <c r="BU179">
        <v>0</v>
      </c>
      <c r="BV179">
        <v>136.5</v>
      </c>
      <c r="BW179">
        <v>0</v>
      </c>
      <c r="BX179">
        <v>0</v>
      </c>
      <c r="BY179">
        <v>0</v>
      </c>
      <c r="BZ179">
        <v>0</v>
      </c>
      <c r="CA179">
        <v>136.5</v>
      </c>
      <c r="CF179" s="2"/>
      <c r="CH179" s="2"/>
      <c r="CI179" t="s">
        <v>2513</v>
      </c>
      <c r="CJ179" t="s">
        <v>1023</v>
      </c>
      <c r="CK179" t="s">
        <v>2261</v>
      </c>
      <c r="CL179">
        <v>43749.567060185182</v>
      </c>
      <c r="CO179" t="s">
        <v>11</v>
      </c>
      <c r="CP179">
        <v>1050</v>
      </c>
      <c r="CQ179" t="s">
        <v>11</v>
      </c>
      <c r="CR179">
        <v>1050</v>
      </c>
      <c r="CV179" t="s">
        <v>190</v>
      </c>
      <c r="CW179" t="s">
        <v>12</v>
      </c>
      <c r="CX179" t="s">
        <v>12</v>
      </c>
      <c r="CY179" t="s">
        <v>12</v>
      </c>
      <c r="DA179" t="s">
        <v>104</v>
      </c>
      <c r="DD179" t="s">
        <v>93</v>
      </c>
      <c r="DQ179" t="s">
        <v>94</v>
      </c>
      <c r="DR179" t="s">
        <v>94</v>
      </c>
      <c r="DS179" t="s">
        <v>94</v>
      </c>
      <c r="DT179" t="s">
        <v>94</v>
      </c>
      <c r="DU179" t="s">
        <v>94</v>
      </c>
      <c r="DV179" t="s">
        <v>94</v>
      </c>
      <c r="DW179" t="s">
        <v>94</v>
      </c>
      <c r="DX179" s="2" t="s">
        <v>94</v>
      </c>
      <c r="DY179" t="s">
        <v>94</v>
      </c>
      <c r="DZ179" t="s">
        <v>94</v>
      </c>
      <c r="EA179" t="s">
        <v>94</v>
      </c>
      <c r="EB179" t="s">
        <v>94</v>
      </c>
      <c r="EC179" t="s">
        <v>94</v>
      </c>
      <c r="ED179" t="s">
        <v>94</v>
      </c>
      <c r="EE179" t="s">
        <v>89</v>
      </c>
      <c r="EF179" t="s">
        <v>425</v>
      </c>
      <c r="EG179" t="s">
        <v>105</v>
      </c>
      <c r="EJ179" t="s">
        <v>166</v>
      </c>
      <c r="EK179" t="b">
        <v>0</v>
      </c>
      <c r="EL179" t="b">
        <v>0</v>
      </c>
      <c r="EM179" t="b">
        <v>0</v>
      </c>
      <c r="EO179" t="s">
        <v>177</v>
      </c>
      <c r="EP179" t="s">
        <v>2546</v>
      </c>
    </row>
    <row r="180" spans="3:146" ht="15">
      <c r="C180" s="82">
        <v>123</v>
      </c>
      <c r="D180" s="5"/>
      <c r="E180" s="4">
        <v>1</v>
      </c>
      <c r="F180" s="5">
        <v>20</v>
      </c>
      <c r="G180" s="5" t="s">
        <v>2548</v>
      </c>
      <c r="H180" s="4" t="s">
        <v>2549</v>
      </c>
      <c r="I180" s="81" t="s">
        <v>920</v>
      </c>
      <c r="J180" s="21"/>
      <c r="K180" s="22" t="s">
        <v>2498</v>
      </c>
      <c r="L180" s="84" t="s">
        <v>2070</v>
      </c>
      <c r="M180" s="23" t="s">
        <v>905</v>
      </c>
      <c r="N180" s="23">
        <v>43749</v>
      </c>
      <c r="O180" s="24" t="s">
        <v>102</v>
      </c>
      <c r="P180" s="24" t="s">
        <v>181</v>
      </c>
      <c r="Q180" s="24">
        <v>1</v>
      </c>
      <c r="R180" s="24">
        <v>20</v>
      </c>
      <c r="S180" t="s">
        <v>11</v>
      </c>
      <c r="T180">
        <v>1050</v>
      </c>
      <c r="U180" s="2" t="s">
        <v>163</v>
      </c>
      <c r="V180">
        <v>43749.836076388892</v>
      </c>
      <c r="W180" s="2" t="s">
        <v>444</v>
      </c>
      <c r="X180">
        <v>43762.676122685189</v>
      </c>
      <c r="AB180" t="s">
        <v>9</v>
      </c>
      <c r="AC180" t="s">
        <v>1781</v>
      </c>
      <c r="AD180" t="s">
        <v>209</v>
      </c>
      <c r="AE180">
        <v>70186618</v>
      </c>
      <c r="AF180">
        <v>70186618</v>
      </c>
      <c r="AG180" t="s">
        <v>183</v>
      </c>
      <c r="AH180" t="s">
        <v>2500</v>
      </c>
      <c r="AI180" t="s">
        <v>2500</v>
      </c>
      <c r="AJ180" t="s">
        <v>776</v>
      </c>
      <c r="AK180" t="s">
        <v>777</v>
      </c>
      <c r="AL180" t="s">
        <v>2501</v>
      </c>
      <c r="AO180" t="s">
        <v>2502</v>
      </c>
      <c r="AP180" t="s">
        <v>1785</v>
      </c>
      <c r="AQ180" t="s">
        <v>782</v>
      </c>
      <c r="AR180">
        <v>48703</v>
      </c>
      <c r="AS180">
        <v>2563861303</v>
      </c>
      <c r="AT180" t="s">
        <v>2503</v>
      </c>
      <c r="AU180" t="s">
        <v>10</v>
      </c>
      <c r="AV180" t="s">
        <v>2504</v>
      </c>
      <c r="AW180" t="s">
        <v>2504</v>
      </c>
      <c r="AX180" t="s">
        <v>2505</v>
      </c>
      <c r="AY180" s="2" t="s">
        <v>2506</v>
      </c>
      <c r="AZ180" t="s">
        <v>2507</v>
      </c>
      <c r="BA180" t="s">
        <v>2508</v>
      </c>
      <c r="BB180" t="s">
        <v>2509</v>
      </c>
      <c r="BC180" t="s">
        <v>2510</v>
      </c>
      <c r="BD180">
        <v>344700</v>
      </c>
      <c r="BE180" t="s">
        <v>2545</v>
      </c>
      <c r="BF180" t="s">
        <v>2511</v>
      </c>
      <c r="BG180" t="b">
        <v>0</v>
      </c>
      <c r="BH180" s="6" t="s">
        <v>2512</v>
      </c>
      <c r="BI180" t="s">
        <v>2499</v>
      </c>
      <c r="BJ180">
        <v>4453163191</v>
      </c>
      <c r="BK180" t="s">
        <v>162</v>
      </c>
      <c r="BL180" t="s">
        <v>161</v>
      </c>
      <c r="BM180" s="2"/>
      <c r="BO180" t="s">
        <v>89</v>
      </c>
      <c r="BP180">
        <v>9403900099</v>
      </c>
      <c r="BR180" t="s">
        <v>189</v>
      </c>
      <c r="BS180" t="s">
        <v>103</v>
      </c>
      <c r="BU180">
        <v>0</v>
      </c>
      <c r="BV180">
        <v>136.5</v>
      </c>
      <c r="BW180">
        <v>0</v>
      </c>
      <c r="BX180">
        <v>0</v>
      </c>
      <c r="BY180">
        <v>0</v>
      </c>
      <c r="BZ180">
        <v>0</v>
      </c>
      <c r="CA180">
        <v>136.5</v>
      </c>
      <c r="CF180" s="2"/>
      <c r="CH180" s="2"/>
      <c r="CI180" t="s">
        <v>2513</v>
      </c>
      <c r="CJ180" t="s">
        <v>1023</v>
      </c>
      <c r="CK180" t="s">
        <v>2261</v>
      </c>
      <c r="CL180">
        <v>43749.567060185182</v>
      </c>
      <c r="CO180" t="s">
        <v>11</v>
      </c>
      <c r="CP180">
        <v>1050</v>
      </c>
      <c r="CQ180" t="s">
        <v>11</v>
      </c>
      <c r="CR180">
        <v>1050</v>
      </c>
      <c r="CV180" t="s">
        <v>190</v>
      </c>
      <c r="CW180" t="s">
        <v>12</v>
      </c>
      <c r="CX180" t="s">
        <v>12</v>
      </c>
      <c r="CY180" t="s">
        <v>12</v>
      </c>
      <c r="DA180" t="s">
        <v>104</v>
      </c>
      <c r="DD180" t="s">
        <v>93</v>
      </c>
      <c r="DQ180" t="s">
        <v>94</v>
      </c>
      <c r="DR180" t="s">
        <v>94</v>
      </c>
      <c r="DS180" t="s">
        <v>94</v>
      </c>
      <c r="DT180" t="s">
        <v>94</v>
      </c>
      <c r="DU180" t="s">
        <v>94</v>
      </c>
      <c r="DV180" t="s">
        <v>94</v>
      </c>
      <c r="DW180" t="s">
        <v>94</v>
      </c>
      <c r="DX180" s="2" t="s">
        <v>94</v>
      </c>
      <c r="DY180" t="s">
        <v>94</v>
      </c>
      <c r="DZ180" t="s">
        <v>94</v>
      </c>
      <c r="EA180" t="s">
        <v>94</v>
      </c>
      <c r="EB180" t="s">
        <v>94</v>
      </c>
      <c r="EC180" t="s">
        <v>94</v>
      </c>
      <c r="ED180" t="s">
        <v>94</v>
      </c>
      <c r="EE180" t="s">
        <v>89</v>
      </c>
      <c r="EF180" t="s">
        <v>425</v>
      </c>
      <c r="EG180" t="s">
        <v>105</v>
      </c>
      <c r="EJ180" t="s">
        <v>166</v>
      </c>
      <c r="EK180" t="b">
        <v>0</v>
      </c>
      <c r="EL180" t="b">
        <v>0</v>
      </c>
      <c r="EM180" t="b">
        <v>0</v>
      </c>
      <c r="EO180" t="s">
        <v>177</v>
      </c>
      <c r="EP180" t="s">
        <v>2550</v>
      </c>
    </row>
    <row r="181" spans="3:146" ht="15">
      <c r="C181" s="82">
        <v>132</v>
      </c>
      <c r="D181" s="5"/>
      <c r="E181" s="4">
        <v>1</v>
      </c>
      <c r="F181" s="5">
        <v>15</v>
      </c>
      <c r="G181" s="5" t="s">
        <v>2551</v>
      </c>
      <c r="H181" s="4" t="s">
        <v>1405</v>
      </c>
      <c r="I181" s="81" t="s">
        <v>817</v>
      </c>
      <c r="J181" s="21"/>
      <c r="K181" s="22" t="s">
        <v>2514</v>
      </c>
      <c r="L181" s="84" t="s">
        <v>2156</v>
      </c>
      <c r="M181" s="23" t="s">
        <v>817</v>
      </c>
      <c r="N181" s="23">
        <v>43751</v>
      </c>
      <c r="O181" s="24" t="s">
        <v>102</v>
      </c>
      <c r="P181" s="24" t="s">
        <v>181</v>
      </c>
      <c r="Q181" s="24">
        <v>1</v>
      </c>
      <c r="R181" s="24">
        <v>15</v>
      </c>
      <c r="S181" t="s">
        <v>528</v>
      </c>
      <c r="T181">
        <v>356</v>
      </c>
      <c r="U181" s="2" t="s">
        <v>163</v>
      </c>
      <c r="V181">
        <v>43751.865763888891</v>
      </c>
      <c r="W181" s="2" t="s">
        <v>444</v>
      </c>
      <c r="X181">
        <v>43754.45584490741</v>
      </c>
      <c r="AB181" t="s">
        <v>9</v>
      </c>
      <c r="AC181" t="s">
        <v>2516</v>
      </c>
      <c r="AD181" t="s">
        <v>182</v>
      </c>
      <c r="AE181">
        <v>2028675</v>
      </c>
      <c r="AF181">
        <v>2028675</v>
      </c>
      <c r="AG181" t="s">
        <v>2552</v>
      </c>
      <c r="AH181" t="s">
        <v>2517</v>
      </c>
      <c r="AI181" t="s">
        <v>2517</v>
      </c>
      <c r="AJ181" t="s">
        <v>1127</v>
      </c>
      <c r="AK181" t="s">
        <v>1128</v>
      </c>
      <c r="AL181" t="s">
        <v>2518</v>
      </c>
      <c r="AO181" t="s">
        <v>2519</v>
      </c>
      <c r="AP181" t="s">
        <v>1128</v>
      </c>
      <c r="AR181">
        <v>2260</v>
      </c>
      <c r="AS181">
        <v>62949200</v>
      </c>
      <c r="AT181" t="s">
        <v>2520</v>
      </c>
      <c r="AU181" t="s">
        <v>10</v>
      </c>
      <c r="AV181" t="s">
        <v>2521</v>
      </c>
      <c r="AW181" t="s">
        <v>2522</v>
      </c>
      <c r="AX181" t="s">
        <v>2523</v>
      </c>
      <c r="AY181" s="2" t="s">
        <v>2524</v>
      </c>
      <c r="BA181" t="s">
        <v>2525</v>
      </c>
      <c r="BB181" t="s">
        <v>272</v>
      </c>
      <c r="BC181" t="s">
        <v>188</v>
      </c>
      <c r="BD181">
        <v>518049</v>
      </c>
      <c r="BE181" t="s">
        <v>2526</v>
      </c>
      <c r="BF181" t="s">
        <v>2527</v>
      </c>
      <c r="BG181" t="b">
        <v>0</v>
      </c>
      <c r="BH181" s="6" t="s">
        <v>2528</v>
      </c>
      <c r="BI181" t="s">
        <v>2515</v>
      </c>
      <c r="BJ181">
        <v>4453163191</v>
      </c>
      <c r="BK181" t="s">
        <v>162</v>
      </c>
      <c r="BL181" t="s">
        <v>161</v>
      </c>
      <c r="BM181" s="2"/>
      <c r="BN181" t="s">
        <v>2553</v>
      </c>
      <c r="BO181" t="s">
        <v>89</v>
      </c>
      <c r="BP181">
        <v>94054090</v>
      </c>
      <c r="BR181" t="s">
        <v>180</v>
      </c>
      <c r="BS181" t="s">
        <v>103</v>
      </c>
      <c r="BU181">
        <v>167.27</v>
      </c>
      <c r="BV181">
        <v>384.17</v>
      </c>
      <c r="BW181">
        <v>0</v>
      </c>
      <c r="BX181">
        <v>0</v>
      </c>
      <c r="BY181">
        <v>0</v>
      </c>
      <c r="BZ181">
        <v>0</v>
      </c>
      <c r="CA181">
        <v>551.44000000000005</v>
      </c>
      <c r="CF181" s="2"/>
      <c r="CH181" s="2"/>
      <c r="CJ181" t="s">
        <v>1023</v>
      </c>
      <c r="CK181" t="s">
        <v>1849</v>
      </c>
      <c r="CL181">
        <v>43751.590439814812</v>
      </c>
      <c r="CO181" t="s">
        <v>11</v>
      </c>
      <c r="CP181">
        <v>2787.91</v>
      </c>
      <c r="CQ181" t="s">
        <v>11</v>
      </c>
      <c r="CR181">
        <v>2787.91</v>
      </c>
      <c r="CV181" t="s">
        <v>525</v>
      </c>
      <c r="CW181" t="s">
        <v>12</v>
      </c>
      <c r="CX181" t="s">
        <v>12</v>
      </c>
      <c r="CY181" t="s">
        <v>12</v>
      </c>
      <c r="DA181" t="s">
        <v>104</v>
      </c>
      <c r="DD181" t="s">
        <v>93</v>
      </c>
      <c r="DQ181" t="s">
        <v>94</v>
      </c>
      <c r="DR181" t="s">
        <v>94</v>
      </c>
      <c r="DS181" t="s">
        <v>94</v>
      </c>
      <c r="DT181" t="s">
        <v>94</v>
      </c>
      <c r="DU181" t="s">
        <v>94</v>
      </c>
      <c r="DV181" t="s">
        <v>94</v>
      </c>
      <c r="DW181" t="s">
        <v>94</v>
      </c>
      <c r="DX181" s="2" t="s">
        <v>94</v>
      </c>
      <c r="DY181" t="s">
        <v>94</v>
      </c>
      <c r="DZ181" t="s">
        <v>94</v>
      </c>
      <c r="EA181" t="s">
        <v>94</v>
      </c>
      <c r="EB181" t="s">
        <v>94</v>
      </c>
      <c r="EC181" t="s">
        <v>94</v>
      </c>
      <c r="ED181" t="s">
        <v>94</v>
      </c>
      <c r="EE181" t="s">
        <v>89</v>
      </c>
      <c r="EF181" t="s">
        <v>425</v>
      </c>
      <c r="EG181" t="s">
        <v>105</v>
      </c>
      <c r="EJ181" t="s">
        <v>166</v>
      </c>
      <c r="EK181" t="b">
        <v>0</v>
      </c>
      <c r="EL181" t="b">
        <v>0</v>
      </c>
      <c r="EM181" t="b">
        <v>0</v>
      </c>
      <c r="EO181" t="s">
        <v>177</v>
      </c>
      <c r="EP181" t="s">
        <v>2554</v>
      </c>
    </row>
    <row r="182" spans="3:146" ht="15">
      <c r="C182" s="82">
        <v>424</v>
      </c>
      <c r="D182" s="5"/>
      <c r="E182" s="4">
        <v>2</v>
      </c>
      <c r="F182" s="5">
        <v>32.200000000000003</v>
      </c>
      <c r="G182" s="5" t="s">
        <v>2555</v>
      </c>
      <c r="H182" s="4" t="s">
        <v>2556</v>
      </c>
      <c r="I182" s="81" t="s">
        <v>920</v>
      </c>
      <c r="J182" s="21"/>
      <c r="K182" s="22" t="s">
        <v>2547</v>
      </c>
      <c r="L182" s="84" t="s">
        <v>2450</v>
      </c>
      <c r="M182" s="23" t="s">
        <v>920</v>
      </c>
      <c r="N182" s="23">
        <v>43756</v>
      </c>
      <c r="O182" s="24" t="s">
        <v>102</v>
      </c>
      <c r="P182" s="24" t="s">
        <v>181</v>
      </c>
      <c r="Q182" s="24">
        <v>2</v>
      </c>
      <c r="R182" s="24">
        <v>32.200000000000003</v>
      </c>
      <c r="S182" t="s">
        <v>11</v>
      </c>
      <c r="T182">
        <v>2000</v>
      </c>
      <c r="U182" s="2" t="s">
        <v>163</v>
      </c>
      <c r="V182">
        <v>43756.817430555559</v>
      </c>
      <c r="W182" s="2" t="s">
        <v>427</v>
      </c>
      <c r="X182">
        <v>43756.872800925928</v>
      </c>
      <c r="AB182" t="s">
        <v>9</v>
      </c>
      <c r="AC182" t="s">
        <v>2530</v>
      </c>
      <c r="AD182" t="s">
        <v>191</v>
      </c>
      <c r="AE182">
        <v>395044</v>
      </c>
      <c r="AF182">
        <v>395044</v>
      </c>
      <c r="AG182" t="s">
        <v>183</v>
      </c>
      <c r="AH182" t="s">
        <v>2531</v>
      </c>
      <c r="AI182" t="s">
        <v>2531</v>
      </c>
      <c r="AJ182" t="s">
        <v>601</v>
      </c>
      <c r="AK182" t="s">
        <v>602</v>
      </c>
      <c r="AL182" t="s">
        <v>2532</v>
      </c>
      <c r="AO182" t="s">
        <v>2533</v>
      </c>
      <c r="AP182" t="s">
        <v>2534</v>
      </c>
      <c r="AQ182" t="s">
        <v>2535</v>
      </c>
      <c r="AR182">
        <v>41012</v>
      </c>
      <c r="AS182">
        <v>59653209</v>
      </c>
      <c r="AT182" t="s">
        <v>2536</v>
      </c>
      <c r="AU182" t="s">
        <v>10</v>
      </c>
      <c r="AV182" t="s">
        <v>2537</v>
      </c>
      <c r="AW182" t="s">
        <v>2537</v>
      </c>
      <c r="AX182" t="s">
        <v>2538</v>
      </c>
      <c r="AY182" s="2" t="s">
        <v>2539</v>
      </c>
      <c r="AZ182" t="s">
        <v>726</v>
      </c>
      <c r="BA182" t="s">
        <v>371</v>
      </c>
      <c r="BB182" t="s">
        <v>192</v>
      </c>
      <c r="BC182" t="s">
        <v>188</v>
      </c>
      <c r="BD182">
        <v>523457</v>
      </c>
      <c r="BE182" t="s">
        <v>2557</v>
      </c>
      <c r="BF182" t="s">
        <v>2540</v>
      </c>
      <c r="BG182" t="b">
        <v>0</v>
      </c>
      <c r="BH182" s="6" t="s">
        <v>2541</v>
      </c>
      <c r="BI182" t="s">
        <v>2529</v>
      </c>
      <c r="BJ182">
        <v>4453163191</v>
      </c>
      <c r="BK182" t="s">
        <v>162</v>
      </c>
      <c r="BL182" t="s">
        <v>161</v>
      </c>
      <c r="BM182" s="2"/>
      <c r="BO182" t="s">
        <v>89</v>
      </c>
      <c r="BP182">
        <v>6204320090</v>
      </c>
      <c r="BR182" t="s">
        <v>180</v>
      </c>
      <c r="BS182" t="s">
        <v>103</v>
      </c>
      <c r="BU182">
        <v>120</v>
      </c>
      <c r="BV182">
        <v>275.60000000000002</v>
      </c>
      <c r="BW182">
        <v>0</v>
      </c>
      <c r="BX182">
        <v>0</v>
      </c>
      <c r="BY182">
        <v>0</v>
      </c>
      <c r="BZ182">
        <v>0</v>
      </c>
      <c r="CA182">
        <v>395.6</v>
      </c>
      <c r="CB182" t="s">
        <v>444</v>
      </c>
      <c r="CF182" s="2"/>
      <c r="CH182" s="2"/>
      <c r="CJ182" t="s">
        <v>1023</v>
      </c>
      <c r="CK182" t="s">
        <v>1509</v>
      </c>
      <c r="CL182">
        <v>43756.382523148146</v>
      </c>
      <c r="CO182" t="s">
        <v>11</v>
      </c>
      <c r="CP182">
        <v>2000</v>
      </c>
      <c r="CQ182" t="s">
        <v>11</v>
      </c>
      <c r="CR182">
        <v>2000</v>
      </c>
      <c r="CV182" t="s">
        <v>190</v>
      </c>
      <c r="CW182" t="s">
        <v>12</v>
      </c>
      <c r="CX182" t="s">
        <v>12</v>
      </c>
      <c r="CY182" t="s">
        <v>12</v>
      </c>
      <c r="DA182" t="s">
        <v>104</v>
      </c>
      <c r="DD182" t="s">
        <v>93</v>
      </c>
      <c r="DQ182" t="s">
        <v>94</v>
      </c>
      <c r="DR182" t="s">
        <v>94</v>
      </c>
      <c r="DS182" t="s">
        <v>94</v>
      </c>
      <c r="DT182" t="s">
        <v>94</v>
      </c>
      <c r="DU182" t="s">
        <v>94</v>
      </c>
      <c r="DV182" t="s">
        <v>94</v>
      </c>
      <c r="DW182" t="s">
        <v>94</v>
      </c>
      <c r="DX182" s="2" t="s">
        <v>94</v>
      </c>
      <c r="DY182" t="s">
        <v>94</v>
      </c>
      <c r="DZ182" t="s">
        <v>94</v>
      </c>
      <c r="EA182" t="s">
        <v>94</v>
      </c>
      <c r="EB182" t="s">
        <v>94</v>
      </c>
      <c r="EC182" t="s">
        <v>94</v>
      </c>
      <c r="ED182" t="s">
        <v>94</v>
      </c>
      <c r="EE182" t="s">
        <v>89</v>
      </c>
      <c r="EF182" t="s">
        <v>425</v>
      </c>
      <c r="EG182" t="s">
        <v>105</v>
      </c>
      <c r="EJ182" t="s">
        <v>166</v>
      </c>
      <c r="EK182" t="b">
        <v>0</v>
      </c>
      <c r="EL182" t="b">
        <v>0</v>
      </c>
      <c r="EM182" t="b">
        <v>0</v>
      </c>
      <c r="EO182" t="s">
        <v>177</v>
      </c>
      <c r="EP182" t="s">
        <v>2558</v>
      </c>
    </row>
    <row r="183" spans="3:146" ht="15">
      <c r="C183" s="82">
        <v>2752</v>
      </c>
      <c r="D183" s="5"/>
      <c r="E183" s="4">
        <v>3</v>
      </c>
      <c r="F183" s="5">
        <v>7.5</v>
      </c>
      <c r="G183" s="5" t="s">
        <v>2559</v>
      </c>
      <c r="H183" s="4" t="s">
        <v>1405</v>
      </c>
      <c r="I183" s="81" t="s">
        <v>164</v>
      </c>
      <c r="J183" s="21"/>
      <c r="K183" s="22" t="s">
        <v>2487</v>
      </c>
      <c r="L183" s="84" t="s">
        <v>2469</v>
      </c>
      <c r="M183" s="23" t="s">
        <v>447</v>
      </c>
      <c r="N183" s="23">
        <v>43761</v>
      </c>
      <c r="O183" s="24" t="s">
        <v>102</v>
      </c>
      <c r="P183" s="24" t="s">
        <v>181</v>
      </c>
      <c r="Q183" s="24">
        <v>3</v>
      </c>
      <c r="R183" s="24">
        <v>7.5</v>
      </c>
      <c r="S183" t="s">
        <v>319</v>
      </c>
      <c r="T183">
        <v>679</v>
      </c>
      <c r="U183" s="2" t="s">
        <v>163</v>
      </c>
      <c r="V183">
        <v>43761.817187499997</v>
      </c>
      <c r="W183" s="2" t="s">
        <v>444</v>
      </c>
      <c r="X183">
        <v>43761.842465277776</v>
      </c>
      <c r="AB183" t="s">
        <v>9</v>
      </c>
      <c r="AC183" t="s">
        <v>1552</v>
      </c>
      <c r="AD183" t="s">
        <v>182</v>
      </c>
      <c r="AE183">
        <v>70714158</v>
      </c>
      <c r="AF183">
        <v>70714158</v>
      </c>
      <c r="AG183" t="s">
        <v>1729</v>
      </c>
      <c r="AH183" t="s">
        <v>2489</v>
      </c>
      <c r="AI183" t="s">
        <v>2489</v>
      </c>
      <c r="AJ183" t="s">
        <v>776</v>
      </c>
      <c r="AK183" t="s">
        <v>777</v>
      </c>
      <c r="AL183" t="s">
        <v>2490</v>
      </c>
      <c r="AO183" t="s">
        <v>2491</v>
      </c>
      <c r="AP183" t="s">
        <v>1556</v>
      </c>
      <c r="AQ183" t="s">
        <v>1386</v>
      </c>
      <c r="AR183">
        <v>75203</v>
      </c>
      <c r="AS183">
        <v>15221858281</v>
      </c>
      <c r="AT183" t="s">
        <v>2492</v>
      </c>
      <c r="AU183" t="s">
        <v>10</v>
      </c>
      <c r="AV183" t="s">
        <v>2493</v>
      </c>
      <c r="AW183" t="s">
        <v>2493</v>
      </c>
      <c r="AX183" t="s">
        <v>2494</v>
      </c>
      <c r="AY183" s="2" t="s">
        <v>2495</v>
      </c>
      <c r="AZ183" t="s">
        <v>2496</v>
      </c>
      <c r="BA183" t="s">
        <v>186</v>
      </c>
      <c r="BB183" t="s">
        <v>187</v>
      </c>
      <c r="BC183" t="s">
        <v>188</v>
      </c>
      <c r="BD183">
        <v>518103</v>
      </c>
      <c r="BE183" t="s">
        <v>1722</v>
      </c>
      <c r="BF183" t="s">
        <v>1723</v>
      </c>
      <c r="BG183" t="b">
        <v>0</v>
      </c>
      <c r="BH183" s="6" t="s">
        <v>2497</v>
      </c>
      <c r="BI183" t="s">
        <v>2488</v>
      </c>
      <c r="BJ183">
        <v>4453163191</v>
      </c>
      <c r="BK183" t="s">
        <v>162</v>
      </c>
      <c r="BL183" t="s">
        <v>161</v>
      </c>
      <c r="BM183" s="2"/>
      <c r="BN183" t="s">
        <v>1726</v>
      </c>
      <c r="BO183" t="s">
        <v>89</v>
      </c>
      <c r="BP183">
        <v>94051000</v>
      </c>
      <c r="BR183" t="s">
        <v>189</v>
      </c>
      <c r="BS183" t="s">
        <v>103</v>
      </c>
      <c r="BU183">
        <v>240.13</v>
      </c>
      <c r="BV183">
        <v>655.53</v>
      </c>
      <c r="BW183">
        <v>0</v>
      </c>
      <c r="BX183">
        <v>0</v>
      </c>
      <c r="BY183">
        <v>0</v>
      </c>
      <c r="BZ183">
        <v>0</v>
      </c>
      <c r="CA183">
        <v>895.66</v>
      </c>
      <c r="CF183" s="2"/>
      <c r="CH183" s="2"/>
      <c r="CJ183" t="s">
        <v>1023</v>
      </c>
      <c r="CK183" t="s">
        <v>1509</v>
      </c>
      <c r="CL183">
        <v>43761.572002314817</v>
      </c>
      <c r="CO183" t="s">
        <v>11</v>
      </c>
      <c r="CP183">
        <v>4802.43</v>
      </c>
      <c r="CQ183" t="s">
        <v>11</v>
      </c>
      <c r="CR183">
        <v>4802.43</v>
      </c>
      <c r="CV183" t="s">
        <v>525</v>
      </c>
      <c r="CW183" t="s">
        <v>12</v>
      </c>
      <c r="CX183" t="s">
        <v>12</v>
      </c>
      <c r="CY183" t="s">
        <v>12</v>
      </c>
      <c r="DA183" t="s">
        <v>104</v>
      </c>
      <c r="DD183" t="s">
        <v>93</v>
      </c>
      <c r="DQ183" t="s">
        <v>94</v>
      </c>
      <c r="DR183" t="s">
        <v>94</v>
      </c>
      <c r="DS183" t="s">
        <v>94</v>
      </c>
      <c r="DT183" t="s">
        <v>94</v>
      </c>
      <c r="DU183" t="s">
        <v>94</v>
      </c>
      <c r="DV183" t="s">
        <v>94</v>
      </c>
      <c r="DW183" t="s">
        <v>94</v>
      </c>
      <c r="DX183" s="2" t="s">
        <v>94</v>
      </c>
      <c r="DY183" t="s">
        <v>94</v>
      </c>
      <c r="DZ183" t="s">
        <v>94</v>
      </c>
      <c r="EA183" t="s">
        <v>94</v>
      </c>
      <c r="EB183" t="s">
        <v>94</v>
      </c>
      <c r="EC183" t="s">
        <v>94</v>
      </c>
      <c r="ED183" t="s">
        <v>94</v>
      </c>
      <c r="EE183" t="s">
        <v>89</v>
      </c>
      <c r="EF183" t="s">
        <v>425</v>
      </c>
      <c r="EG183" t="s">
        <v>105</v>
      </c>
      <c r="EJ183" t="s">
        <v>166</v>
      </c>
      <c r="EK183" t="b">
        <v>0</v>
      </c>
      <c r="EL183" t="b">
        <v>0</v>
      </c>
      <c r="EM183" t="b">
        <v>0</v>
      </c>
      <c r="EO183" t="s">
        <v>177</v>
      </c>
      <c r="EP183" t="s">
        <v>2560</v>
      </c>
    </row>
    <row r="184" spans="3:146" ht="15">
      <c r="C184" s="82">
        <v>2752</v>
      </c>
      <c r="D184" s="5">
        <v>10</v>
      </c>
      <c r="E184" s="4">
        <v>1</v>
      </c>
      <c r="F184" s="5">
        <v>10</v>
      </c>
      <c r="G184" s="5" t="s">
        <v>2609</v>
      </c>
      <c r="H184" s="4" t="s">
        <v>2610</v>
      </c>
      <c r="I184" s="81" t="s">
        <v>924</v>
      </c>
      <c r="J184" s="21"/>
      <c r="K184" s="22" t="s">
        <v>2561</v>
      </c>
      <c r="L184" s="84" t="s">
        <v>1921</v>
      </c>
      <c r="M184" s="23" t="s">
        <v>924</v>
      </c>
      <c r="N184" s="23">
        <v>43744</v>
      </c>
      <c r="O184" s="24" t="s">
        <v>102</v>
      </c>
      <c r="P184" s="24" t="s">
        <v>480</v>
      </c>
      <c r="Q184" s="24">
        <v>1</v>
      </c>
      <c r="R184" s="24">
        <v>5</v>
      </c>
      <c r="S184" t="s">
        <v>2562</v>
      </c>
      <c r="T184">
        <v>59938.78</v>
      </c>
      <c r="U184" s="2"/>
      <c r="W184" s="2"/>
      <c r="AB184" t="s">
        <v>9</v>
      </c>
      <c r="AC184" t="s">
        <v>2131</v>
      </c>
      <c r="AD184" t="s">
        <v>249</v>
      </c>
      <c r="AE184" t="s">
        <v>2611</v>
      </c>
      <c r="AF184" t="s">
        <v>2611</v>
      </c>
      <c r="AG184" t="s">
        <v>183</v>
      </c>
      <c r="AH184" t="s">
        <v>2563</v>
      </c>
      <c r="AI184" t="s">
        <v>2563</v>
      </c>
      <c r="AJ184" t="s">
        <v>1257</v>
      </c>
      <c r="AK184" t="s">
        <v>1258</v>
      </c>
      <c r="AL184" t="s">
        <v>2564</v>
      </c>
      <c r="AO184" t="s">
        <v>2565</v>
      </c>
      <c r="AP184" t="s">
        <v>2135</v>
      </c>
      <c r="AR184" t="s">
        <v>2612</v>
      </c>
      <c r="AS184">
        <v>-4526749791</v>
      </c>
      <c r="AT184" t="s">
        <v>2566</v>
      </c>
      <c r="AU184" t="s">
        <v>10</v>
      </c>
      <c r="AV184" t="s">
        <v>2567</v>
      </c>
      <c r="AW184" t="s">
        <v>2567</v>
      </c>
      <c r="AX184" t="s">
        <v>2568</v>
      </c>
      <c r="AY184" s="2" t="s">
        <v>2569</v>
      </c>
      <c r="AZ184" t="s">
        <v>2570</v>
      </c>
      <c r="BA184" t="s">
        <v>2571</v>
      </c>
      <c r="BB184" t="s">
        <v>2572</v>
      </c>
      <c r="BC184" t="s">
        <v>317</v>
      </c>
      <c r="BD184">
        <v>550081</v>
      </c>
      <c r="BE184" t="s">
        <v>2613</v>
      </c>
      <c r="BF184" t="s">
        <v>2573</v>
      </c>
      <c r="BG184" t="b">
        <v>0</v>
      </c>
      <c r="BH184" s="6" t="s">
        <v>2574</v>
      </c>
      <c r="BI184" t="s">
        <v>2575</v>
      </c>
      <c r="BJ184">
        <v>4453163191</v>
      </c>
      <c r="BK184" t="s">
        <v>162</v>
      </c>
      <c r="BL184" t="s">
        <v>161</v>
      </c>
      <c r="BM184" s="2"/>
      <c r="BR184" t="s">
        <v>180</v>
      </c>
      <c r="BU184">
        <v>0</v>
      </c>
      <c r="BV184">
        <v>0</v>
      </c>
      <c r="BW184">
        <v>0</v>
      </c>
      <c r="BX184">
        <v>0</v>
      </c>
      <c r="BY184">
        <v>0</v>
      </c>
      <c r="BZ184">
        <v>0</v>
      </c>
      <c r="CA184">
        <v>0</v>
      </c>
      <c r="CF184" s="2"/>
      <c r="CH184" s="2"/>
      <c r="CK184" t="s">
        <v>1509</v>
      </c>
      <c r="CL184">
        <v>43742.835775462961</v>
      </c>
      <c r="CO184" t="s">
        <v>11</v>
      </c>
      <c r="CP184">
        <v>62869.79</v>
      </c>
      <c r="CQ184" t="s">
        <v>11</v>
      </c>
      <c r="CR184">
        <v>62869.79</v>
      </c>
      <c r="CV184" t="s">
        <v>190</v>
      </c>
      <c r="CW184" t="s">
        <v>12</v>
      </c>
      <c r="CX184" t="s">
        <v>12</v>
      </c>
      <c r="CY184" t="s">
        <v>12</v>
      </c>
      <c r="DA184" t="s">
        <v>104</v>
      </c>
      <c r="DD184" t="s">
        <v>93</v>
      </c>
      <c r="DQ184" t="s">
        <v>94</v>
      </c>
      <c r="DR184" t="s">
        <v>94</v>
      </c>
      <c r="DS184" t="s">
        <v>94</v>
      </c>
      <c r="DT184" t="s">
        <v>94</v>
      </c>
      <c r="DU184" t="s">
        <v>94</v>
      </c>
      <c r="DV184" t="s">
        <v>94</v>
      </c>
      <c r="DW184" t="s">
        <v>94</v>
      </c>
      <c r="DX184" s="2" t="s">
        <v>94</v>
      </c>
      <c r="DY184" t="s">
        <v>94</v>
      </c>
      <c r="DZ184" t="s">
        <v>94</v>
      </c>
      <c r="EA184" t="s">
        <v>94</v>
      </c>
      <c r="EB184" t="s">
        <v>94</v>
      </c>
      <c r="EC184" t="s">
        <v>94</v>
      </c>
      <c r="ED184" t="s">
        <v>94</v>
      </c>
      <c r="EE184" t="s">
        <v>89</v>
      </c>
      <c r="EF184" t="s">
        <v>94</v>
      </c>
      <c r="EG184" t="s">
        <v>105</v>
      </c>
      <c r="EJ184" t="s">
        <v>166</v>
      </c>
      <c r="EK184" t="b">
        <v>0</v>
      </c>
      <c r="EL184" t="b">
        <v>0</v>
      </c>
      <c r="EM184" t="b">
        <v>0</v>
      </c>
      <c r="EO184" t="s">
        <v>178</v>
      </c>
      <c r="EP184" t="s">
        <v>2614</v>
      </c>
    </row>
    <row r="185" spans="3:146" ht="15">
      <c r="C185" s="82">
        <v>1231</v>
      </c>
      <c r="D185" s="5"/>
      <c r="E185" s="4">
        <v>1</v>
      </c>
      <c r="F185" s="5">
        <v>8.15</v>
      </c>
      <c r="G185" s="5" t="s">
        <v>2615</v>
      </c>
      <c r="H185" s="4" t="s">
        <v>2616</v>
      </c>
      <c r="I185" s="81" t="s">
        <v>164</v>
      </c>
      <c r="J185" s="21"/>
      <c r="K185" s="22" t="s">
        <v>2576</v>
      </c>
      <c r="L185" s="84" t="s">
        <v>2172</v>
      </c>
      <c r="M185" s="23" t="s">
        <v>164</v>
      </c>
      <c r="N185" s="23">
        <v>43747</v>
      </c>
      <c r="O185" s="24" t="s">
        <v>102</v>
      </c>
      <c r="P185" s="24" t="s">
        <v>181</v>
      </c>
      <c r="Q185" s="24">
        <v>1</v>
      </c>
      <c r="R185" s="24">
        <v>8.15</v>
      </c>
      <c r="S185" t="s">
        <v>11</v>
      </c>
      <c r="T185">
        <v>400</v>
      </c>
      <c r="U185" s="2" t="s">
        <v>163</v>
      </c>
      <c r="V185">
        <v>43747.830578703702</v>
      </c>
      <c r="W185" s="2" t="s">
        <v>444</v>
      </c>
      <c r="X185">
        <v>43760.610150462962</v>
      </c>
      <c r="AB185" t="s">
        <v>9</v>
      </c>
      <c r="AC185" t="s">
        <v>2577</v>
      </c>
      <c r="AD185" t="s">
        <v>756</v>
      </c>
      <c r="AE185" t="s">
        <v>2617</v>
      </c>
      <c r="AF185" t="s">
        <v>2617</v>
      </c>
      <c r="AG185" t="s">
        <v>183</v>
      </c>
      <c r="AH185" t="s">
        <v>2578</v>
      </c>
      <c r="AI185" t="s">
        <v>2578</v>
      </c>
      <c r="AJ185" t="s">
        <v>373</v>
      </c>
      <c r="AK185" t="s">
        <v>430</v>
      </c>
      <c r="AL185" t="s">
        <v>2579</v>
      </c>
      <c r="AM185" t="s">
        <v>2580</v>
      </c>
      <c r="AO185" t="s">
        <v>2581</v>
      </c>
      <c r="AR185" t="s">
        <v>2618</v>
      </c>
      <c r="AS185">
        <v>225559708</v>
      </c>
      <c r="AT185" t="s">
        <v>2582</v>
      </c>
      <c r="AU185" t="s">
        <v>10</v>
      </c>
      <c r="AV185" t="s">
        <v>2583</v>
      </c>
      <c r="AW185" t="s">
        <v>2583</v>
      </c>
      <c r="AX185" t="s">
        <v>2584</v>
      </c>
      <c r="AY185" s="2" t="s">
        <v>2585</v>
      </c>
      <c r="AZ185" t="s">
        <v>2586</v>
      </c>
      <c r="BA185" t="s">
        <v>2587</v>
      </c>
      <c r="BB185" t="s">
        <v>766</v>
      </c>
      <c r="BC185" t="s">
        <v>765</v>
      </c>
      <c r="BD185">
        <v>401329</v>
      </c>
      <c r="BE185" t="s">
        <v>2588</v>
      </c>
      <c r="BF185" t="s">
        <v>2589</v>
      </c>
      <c r="BG185" t="b">
        <v>0</v>
      </c>
      <c r="BH185" s="6" t="s">
        <v>2590</v>
      </c>
      <c r="BI185" t="s">
        <v>2591</v>
      </c>
      <c r="BJ185">
        <v>4453163191</v>
      </c>
      <c r="BK185" t="s">
        <v>162</v>
      </c>
      <c r="BL185" t="s">
        <v>161</v>
      </c>
      <c r="BM185" s="2"/>
      <c r="BO185" t="s">
        <v>89</v>
      </c>
      <c r="BP185">
        <v>28492000</v>
      </c>
      <c r="BR185" t="s">
        <v>180</v>
      </c>
      <c r="BS185" t="s">
        <v>103</v>
      </c>
      <c r="BU185">
        <v>0</v>
      </c>
      <c r="BV185">
        <v>54.86</v>
      </c>
      <c r="BW185">
        <v>0</v>
      </c>
      <c r="BX185">
        <v>0</v>
      </c>
      <c r="BY185">
        <v>0</v>
      </c>
      <c r="BZ185">
        <v>0</v>
      </c>
      <c r="CA185">
        <v>54.86</v>
      </c>
      <c r="CF185" s="2"/>
      <c r="CH185" s="2"/>
      <c r="CJ185">
        <v>5.3142019950143603E+17</v>
      </c>
      <c r="CK185" t="s">
        <v>1509</v>
      </c>
      <c r="CL185">
        <v>43747.567511574074</v>
      </c>
      <c r="CO185" t="s">
        <v>11</v>
      </c>
      <c r="CP185">
        <v>400</v>
      </c>
      <c r="CQ185" t="s">
        <v>11</v>
      </c>
      <c r="CR185">
        <v>400</v>
      </c>
      <c r="CV185" t="s">
        <v>190</v>
      </c>
      <c r="CW185" t="s">
        <v>12</v>
      </c>
      <c r="CX185" t="s">
        <v>12</v>
      </c>
      <c r="CY185" t="s">
        <v>12</v>
      </c>
      <c r="DA185" t="s">
        <v>104</v>
      </c>
      <c r="DD185" t="s">
        <v>93</v>
      </c>
      <c r="DQ185" t="s">
        <v>94</v>
      </c>
      <c r="DR185" t="s">
        <v>94</v>
      </c>
      <c r="DS185" t="s">
        <v>94</v>
      </c>
      <c r="DT185" t="s">
        <v>94</v>
      </c>
      <c r="DU185" t="s">
        <v>94</v>
      </c>
      <c r="DV185" t="s">
        <v>94</v>
      </c>
      <c r="DW185" t="s">
        <v>94</v>
      </c>
      <c r="DX185" s="2" t="s">
        <v>94</v>
      </c>
      <c r="DY185" t="s">
        <v>94</v>
      </c>
      <c r="DZ185" t="s">
        <v>94</v>
      </c>
      <c r="EA185" t="s">
        <v>94</v>
      </c>
      <c r="EB185" t="s">
        <v>94</v>
      </c>
      <c r="EC185" t="s">
        <v>94</v>
      </c>
      <c r="ED185" t="s">
        <v>94</v>
      </c>
      <c r="EE185" t="s">
        <v>89</v>
      </c>
      <c r="EF185" t="s">
        <v>425</v>
      </c>
      <c r="EG185" t="s">
        <v>105</v>
      </c>
      <c r="EJ185" t="s">
        <v>166</v>
      </c>
      <c r="EK185" t="b">
        <v>0</v>
      </c>
      <c r="EL185" t="b">
        <v>0</v>
      </c>
      <c r="EM185" t="b">
        <v>0</v>
      </c>
      <c r="EO185" t="s">
        <v>177</v>
      </c>
      <c r="EP185" t="s">
        <v>2619</v>
      </c>
    </row>
    <row r="186" spans="3:146" ht="15">
      <c r="C186" s="82">
        <v>132</v>
      </c>
      <c r="D186" s="5"/>
      <c r="E186" s="4">
        <v>1</v>
      </c>
      <c r="F186" s="5">
        <v>2</v>
      </c>
      <c r="G186" s="5" t="s">
        <v>2620</v>
      </c>
      <c r="H186" s="4" t="s">
        <v>2621</v>
      </c>
      <c r="I186" s="81" t="s">
        <v>920</v>
      </c>
      <c r="J186" s="21"/>
      <c r="K186" s="22" t="s">
        <v>2592</v>
      </c>
      <c r="L186" s="84" t="s">
        <v>2450</v>
      </c>
      <c r="M186" s="23" t="s">
        <v>920</v>
      </c>
      <c r="N186" s="23">
        <v>43756</v>
      </c>
      <c r="O186" s="24" t="s">
        <v>102</v>
      </c>
      <c r="P186" s="24" t="s">
        <v>181</v>
      </c>
      <c r="Q186" s="24">
        <v>1</v>
      </c>
      <c r="R186" s="24">
        <v>2</v>
      </c>
      <c r="S186" t="s">
        <v>319</v>
      </c>
      <c r="T186">
        <v>200</v>
      </c>
      <c r="U186" s="2" t="s">
        <v>163</v>
      </c>
      <c r="V186">
        <v>43756.817523148151</v>
      </c>
      <c r="W186" s="2" t="s">
        <v>427</v>
      </c>
      <c r="X186">
        <v>43756.872800925928</v>
      </c>
      <c r="AB186" t="s">
        <v>9</v>
      </c>
      <c r="AC186" t="s">
        <v>2593</v>
      </c>
      <c r="AD186" t="s">
        <v>182</v>
      </c>
      <c r="AE186" t="s">
        <v>183</v>
      </c>
      <c r="AF186" t="s">
        <v>183</v>
      </c>
      <c r="AG186" t="s">
        <v>183</v>
      </c>
      <c r="AH186" t="s">
        <v>2594</v>
      </c>
      <c r="AI186" t="s">
        <v>2594</v>
      </c>
      <c r="AJ186" t="s">
        <v>2595</v>
      </c>
      <c r="AK186" t="s">
        <v>2596</v>
      </c>
      <c r="AL186" t="s">
        <v>2597</v>
      </c>
      <c r="AM186" t="s">
        <v>2598</v>
      </c>
      <c r="AO186" t="s">
        <v>2599</v>
      </c>
      <c r="AP186" t="s">
        <v>2600</v>
      </c>
      <c r="AR186" t="s">
        <v>2601</v>
      </c>
      <c r="AS186">
        <v>994552411421</v>
      </c>
      <c r="AU186" t="s">
        <v>10</v>
      </c>
      <c r="AV186" t="s">
        <v>2602</v>
      </c>
      <c r="AW186" t="s">
        <v>2603</v>
      </c>
      <c r="AX186" t="s">
        <v>2604</v>
      </c>
      <c r="AY186" s="2" t="s">
        <v>2605</v>
      </c>
      <c r="AZ186" t="s">
        <v>2606</v>
      </c>
      <c r="BA186" t="s">
        <v>1002</v>
      </c>
      <c r="BB186" t="s">
        <v>187</v>
      </c>
      <c r="BC186" t="s">
        <v>188</v>
      </c>
      <c r="BD186">
        <v>518112</v>
      </c>
      <c r="BE186" t="s">
        <v>2622</v>
      </c>
      <c r="BG186" t="b">
        <v>0</v>
      </c>
      <c r="BH186" s="6" t="s">
        <v>2607</v>
      </c>
      <c r="BI186" t="s">
        <v>2608</v>
      </c>
      <c r="BJ186">
        <v>4453163191</v>
      </c>
      <c r="BK186" t="s">
        <v>162</v>
      </c>
      <c r="BL186" t="s">
        <v>161</v>
      </c>
      <c r="BM186" s="2"/>
      <c r="BO186" t="s">
        <v>89</v>
      </c>
      <c r="BP186">
        <v>84433219</v>
      </c>
      <c r="BR186" t="s">
        <v>180</v>
      </c>
      <c r="BS186" t="s">
        <v>103</v>
      </c>
      <c r="BU186">
        <v>0</v>
      </c>
      <c r="BV186">
        <v>183.89</v>
      </c>
      <c r="BW186">
        <v>0</v>
      </c>
      <c r="BX186">
        <v>0</v>
      </c>
      <c r="BY186">
        <v>0</v>
      </c>
      <c r="BZ186">
        <v>0</v>
      </c>
      <c r="CA186">
        <v>183.89</v>
      </c>
      <c r="CB186" t="s">
        <v>444</v>
      </c>
      <c r="CF186" s="2"/>
      <c r="CH186" s="2"/>
      <c r="CJ186">
        <v>5.31420199501496E+17</v>
      </c>
      <c r="CK186" t="s">
        <v>1509</v>
      </c>
      <c r="CL186">
        <v>43756.38208333333</v>
      </c>
      <c r="CO186" t="s">
        <v>11</v>
      </c>
      <c r="CP186">
        <v>1414.56</v>
      </c>
      <c r="CQ186" t="s">
        <v>11</v>
      </c>
      <c r="CR186">
        <v>1414.56</v>
      </c>
      <c r="CV186" t="s">
        <v>190</v>
      </c>
      <c r="CW186" t="s">
        <v>12</v>
      </c>
      <c r="CX186" t="s">
        <v>12</v>
      </c>
      <c r="CY186" t="s">
        <v>12</v>
      </c>
      <c r="DA186" t="s">
        <v>104</v>
      </c>
      <c r="DD186" t="s">
        <v>93</v>
      </c>
      <c r="DQ186" t="s">
        <v>94</v>
      </c>
      <c r="DR186" t="s">
        <v>94</v>
      </c>
      <c r="DS186" t="s">
        <v>94</v>
      </c>
      <c r="DT186" t="s">
        <v>94</v>
      </c>
      <c r="DU186" t="s">
        <v>94</v>
      </c>
      <c r="DV186" t="s">
        <v>94</v>
      </c>
      <c r="DW186" t="s">
        <v>94</v>
      </c>
      <c r="DX186" s="2" t="s">
        <v>94</v>
      </c>
      <c r="DY186" t="s">
        <v>94</v>
      </c>
      <c r="DZ186" t="s">
        <v>94</v>
      </c>
      <c r="EA186" t="s">
        <v>94</v>
      </c>
      <c r="EB186" t="s">
        <v>94</v>
      </c>
      <c r="EC186" t="s">
        <v>94</v>
      </c>
      <c r="ED186" t="s">
        <v>94</v>
      </c>
      <c r="EE186" t="s">
        <v>89</v>
      </c>
      <c r="EF186" t="s">
        <v>425</v>
      </c>
      <c r="EG186" t="s">
        <v>105</v>
      </c>
      <c r="EJ186" t="s">
        <v>166</v>
      </c>
      <c r="EK186" t="b">
        <v>0</v>
      </c>
      <c r="EL186" t="b">
        <v>0</v>
      </c>
      <c r="EM186" t="b">
        <v>0</v>
      </c>
      <c r="EO186" t="s">
        <v>177</v>
      </c>
      <c r="EP186" t="s">
        <v>2623</v>
      </c>
    </row>
    <row r="187" spans="3:146" ht="15">
      <c r="C187" s="82" t="s">
        <v>2624</v>
      </c>
      <c r="D187" s="5">
        <v>10</v>
      </c>
      <c r="E187" s="4">
        <v>1</v>
      </c>
      <c r="F187" s="5">
        <v>10</v>
      </c>
      <c r="G187" s="5" t="s">
        <v>2625</v>
      </c>
      <c r="H187" s="4" t="s">
        <v>2610</v>
      </c>
      <c r="I187" s="81" t="s">
        <v>924</v>
      </c>
      <c r="J187" s="21"/>
      <c r="K187" s="22" t="s">
        <v>2561</v>
      </c>
      <c r="L187" s="84" t="s">
        <v>1779</v>
      </c>
      <c r="M187" s="23" t="s">
        <v>924</v>
      </c>
      <c r="N187" s="23">
        <v>43744</v>
      </c>
      <c r="O187" s="24" t="s">
        <v>102</v>
      </c>
      <c r="P187" s="24" t="s">
        <v>480</v>
      </c>
      <c r="Q187" s="24">
        <v>1</v>
      </c>
      <c r="R187" s="24">
        <v>5</v>
      </c>
      <c r="S187" t="s">
        <v>2562</v>
      </c>
      <c r="T187">
        <v>59938.78</v>
      </c>
      <c r="U187" s="2"/>
      <c r="W187" s="2"/>
      <c r="AB187" t="s">
        <v>9</v>
      </c>
      <c r="AC187" t="s">
        <v>2131</v>
      </c>
      <c r="AD187" t="s">
        <v>249</v>
      </c>
      <c r="AE187" t="s">
        <v>2611</v>
      </c>
      <c r="AF187" t="s">
        <v>2611</v>
      </c>
      <c r="AG187" t="s">
        <v>183</v>
      </c>
      <c r="AH187" t="s">
        <v>2563</v>
      </c>
      <c r="AI187" t="s">
        <v>2563</v>
      </c>
      <c r="AJ187" t="s">
        <v>1257</v>
      </c>
      <c r="AK187" t="s">
        <v>1258</v>
      </c>
      <c r="AL187" t="s">
        <v>2564</v>
      </c>
      <c r="AO187" t="s">
        <v>2565</v>
      </c>
      <c r="AP187" t="s">
        <v>2135</v>
      </c>
      <c r="AR187" t="s">
        <v>2612</v>
      </c>
      <c r="AS187">
        <v>-4526749791</v>
      </c>
      <c r="AT187" t="s">
        <v>2566</v>
      </c>
      <c r="AU187" t="s">
        <v>10</v>
      </c>
      <c r="AV187" t="s">
        <v>2567</v>
      </c>
      <c r="AW187" t="s">
        <v>2567</v>
      </c>
      <c r="AX187" t="s">
        <v>2568</v>
      </c>
      <c r="AY187" s="2" t="s">
        <v>2569</v>
      </c>
      <c r="AZ187" t="s">
        <v>2570</v>
      </c>
      <c r="BA187" t="s">
        <v>2571</v>
      </c>
      <c r="BB187" t="s">
        <v>2572</v>
      </c>
      <c r="BC187" t="s">
        <v>317</v>
      </c>
      <c r="BD187">
        <v>550081</v>
      </c>
      <c r="BE187" t="s">
        <v>2613</v>
      </c>
      <c r="BF187" t="s">
        <v>2573</v>
      </c>
      <c r="BG187" t="b">
        <v>0</v>
      </c>
      <c r="BH187" s="6" t="s">
        <v>2574</v>
      </c>
      <c r="BI187" t="s">
        <v>2575</v>
      </c>
      <c r="BJ187">
        <v>4453163191</v>
      </c>
      <c r="BK187" t="s">
        <v>162</v>
      </c>
      <c r="BL187" t="s">
        <v>161</v>
      </c>
      <c r="BM187" s="2"/>
      <c r="BR187" t="s">
        <v>180</v>
      </c>
      <c r="BU187">
        <v>0</v>
      </c>
      <c r="BV187">
        <v>0</v>
      </c>
      <c r="BW187">
        <v>0</v>
      </c>
      <c r="BX187">
        <v>0</v>
      </c>
      <c r="BY187">
        <v>0</v>
      </c>
      <c r="BZ187">
        <v>0</v>
      </c>
      <c r="CA187">
        <v>0</v>
      </c>
      <c r="CF187" s="2"/>
      <c r="CH187" s="2"/>
      <c r="CK187" t="s">
        <v>1509</v>
      </c>
      <c r="CL187">
        <v>43742.835775462961</v>
      </c>
      <c r="CO187" t="s">
        <v>11</v>
      </c>
      <c r="CP187">
        <v>62869.79</v>
      </c>
      <c r="CQ187" t="s">
        <v>11</v>
      </c>
      <c r="CR187">
        <v>62869.79</v>
      </c>
      <c r="CV187" t="s">
        <v>190</v>
      </c>
      <c r="CW187" t="s">
        <v>12</v>
      </c>
      <c r="CX187" t="s">
        <v>12</v>
      </c>
      <c r="CY187" t="s">
        <v>12</v>
      </c>
      <c r="DA187" t="s">
        <v>104</v>
      </c>
      <c r="DD187" t="s">
        <v>93</v>
      </c>
      <c r="DQ187" t="s">
        <v>94</v>
      </c>
      <c r="DR187" t="s">
        <v>94</v>
      </c>
      <c r="DS187" t="s">
        <v>94</v>
      </c>
      <c r="DT187" t="s">
        <v>94</v>
      </c>
      <c r="DU187" t="s">
        <v>94</v>
      </c>
      <c r="DV187" t="s">
        <v>94</v>
      </c>
      <c r="DW187" t="s">
        <v>94</v>
      </c>
      <c r="DX187" s="2" t="s">
        <v>94</v>
      </c>
      <c r="DY187" t="s">
        <v>94</v>
      </c>
      <c r="DZ187" t="s">
        <v>94</v>
      </c>
      <c r="EA187" t="s">
        <v>94</v>
      </c>
      <c r="EB187" t="s">
        <v>94</v>
      </c>
      <c r="EC187" t="s">
        <v>94</v>
      </c>
      <c r="ED187" t="s">
        <v>94</v>
      </c>
      <c r="EE187" t="s">
        <v>89</v>
      </c>
      <c r="EF187" t="s">
        <v>94</v>
      </c>
      <c r="EG187" t="s">
        <v>105</v>
      </c>
      <c r="EJ187" t="s">
        <v>166</v>
      </c>
      <c r="EK187" t="b">
        <v>0</v>
      </c>
      <c r="EL187" t="b">
        <v>0</v>
      </c>
      <c r="EM187" t="b">
        <v>0</v>
      </c>
      <c r="EO187" t="s">
        <v>178</v>
      </c>
      <c r="EP187" t="s">
        <v>2626</v>
      </c>
    </row>
    <row r="188" spans="3:146" ht="15">
      <c r="C188" s="82" t="s">
        <v>2624</v>
      </c>
      <c r="D188" s="5">
        <v>10</v>
      </c>
      <c r="E188" s="4">
        <v>1</v>
      </c>
      <c r="F188" s="5">
        <v>10</v>
      </c>
      <c r="G188" s="5" t="s">
        <v>2627</v>
      </c>
      <c r="H188" s="4" t="s">
        <v>2610</v>
      </c>
      <c r="I188" s="81" t="s">
        <v>924</v>
      </c>
      <c r="J188" s="21"/>
      <c r="K188" s="22" t="s">
        <v>2561</v>
      </c>
      <c r="L188" s="84" t="s">
        <v>1779</v>
      </c>
      <c r="M188" s="23" t="s">
        <v>924</v>
      </c>
      <c r="N188" s="23">
        <v>43744</v>
      </c>
      <c r="O188" s="24" t="s">
        <v>102</v>
      </c>
      <c r="P188" s="24" t="s">
        <v>480</v>
      </c>
      <c r="Q188" s="24">
        <v>1</v>
      </c>
      <c r="R188" s="24">
        <v>1</v>
      </c>
      <c r="S188" t="s">
        <v>2562</v>
      </c>
      <c r="T188">
        <v>59938.78</v>
      </c>
      <c r="U188" s="2"/>
      <c r="W188" s="2"/>
      <c r="AB188" t="s">
        <v>9</v>
      </c>
      <c r="AC188" t="s">
        <v>2131</v>
      </c>
      <c r="AD188" t="s">
        <v>249</v>
      </c>
      <c r="AE188" t="s">
        <v>2611</v>
      </c>
      <c r="AF188" t="s">
        <v>2611</v>
      </c>
      <c r="AG188" t="s">
        <v>183</v>
      </c>
      <c r="AH188" t="s">
        <v>2563</v>
      </c>
      <c r="AI188" t="s">
        <v>2563</v>
      </c>
      <c r="AJ188" t="s">
        <v>1257</v>
      </c>
      <c r="AK188" t="s">
        <v>1258</v>
      </c>
      <c r="AL188" t="s">
        <v>2564</v>
      </c>
      <c r="AO188" t="s">
        <v>2565</v>
      </c>
      <c r="AP188" t="s">
        <v>2135</v>
      </c>
      <c r="AR188" t="s">
        <v>2612</v>
      </c>
      <c r="AS188">
        <v>-4526749791</v>
      </c>
      <c r="AT188" t="s">
        <v>2566</v>
      </c>
      <c r="AU188" t="s">
        <v>10</v>
      </c>
      <c r="AV188" t="s">
        <v>2567</v>
      </c>
      <c r="AW188" t="s">
        <v>2567</v>
      </c>
      <c r="AX188" t="s">
        <v>2568</v>
      </c>
      <c r="AY188" s="2" t="s">
        <v>2569</v>
      </c>
      <c r="AZ188" t="s">
        <v>2570</v>
      </c>
      <c r="BA188" t="s">
        <v>2571</v>
      </c>
      <c r="BB188" t="s">
        <v>2572</v>
      </c>
      <c r="BC188" t="s">
        <v>317</v>
      </c>
      <c r="BD188">
        <v>550081</v>
      </c>
      <c r="BE188" t="s">
        <v>2613</v>
      </c>
      <c r="BF188" t="s">
        <v>2573</v>
      </c>
      <c r="BG188" t="b">
        <v>0</v>
      </c>
      <c r="BH188" s="6" t="s">
        <v>2574</v>
      </c>
      <c r="BI188" t="s">
        <v>2575</v>
      </c>
      <c r="BJ188">
        <v>4453163191</v>
      </c>
      <c r="BK188" t="s">
        <v>162</v>
      </c>
      <c r="BL188" t="s">
        <v>161</v>
      </c>
      <c r="BM188" s="2"/>
      <c r="BR188" t="s">
        <v>180</v>
      </c>
      <c r="BU188">
        <v>0</v>
      </c>
      <c r="BV188">
        <v>0</v>
      </c>
      <c r="BW188">
        <v>0</v>
      </c>
      <c r="BX188">
        <v>0</v>
      </c>
      <c r="BY188">
        <v>0</v>
      </c>
      <c r="BZ188">
        <v>0</v>
      </c>
      <c r="CA188">
        <v>0</v>
      </c>
      <c r="CF188" s="2"/>
      <c r="CH188" s="2"/>
      <c r="CK188" t="s">
        <v>1509</v>
      </c>
      <c r="CL188">
        <v>43742.835775462961</v>
      </c>
      <c r="CO188" t="s">
        <v>11</v>
      </c>
      <c r="CP188">
        <v>62869.79</v>
      </c>
      <c r="CQ188" t="s">
        <v>11</v>
      </c>
      <c r="CR188">
        <v>62869.79</v>
      </c>
      <c r="CV188" t="s">
        <v>190</v>
      </c>
      <c r="CW188" t="s">
        <v>12</v>
      </c>
      <c r="CX188" t="s">
        <v>12</v>
      </c>
      <c r="CY188" t="s">
        <v>12</v>
      </c>
      <c r="DA188" t="s">
        <v>104</v>
      </c>
      <c r="DD188" t="s">
        <v>93</v>
      </c>
      <c r="DQ188" t="s">
        <v>94</v>
      </c>
      <c r="DR188" t="s">
        <v>94</v>
      </c>
      <c r="DS188" t="s">
        <v>94</v>
      </c>
      <c r="DT188" t="s">
        <v>94</v>
      </c>
      <c r="DU188" t="s">
        <v>94</v>
      </c>
      <c r="DV188" t="s">
        <v>94</v>
      </c>
      <c r="DW188" t="s">
        <v>94</v>
      </c>
      <c r="DX188" s="2" t="s">
        <v>94</v>
      </c>
      <c r="DY188" t="s">
        <v>94</v>
      </c>
      <c r="DZ188" t="s">
        <v>94</v>
      </c>
      <c r="EA188" t="s">
        <v>94</v>
      </c>
      <c r="EB188" t="s">
        <v>94</v>
      </c>
      <c r="EC188" t="s">
        <v>94</v>
      </c>
      <c r="ED188" t="s">
        <v>94</v>
      </c>
      <c r="EE188" t="s">
        <v>89</v>
      </c>
      <c r="EF188" t="s">
        <v>94</v>
      </c>
      <c r="EG188" t="s">
        <v>105</v>
      </c>
      <c r="EJ188" t="s">
        <v>166</v>
      </c>
      <c r="EK188" t="b">
        <v>0</v>
      </c>
      <c r="EL188" t="b">
        <v>0</v>
      </c>
      <c r="EM188" t="b">
        <v>0</v>
      </c>
      <c r="EO188" t="s">
        <v>178</v>
      </c>
      <c r="EP188" t="s">
        <v>2628</v>
      </c>
    </row>
    <row r="189" spans="3:146" ht="15">
      <c r="C189" s="82" t="s">
        <v>2624</v>
      </c>
      <c r="D189" s="5">
        <v>10</v>
      </c>
      <c r="E189" s="4">
        <v>1</v>
      </c>
      <c r="F189" s="5">
        <v>10</v>
      </c>
      <c r="G189" s="5" t="s">
        <v>2630</v>
      </c>
      <c r="H189" s="4" t="s">
        <v>2631</v>
      </c>
      <c r="I189" s="81" t="s">
        <v>920</v>
      </c>
      <c r="J189" s="21"/>
      <c r="K189" s="22" t="s">
        <v>2561</v>
      </c>
      <c r="L189" s="84" t="s">
        <v>1779</v>
      </c>
      <c r="M189" s="23" t="s">
        <v>920</v>
      </c>
      <c r="N189" s="23">
        <v>43737</v>
      </c>
      <c r="O189" s="24" t="s">
        <v>102</v>
      </c>
      <c r="P189" s="24" t="s">
        <v>480</v>
      </c>
      <c r="Q189" s="24">
        <v>1</v>
      </c>
      <c r="R189" s="24">
        <v>1</v>
      </c>
      <c r="S189" t="s">
        <v>2562</v>
      </c>
      <c r="T189">
        <v>59938.78</v>
      </c>
      <c r="U189" s="2"/>
      <c r="W189" s="2"/>
      <c r="AB189" t="s">
        <v>9</v>
      </c>
      <c r="AC189" t="s">
        <v>2131</v>
      </c>
      <c r="AD189" t="s">
        <v>249</v>
      </c>
      <c r="AE189">
        <v>2009016</v>
      </c>
      <c r="AF189">
        <v>2009016</v>
      </c>
      <c r="AG189" t="s">
        <v>183</v>
      </c>
      <c r="AH189" t="s">
        <v>2563</v>
      </c>
      <c r="AI189" t="s">
        <v>2563</v>
      </c>
      <c r="AJ189" t="s">
        <v>1257</v>
      </c>
      <c r="AK189" t="s">
        <v>1258</v>
      </c>
      <c r="AL189" t="s">
        <v>2564</v>
      </c>
      <c r="AO189" t="s">
        <v>2565</v>
      </c>
      <c r="AP189" t="s">
        <v>2135</v>
      </c>
      <c r="AR189">
        <v>2970</v>
      </c>
      <c r="AS189">
        <v>-4526749791</v>
      </c>
      <c r="AT189" t="s">
        <v>2566</v>
      </c>
      <c r="AU189" t="s">
        <v>10</v>
      </c>
      <c r="AV189" t="s">
        <v>2567</v>
      </c>
      <c r="AW189" t="s">
        <v>2567</v>
      </c>
      <c r="AX189" t="s">
        <v>2568</v>
      </c>
      <c r="AY189" s="2" t="s">
        <v>2569</v>
      </c>
      <c r="AZ189" t="s">
        <v>2570</v>
      </c>
      <c r="BA189" t="s">
        <v>2571</v>
      </c>
      <c r="BB189" t="s">
        <v>2572</v>
      </c>
      <c r="BC189" t="s">
        <v>317</v>
      </c>
      <c r="BD189">
        <v>550081</v>
      </c>
      <c r="BE189">
        <v>-4526749791</v>
      </c>
      <c r="BF189" t="s">
        <v>2573</v>
      </c>
      <c r="BG189" t="b">
        <v>0</v>
      </c>
      <c r="BH189" s="6" t="s">
        <v>2574</v>
      </c>
      <c r="BI189" t="s">
        <v>2629</v>
      </c>
      <c r="BJ189">
        <v>4453163191</v>
      </c>
      <c r="BK189" t="s">
        <v>162</v>
      </c>
      <c r="BL189" t="s">
        <v>161</v>
      </c>
      <c r="BM189" s="2"/>
      <c r="BR189" t="s">
        <v>180</v>
      </c>
      <c r="BS189" t="s">
        <v>103</v>
      </c>
      <c r="BU189">
        <v>0</v>
      </c>
      <c r="BV189">
        <v>0</v>
      </c>
      <c r="BW189">
        <v>0</v>
      </c>
      <c r="BX189">
        <v>0</v>
      </c>
      <c r="BY189">
        <v>0</v>
      </c>
      <c r="BZ189">
        <v>0</v>
      </c>
      <c r="CA189">
        <v>0</v>
      </c>
      <c r="CF189" s="2"/>
      <c r="CH189" s="2"/>
      <c r="CK189" t="s">
        <v>500</v>
      </c>
      <c r="CL189">
        <v>43737.372152777774</v>
      </c>
      <c r="CO189" t="s">
        <v>11</v>
      </c>
      <c r="CP189">
        <v>62869.79</v>
      </c>
      <c r="CQ189" t="s">
        <v>11</v>
      </c>
      <c r="CR189">
        <v>62869.79</v>
      </c>
      <c r="CV189" t="s">
        <v>190</v>
      </c>
      <c r="CW189" t="s">
        <v>12</v>
      </c>
      <c r="CX189" t="s">
        <v>12</v>
      </c>
      <c r="CY189" t="s">
        <v>12</v>
      </c>
      <c r="DA189" t="s">
        <v>104</v>
      </c>
      <c r="DD189" t="s">
        <v>93</v>
      </c>
      <c r="DQ189" t="s">
        <v>94</v>
      </c>
      <c r="DR189" t="s">
        <v>94</v>
      </c>
      <c r="DS189" t="s">
        <v>94</v>
      </c>
      <c r="DT189" t="s">
        <v>94</v>
      </c>
      <c r="DU189" t="s">
        <v>94</v>
      </c>
      <c r="DV189" t="s">
        <v>94</v>
      </c>
      <c r="DW189" t="s">
        <v>94</v>
      </c>
      <c r="DX189" s="2" t="s">
        <v>94</v>
      </c>
      <c r="DY189" t="s">
        <v>94</v>
      </c>
      <c r="DZ189" t="s">
        <v>94</v>
      </c>
      <c r="EA189" t="s">
        <v>94</v>
      </c>
      <c r="EB189" t="s">
        <v>94</v>
      </c>
      <c r="EC189" t="s">
        <v>94</v>
      </c>
      <c r="ED189" t="s">
        <v>94</v>
      </c>
      <c r="EE189" t="s">
        <v>89</v>
      </c>
      <c r="EF189" t="s">
        <v>425</v>
      </c>
      <c r="EG189" t="s">
        <v>105</v>
      </c>
      <c r="EJ189" t="s">
        <v>166</v>
      </c>
      <c r="EK189" t="b">
        <v>0</v>
      </c>
      <c r="EL189" t="b">
        <v>0</v>
      </c>
      <c r="EM189" t="b">
        <v>0</v>
      </c>
      <c r="EO189" t="s">
        <v>178</v>
      </c>
      <c r="EP189" t="s">
        <v>2632</v>
      </c>
    </row>
    <row r="190" spans="3:146" ht="15">
      <c r="C190" s="82" t="s">
        <v>2624</v>
      </c>
      <c r="D190" s="5">
        <v>10</v>
      </c>
      <c r="E190" s="4">
        <v>1</v>
      </c>
      <c r="F190" s="5">
        <v>10</v>
      </c>
      <c r="G190" s="5" t="s">
        <v>2649</v>
      </c>
      <c r="H190" s="4" t="s">
        <v>2650</v>
      </c>
      <c r="I190" s="81" t="s">
        <v>920</v>
      </c>
      <c r="J190" s="21"/>
      <c r="K190" s="22" t="s">
        <v>2633</v>
      </c>
      <c r="L190" s="84" t="s">
        <v>2634</v>
      </c>
      <c r="M190" s="23" t="s">
        <v>905</v>
      </c>
      <c r="N190" s="23">
        <v>43764</v>
      </c>
      <c r="O190" s="24" t="s">
        <v>102</v>
      </c>
      <c r="P190" s="24" t="s">
        <v>181</v>
      </c>
      <c r="Q190" s="24">
        <v>1</v>
      </c>
      <c r="R190" s="24">
        <v>15.5</v>
      </c>
      <c r="S190" t="s">
        <v>528</v>
      </c>
      <c r="T190">
        <v>291.58</v>
      </c>
      <c r="U190" s="2" t="s">
        <v>163</v>
      </c>
      <c r="V190">
        <v>43764.879826388889</v>
      </c>
      <c r="W190" s="2" t="s">
        <v>427</v>
      </c>
      <c r="X190">
        <v>43764.887488425928</v>
      </c>
      <c r="AB190" t="s">
        <v>9</v>
      </c>
      <c r="AC190" t="s">
        <v>2635</v>
      </c>
      <c r="AD190" t="s">
        <v>209</v>
      </c>
      <c r="AE190">
        <v>75239</v>
      </c>
      <c r="AF190">
        <v>75239</v>
      </c>
      <c r="AG190" t="s">
        <v>183</v>
      </c>
      <c r="AH190" t="s">
        <v>2636</v>
      </c>
      <c r="AI190" t="s">
        <v>2636</v>
      </c>
      <c r="AJ190" t="s">
        <v>2637</v>
      </c>
      <c r="AK190" t="s">
        <v>2638</v>
      </c>
      <c r="AL190" t="s">
        <v>2639</v>
      </c>
      <c r="AO190" t="s">
        <v>2640</v>
      </c>
      <c r="AP190" t="s">
        <v>2641</v>
      </c>
      <c r="AR190">
        <v>6850</v>
      </c>
      <c r="AS190">
        <v>55723900</v>
      </c>
      <c r="AT190" t="s">
        <v>2642</v>
      </c>
      <c r="AU190" t="s">
        <v>10</v>
      </c>
      <c r="AV190" t="s">
        <v>2643</v>
      </c>
      <c r="AW190" t="s">
        <v>2643</v>
      </c>
      <c r="AX190" t="s">
        <v>2644</v>
      </c>
      <c r="AY190" s="2"/>
      <c r="BA190" t="s">
        <v>520</v>
      </c>
      <c r="BB190" t="s">
        <v>223</v>
      </c>
      <c r="BC190" t="s">
        <v>188</v>
      </c>
      <c r="BD190">
        <v>510001</v>
      </c>
      <c r="BE190">
        <v>13924009101</v>
      </c>
      <c r="BF190" t="s">
        <v>2645</v>
      </c>
      <c r="BG190" t="b">
        <v>0</v>
      </c>
      <c r="BH190" s="6" t="s">
        <v>2646</v>
      </c>
      <c r="BI190" t="s">
        <v>2647</v>
      </c>
      <c r="BJ190">
        <v>4453163191</v>
      </c>
      <c r="BK190" t="s">
        <v>162</v>
      </c>
      <c r="BL190" t="s">
        <v>161</v>
      </c>
      <c r="BM190" s="2"/>
      <c r="BO190" t="s">
        <v>89</v>
      </c>
      <c r="BP190">
        <v>94054090</v>
      </c>
      <c r="BR190" t="s">
        <v>189</v>
      </c>
      <c r="BS190" t="s">
        <v>103</v>
      </c>
      <c r="BU190">
        <v>137.01</v>
      </c>
      <c r="BV190">
        <v>314.66000000000003</v>
      </c>
      <c r="BW190">
        <v>0</v>
      </c>
      <c r="BX190">
        <v>0</v>
      </c>
      <c r="BY190">
        <v>0</v>
      </c>
      <c r="BZ190">
        <v>0</v>
      </c>
      <c r="CA190">
        <v>451.67</v>
      </c>
      <c r="CB190" t="s">
        <v>444</v>
      </c>
      <c r="CF190" s="2"/>
      <c r="CH190" s="2"/>
      <c r="CJ190">
        <v>5.3142019950154701E+17</v>
      </c>
      <c r="CK190" t="s">
        <v>2648</v>
      </c>
      <c r="CL190">
        <v>43764.584710648145</v>
      </c>
      <c r="CO190" t="s">
        <v>11</v>
      </c>
      <c r="CP190">
        <v>2283.42</v>
      </c>
      <c r="CQ190" t="s">
        <v>11</v>
      </c>
      <c r="CR190">
        <v>2283.42</v>
      </c>
      <c r="CV190" t="s">
        <v>190</v>
      </c>
      <c r="CW190" t="s">
        <v>12</v>
      </c>
      <c r="CX190" t="s">
        <v>12</v>
      </c>
      <c r="CY190" t="s">
        <v>12</v>
      </c>
      <c r="DA190" t="s">
        <v>104</v>
      </c>
      <c r="DD190" t="s">
        <v>93</v>
      </c>
      <c r="DQ190" t="s">
        <v>94</v>
      </c>
      <c r="DR190" t="s">
        <v>94</v>
      </c>
      <c r="DS190" t="s">
        <v>94</v>
      </c>
      <c r="DT190" t="s">
        <v>94</v>
      </c>
      <c r="DU190" t="s">
        <v>94</v>
      </c>
      <c r="DV190" t="s">
        <v>94</v>
      </c>
      <c r="DW190" t="s">
        <v>94</v>
      </c>
      <c r="DX190" s="2" t="s">
        <v>94</v>
      </c>
      <c r="DY190" t="s">
        <v>94</v>
      </c>
      <c r="DZ190" t="s">
        <v>94</v>
      </c>
      <c r="EA190" t="s">
        <v>94</v>
      </c>
      <c r="EB190" t="s">
        <v>94</v>
      </c>
      <c r="EC190" t="s">
        <v>94</v>
      </c>
      <c r="ED190" t="s">
        <v>94</v>
      </c>
      <c r="EE190" t="s">
        <v>89</v>
      </c>
      <c r="EF190" t="s">
        <v>425</v>
      </c>
      <c r="EG190" t="s">
        <v>105</v>
      </c>
      <c r="EJ190" t="s">
        <v>166</v>
      </c>
      <c r="EK190" t="b">
        <v>0</v>
      </c>
      <c r="EL190" t="b">
        <v>0</v>
      </c>
      <c r="EM190" t="b">
        <v>0</v>
      </c>
      <c r="EO190" t="s">
        <v>178</v>
      </c>
      <c r="EP190" t="s">
        <v>2651</v>
      </c>
    </row>
    <row r="191" spans="3:146" ht="15">
      <c r="C191" s="82" t="s">
        <v>2624</v>
      </c>
      <c r="D191" s="5"/>
      <c r="E191" s="4">
        <v>1</v>
      </c>
      <c r="F191" s="5">
        <v>15.5</v>
      </c>
      <c r="G191" s="5" t="s">
        <v>2652</v>
      </c>
      <c r="H191" s="4" t="s">
        <v>2650</v>
      </c>
      <c r="I191" s="81" t="s">
        <v>920</v>
      </c>
      <c r="J191" s="21"/>
      <c r="K191" s="22" t="s">
        <v>2633</v>
      </c>
      <c r="L191" s="84" t="s">
        <v>2634</v>
      </c>
      <c r="M191" s="23" t="s">
        <v>905</v>
      </c>
      <c r="N191" s="23">
        <v>43764</v>
      </c>
      <c r="O191" s="24" t="s">
        <v>102</v>
      </c>
      <c r="P191" s="24" t="s">
        <v>181</v>
      </c>
      <c r="Q191" s="24">
        <v>1</v>
      </c>
      <c r="R191" s="24">
        <v>15.5</v>
      </c>
      <c r="S191" t="s">
        <v>528</v>
      </c>
      <c r="T191">
        <v>291.58</v>
      </c>
      <c r="U191" s="2" t="s">
        <v>163</v>
      </c>
      <c r="V191">
        <v>43764.879826388889</v>
      </c>
      <c r="W191" s="2" t="s">
        <v>427</v>
      </c>
      <c r="X191">
        <v>43764.887488425928</v>
      </c>
      <c r="AB191" t="s">
        <v>9</v>
      </c>
      <c r="AC191" t="s">
        <v>2635</v>
      </c>
      <c r="AD191" t="s">
        <v>209</v>
      </c>
      <c r="AE191">
        <v>75239</v>
      </c>
      <c r="AF191">
        <v>75239</v>
      </c>
      <c r="AG191" t="s">
        <v>183</v>
      </c>
      <c r="AH191" t="s">
        <v>2636</v>
      </c>
      <c r="AI191" t="s">
        <v>2636</v>
      </c>
      <c r="AJ191" t="s">
        <v>2637</v>
      </c>
      <c r="AK191" t="s">
        <v>2638</v>
      </c>
      <c r="AL191" t="s">
        <v>2639</v>
      </c>
      <c r="AO191" t="s">
        <v>2640</v>
      </c>
      <c r="AP191" t="s">
        <v>2641</v>
      </c>
      <c r="AR191">
        <v>6850</v>
      </c>
      <c r="AS191">
        <v>55723900</v>
      </c>
      <c r="AT191" t="s">
        <v>2642</v>
      </c>
      <c r="AU191" t="s">
        <v>10</v>
      </c>
      <c r="AV191" t="s">
        <v>2643</v>
      </c>
      <c r="AW191" t="s">
        <v>2643</v>
      </c>
      <c r="AX191" t="s">
        <v>2644</v>
      </c>
      <c r="AY191" s="2"/>
      <c r="BA191" t="s">
        <v>520</v>
      </c>
      <c r="BB191" t="s">
        <v>223</v>
      </c>
      <c r="BC191" t="s">
        <v>188</v>
      </c>
      <c r="BD191">
        <v>510001</v>
      </c>
      <c r="BE191">
        <v>13924009101</v>
      </c>
      <c r="BF191" t="s">
        <v>2645</v>
      </c>
      <c r="BG191" t="b">
        <v>0</v>
      </c>
      <c r="BH191" s="6" t="s">
        <v>2646</v>
      </c>
      <c r="BI191" t="s">
        <v>2647</v>
      </c>
      <c r="BJ191">
        <v>4453163191</v>
      </c>
      <c r="BK191" t="s">
        <v>162</v>
      </c>
      <c r="BL191" t="s">
        <v>161</v>
      </c>
      <c r="BM191" s="2"/>
      <c r="BO191" t="s">
        <v>89</v>
      </c>
      <c r="BP191">
        <v>94054090</v>
      </c>
      <c r="BR191" t="s">
        <v>189</v>
      </c>
      <c r="BS191" t="s">
        <v>103</v>
      </c>
      <c r="BU191">
        <v>137.01</v>
      </c>
      <c r="BV191">
        <v>314.66000000000003</v>
      </c>
      <c r="BW191">
        <v>0</v>
      </c>
      <c r="BX191">
        <v>0</v>
      </c>
      <c r="BY191">
        <v>0</v>
      </c>
      <c r="BZ191">
        <v>0</v>
      </c>
      <c r="CA191">
        <v>451.67</v>
      </c>
      <c r="CB191" t="s">
        <v>444</v>
      </c>
      <c r="CF191" s="2"/>
      <c r="CH191" s="2"/>
      <c r="CJ191">
        <v>5.3142019950154701E+17</v>
      </c>
      <c r="CK191" t="s">
        <v>2648</v>
      </c>
      <c r="CL191">
        <v>43764.584710648145</v>
      </c>
      <c r="CO191" t="s">
        <v>11</v>
      </c>
      <c r="CP191">
        <v>2283.42</v>
      </c>
      <c r="CQ191" t="s">
        <v>11</v>
      </c>
      <c r="CR191">
        <v>2283.42</v>
      </c>
      <c r="CV191" t="s">
        <v>190</v>
      </c>
      <c r="CW191" t="s">
        <v>12</v>
      </c>
      <c r="CX191" t="s">
        <v>12</v>
      </c>
      <c r="CY191" t="s">
        <v>12</v>
      </c>
      <c r="DA191" t="s">
        <v>104</v>
      </c>
      <c r="DD191" t="s">
        <v>93</v>
      </c>
      <c r="DQ191" t="s">
        <v>94</v>
      </c>
      <c r="DR191" t="s">
        <v>94</v>
      </c>
      <c r="DS191" t="s">
        <v>94</v>
      </c>
      <c r="DT191" t="s">
        <v>94</v>
      </c>
      <c r="DU191" t="s">
        <v>94</v>
      </c>
      <c r="DV191" t="s">
        <v>94</v>
      </c>
      <c r="DW191" t="s">
        <v>94</v>
      </c>
      <c r="DX191" s="2" t="s">
        <v>94</v>
      </c>
      <c r="DY191" t="s">
        <v>94</v>
      </c>
      <c r="DZ191" t="s">
        <v>94</v>
      </c>
      <c r="EA191" t="s">
        <v>94</v>
      </c>
      <c r="EB191" t="s">
        <v>94</v>
      </c>
      <c r="EC191" t="s">
        <v>94</v>
      </c>
      <c r="ED191" t="s">
        <v>94</v>
      </c>
      <c r="EE191" t="s">
        <v>89</v>
      </c>
      <c r="EF191" t="s">
        <v>425</v>
      </c>
      <c r="EG191" t="s">
        <v>105</v>
      </c>
      <c r="EJ191" t="s">
        <v>166</v>
      </c>
      <c r="EK191" t="b">
        <v>0</v>
      </c>
      <c r="EL191" t="b">
        <v>0</v>
      </c>
      <c r="EM191" t="b">
        <v>0</v>
      </c>
      <c r="EO191" t="s">
        <v>177</v>
      </c>
      <c r="EP191" t="s">
        <v>2653</v>
      </c>
    </row>
    <row r="192" spans="3:146" ht="15">
      <c r="C192" s="82" t="s">
        <v>2624</v>
      </c>
      <c r="D192" s="5"/>
      <c r="E192" s="4">
        <v>1</v>
      </c>
      <c r="F192" s="5">
        <v>15.5</v>
      </c>
      <c r="G192" s="5" t="s">
        <v>2666</v>
      </c>
      <c r="H192" s="4" t="s">
        <v>2650</v>
      </c>
      <c r="I192" s="81" t="s">
        <v>920</v>
      </c>
      <c r="J192" s="21"/>
      <c r="K192" s="22" t="s">
        <v>2633</v>
      </c>
      <c r="L192" s="84" t="s">
        <v>2634</v>
      </c>
      <c r="M192" s="23" t="s">
        <v>905</v>
      </c>
      <c r="N192" s="23">
        <v>43764</v>
      </c>
      <c r="O192" s="24" t="s">
        <v>102</v>
      </c>
      <c r="P192" s="24" t="s">
        <v>181</v>
      </c>
      <c r="Q192" s="24">
        <v>1</v>
      </c>
      <c r="R192" s="24">
        <v>15.5</v>
      </c>
      <c r="S192" t="s">
        <v>528</v>
      </c>
      <c r="T192">
        <v>291.58</v>
      </c>
      <c r="U192" s="2" t="s">
        <v>163</v>
      </c>
      <c r="V192">
        <v>43764.879826388889</v>
      </c>
      <c r="W192" s="2" t="s">
        <v>427</v>
      </c>
      <c r="X192">
        <v>43764.887488425928</v>
      </c>
      <c r="AB192" t="s">
        <v>9</v>
      </c>
      <c r="AC192" t="s">
        <v>2635</v>
      </c>
      <c r="AD192" t="s">
        <v>209</v>
      </c>
      <c r="AE192">
        <v>75239</v>
      </c>
      <c r="AF192">
        <v>75239</v>
      </c>
      <c r="AG192" t="s">
        <v>183</v>
      </c>
      <c r="AH192" t="s">
        <v>2636</v>
      </c>
      <c r="AI192" t="s">
        <v>2636</v>
      </c>
      <c r="AJ192" t="s">
        <v>2637</v>
      </c>
      <c r="AK192" t="s">
        <v>2638</v>
      </c>
      <c r="AL192" t="s">
        <v>2639</v>
      </c>
      <c r="AO192" t="s">
        <v>2640</v>
      </c>
      <c r="AP192" t="s">
        <v>2641</v>
      </c>
      <c r="AR192">
        <v>6850</v>
      </c>
      <c r="AS192">
        <v>55723900</v>
      </c>
      <c r="AT192" t="s">
        <v>2642</v>
      </c>
      <c r="AU192" t="s">
        <v>10</v>
      </c>
      <c r="AV192" t="s">
        <v>2643</v>
      </c>
      <c r="AW192" t="s">
        <v>2643</v>
      </c>
      <c r="AX192" t="s">
        <v>2644</v>
      </c>
      <c r="AY192" s="2"/>
      <c r="BA192" t="s">
        <v>520</v>
      </c>
      <c r="BB192" t="s">
        <v>223</v>
      </c>
      <c r="BC192" t="s">
        <v>188</v>
      </c>
      <c r="BD192">
        <v>510001</v>
      </c>
      <c r="BE192">
        <v>13924009101</v>
      </c>
      <c r="BF192" t="s">
        <v>2645</v>
      </c>
      <c r="BG192" t="b">
        <v>0</v>
      </c>
      <c r="BH192" s="6" t="s">
        <v>2646</v>
      </c>
      <c r="BI192" t="s">
        <v>2647</v>
      </c>
      <c r="BJ192">
        <v>4453163191</v>
      </c>
      <c r="BK192" t="s">
        <v>162</v>
      </c>
      <c r="BL192" t="s">
        <v>161</v>
      </c>
      <c r="BM192" s="2"/>
      <c r="BO192" t="s">
        <v>89</v>
      </c>
      <c r="BP192">
        <v>94054090</v>
      </c>
      <c r="BR192" t="s">
        <v>189</v>
      </c>
      <c r="BS192" t="s">
        <v>103</v>
      </c>
      <c r="BU192">
        <v>137.01</v>
      </c>
      <c r="BV192">
        <v>314.66000000000003</v>
      </c>
      <c r="BW192">
        <v>0</v>
      </c>
      <c r="BX192">
        <v>0</v>
      </c>
      <c r="BY192">
        <v>0</v>
      </c>
      <c r="BZ192">
        <v>0</v>
      </c>
      <c r="CA192">
        <v>451.67</v>
      </c>
      <c r="CB192" t="s">
        <v>444</v>
      </c>
      <c r="CF192" s="2"/>
      <c r="CH192" s="2"/>
      <c r="CJ192">
        <v>5.3142019950154701E+17</v>
      </c>
      <c r="CK192" t="s">
        <v>2648</v>
      </c>
      <c r="CL192">
        <v>43764.584710648145</v>
      </c>
      <c r="CO192" t="s">
        <v>11</v>
      </c>
      <c r="CP192">
        <v>2283.42</v>
      </c>
      <c r="CQ192" t="s">
        <v>11</v>
      </c>
      <c r="CR192">
        <v>2283.42</v>
      </c>
      <c r="CV192" t="s">
        <v>190</v>
      </c>
      <c r="CW192" t="s">
        <v>12</v>
      </c>
      <c r="CX192" t="s">
        <v>12</v>
      </c>
      <c r="CY192" t="s">
        <v>12</v>
      </c>
      <c r="DA192" t="s">
        <v>104</v>
      </c>
      <c r="DD192" t="s">
        <v>93</v>
      </c>
      <c r="DQ192" t="s">
        <v>94</v>
      </c>
      <c r="DR192" t="s">
        <v>94</v>
      </c>
      <c r="DS192" t="s">
        <v>94</v>
      </c>
      <c r="DT192" t="s">
        <v>94</v>
      </c>
      <c r="DU192" t="s">
        <v>94</v>
      </c>
      <c r="DV192" t="s">
        <v>94</v>
      </c>
      <c r="DW192" t="s">
        <v>94</v>
      </c>
      <c r="DX192" s="2" t="s">
        <v>94</v>
      </c>
      <c r="DY192" t="s">
        <v>94</v>
      </c>
      <c r="DZ192" t="s">
        <v>94</v>
      </c>
      <c r="EA192" t="s">
        <v>94</v>
      </c>
      <c r="EB192" t="s">
        <v>94</v>
      </c>
      <c r="EC192" t="s">
        <v>94</v>
      </c>
      <c r="ED192" t="s">
        <v>94</v>
      </c>
      <c r="EE192" t="s">
        <v>89</v>
      </c>
      <c r="EF192" t="s">
        <v>425</v>
      </c>
      <c r="EG192" t="s">
        <v>105</v>
      </c>
      <c r="EJ192" t="s">
        <v>166</v>
      </c>
      <c r="EK192" t="b">
        <v>0</v>
      </c>
      <c r="EL192" t="b">
        <v>0</v>
      </c>
      <c r="EM192" t="b">
        <v>0</v>
      </c>
      <c r="EO192" t="s">
        <v>177</v>
      </c>
      <c r="EP192" t="s">
        <v>2667</v>
      </c>
    </row>
    <row r="193" spans="3:146" ht="15">
      <c r="C193" s="82">
        <v>25</v>
      </c>
      <c r="D193" s="5"/>
      <c r="E193" s="4">
        <v>1</v>
      </c>
      <c r="F193" s="5">
        <v>1.1499999999999999</v>
      </c>
      <c r="G193" s="5" t="s">
        <v>2668</v>
      </c>
      <c r="H193" s="4" t="s">
        <v>2669</v>
      </c>
      <c r="I193" s="81" t="s">
        <v>920</v>
      </c>
      <c r="J193" s="21"/>
      <c r="K193" s="22" t="s">
        <v>2654</v>
      </c>
      <c r="L193" s="84" t="s">
        <v>2655</v>
      </c>
      <c r="M193" s="23" t="s">
        <v>905</v>
      </c>
      <c r="N193" s="23">
        <v>43762</v>
      </c>
      <c r="O193" s="24" t="s">
        <v>102</v>
      </c>
      <c r="P193" s="24" t="s">
        <v>179</v>
      </c>
      <c r="Q193" s="24">
        <v>1</v>
      </c>
      <c r="R193" s="24">
        <v>1.1499999999999999</v>
      </c>
      <c r="S193" t="s">
        <v>990</v>
      </c>
      <c r="T193">
        <v>50</v>
      </c>
      <c r="U193" s="2" t="s">
        <v>163</v>
      </c>
      <c r="V193">
        <v>43762.869247685187</v>
      </c>
      <c r="W193" s="2" t="s">
        <v>444</v>
      </c>
      <c r="X193">
        <v>43764.601469907408</v>
      </c>
      <c r="AB193" t="s">
        <v>9</v>
      </c>
      <c r="AC193" t="s">
        <v>1347</v>
      </c>
      <c r="AD193" t="s">
        <v>191</v>
      </c>
      <c r="AE193">
        <v>30008129</v>
      </c>
      <c r="AF193">
        <v>30008129</v>
      </c>
      <c r="AG193" t="s">
        <v>183</v>
      </c>
      <c r="AH193" t="s">
        <v>2656</v>
      </c>
      <c r="AI193" t="s">
        <v>2656</v>
      </c>
      <c r="AJ193" t="s">
        <v>369</v>
      </c>
      <c r="AK193" t="s">
        <v>370</v>
      </c>
      <c r="AL193" t="s">
        <v>2657</v>
      </c>
      <c r="AO193" t="s">
        <v>2658</v>
      </c>
      <c r="AP193" t="s">
        <v>1351</v>
      </c>
      <c r="AQ193" t="s">
        <v>1352</v>
      </c>
      <c r="AR193">
        <v>3068</v>
      </c>
      <c r="AS193">
        <v>388430725</v>
      </c>
      <c r="AT193" t="s">
        <v>2659</v>
      </c>
      <c r="AU193" t="s">
        <v>10</v>
      </c>
      <c r="AV193" t="s">
        <v>2660</v>
      </c>
      <c r="AW193" t="s">
        <v>2660</v>
      </c>
      <c r="AX193" t="s">
        <v>2661</v>
      </c>
      <c r="AY193" s="2" t="s">
        <v>2662</v>
      </c>
      <c r="AZ193" t="s">
        <v>1083</v>
      </c>
      <c r="BA193" t="s">
        <v>726</v>
      </c>
      <c r="BB193" t="s">
        <v>192</v>
      </c>
      <c r="BC193" t="s">
        <v>188</v>
      </c>
      <c r="BD193">
        <v>523925</v>
      </c>
      <c r="BE193">
        <v>-1392652</v>
      </c>
      <c r="BF193" t="s">
        <v>2663</v>
      </c>
      <c r="BG193" t="b">
        <v>0</v>
      </c>
      <c r="BH193" s="6" t="s">
        <v>2664</v>
      </c>
      <c r="BI193" t="s">
        <v>2665</v>
      </c>
      <c r="BJ193">
        <v>4453163191</v>
      </c>
      <c r="BK193" t="s">
        <v>162</v>
      </c>
      <c r="BL193" t="s">
        <v>161</v>
      </c>
      <c r="BM193" s="2"/>
      <c r="BO193" t="s">
        <v>89</v>
      </c>
      <c r="BP193">
        <v>73269090</v>
      </c>
      <c r="BR193" t="s">
        <v>180</v>
      </c>
      <c r="BS193" t="s">
        <v>103</v>
      </c>
      <c r="BU193">
        <v>0</v>
      </c>
      <c r="BV193">
        <v>0</v>
      </c>
      <c r="BW193">
        <v>0</v>
      </c>
      <c r="BX193">
        <v>0</v>
      </c>
      <c r="BY193">
        <v>0</v>
      </c>
      <c r="BZ193">
        <v>0</v>
      </c>
      <c r="CA193">
        <v>0</v>
      </c>
      <c r="CF193" s="2"/>
      <c r="CH193" s="2"/>
      <c r="CJ193">
        <v>5.3142019950153402E+17</v>
      </c>
      <c r="CK193" t="s">
        <v>1509</v>
      </c>
      <c r="CL193">
        <v>43762.534629629627</v>
      </c>
      <c r="CO193" t="s">
        <v>11</v>
      </c>
      <c r="CP193">
        <v>242.75</v>
      </c>
      <c r="CQ193" t="s">
        <v>11</v>
      </c>
      <c r="CR193">
        <v>242.75</v>
      </c>
      <c r="CV193" t="s">
        <v>190</v>
      </c>
      <c r="CW193" t="s">
        <v>12</v>
      </c>
      <c r="CX193" t="s">
        <v>12</v>
      </c>
      <c r="CY193" t="s">
        <v>12</v>
      </c>
      <c r="DA193" t="s">
        <v>104</v>
      </c>
      <c r="DD193" t="s">
        <v>93</v>
      </c>
      <c r="DQ193" t="s">
        <v>94</v>
      </c>
      <c r="DR193" t="s">
        <v>94</v>
      </c>
      <c r="DS193" t="s">
        <v>94</v>
      </c>
      <c r="DT193" t="s">
        <v>94</v>
      </c>
      <c r="DU193" t="s">
        <v>94</v>
      </c>
      <c r="DV193" t="s">
        <v>94</v>
      </c>
      <c r="DW193" t="s">
        <v>94</v>
      </c>
      <c r="DX193" s="2" t="s">
        <v>94</v>
      </c>
      <c r="DY193" t="s">
        <v>94</v>
      </c>
      <c r="DZ193" t="s">
        <v>94</v>
      </c>
      <c r="EA193" t="s">
        <v>94</v>
      </c>
      <c r="EB193" t="s">
        <v>94</v>
      </c>
      <c r="EC193" t="s">
        <v>94</v>
      </c>
      <c r="ED193" t="s">
        <v>94</v>
      </c>
      <c r="EE193" t="s">
        <v>89</v>
      </c>
      <c r="EF193" t="s">
        <v>425</v>
      </c>
      <c r="EG193" t="s">
        <v>105</v>
      </c>
      <c r="EJ193" t="s">
        <v>166</v>
      </c>
      <c r="EK193" t="b">
        <v>0</v>
      </c>
      <c r="EL193" t="b">
        <v>0</v>
      </c>
      <c r="EM193" t="b">
        <v>0</v>
      </c>
      <c r="EO193" t="s">
        <v>177</v>
      </c>
      <c r="EP193" t="s">
        <v>2670</v>
      </c>
    </row>
    <row r="194" spans="3:146" ht="15">
      <c r="C194" s="82">
        <v>1</v>
      </c>
      <c r="D194" s="5"/>
      <c r="E194" s="4">
        <v>1</v>
      </c>
      <c r="F194" s="5">
        <v>3.75</v>
      </c>
      <c r="G194" s="5" t="s">
        <v>2711</v>
      </c>
      <c r="H194" s="4" t="s">
        <v>2712</v>
      </c>
      <c r="I194" s="81" t="s">
        <v>920</v>
      </c>
      <c r="J194" s="21"/>
      <c r="K194" s="22" t="s">
        <v>2671</v>
      </c>
      <c r="L194" s="84" t="s">
        <v>2070</v>
      </c>
      <c r="M194" s="23" t="s">
        <v>905</v>
      </c>
      <c r="N194" s="23">
        <v>43749</v>
      </c>
      <c r="O194" s="24" t="s">
        <v>102</v>
      </c>
      <c r="P194" s="24" t="s">
        <v>179</v>
      </c>
      <c r="Q194" s="24">
        <v>1</v>
      </c>
      <c r="R194" s="24">
        <v>3.75</v>
      </c>
      <c r="S194" t="s">
        <v>990</v>
      </c>
      <c r="T194">
        <v>39</v>
      </c>
      <c r="U194" s="2" t="s">
        <v>163</v>
      </c>
      <c r="V194">
        <v>43749.835787037038</v>
      </c>
      <c r="W194" s="2" t="s">
        <v>444</v>
      </c>
      <c r="X194">
        <v>43751.701145833336</v>
      </c>
      <c r="AB194" t="s">
        <v>9</v>
      </c>
      <c r="AC194" t="s">
        <v>2672</v>
      </c>
      <c r="AD194" t="s">
        <v>182</v>
      </c>
      <c r="AE194">
        <v>21568697</v>
      </c>
      <c r="AF194">
        <v>21568697</v>
      </c>
      <c r="AG194" t="s">
        <v>183</v>
      </c>
      <c r="AH194" t="s">
        <v>2673</v>
      </c>
      <c r="AI194" t="s">
        <v>2673</v>
      </c>
      <c r="AJ194" t="s">
        <v>369</v>
      </c>
      <c r="AK194" t="s">
        <v>370</v>
      </c>
      <c r="AL194" t="s">
        <v>2674</v>
      </c>
      <c r="AO194" t="s">
        <v>2675</v>
      </c>
      <c r="AP194" t="s">
        <v>2676</v>
      </c>
      <c r="AQ194" t="s">
        <v>1352</v>
      </c>
      <c r="AR194" t="s">
        <v>2713</v>
      </c>
      <c r="AS194">
        <v>428423949</v>
      </c>
      <c r="AT194" t="s">
        <v>2677</v>
      </c>
      <c r="AU194" t="s">
        <v>10</v>
      </c>
      <c r="AV194" t="s">
        <v>2678</v>
      </c>
      <c r="AW194" t="s">
        <v>2678</v>
      </c>
      <c r="AX194" t="s">
        <v>2679</v>
      </c>
      <c r="AY194" s="2" t="s">
        <v>2680</v>
      </c>
      <c r="AZ194" t="s">
        <v>2681</v>
      </c>
      <c r="BA194" t="s">
        <v>1678</v>
      </c>
      <c r="BB194" t="s">
        <v>272</v>
      </c>
      <c r="BC194" t="s">
        <v>188</v>
      </c>
      <c r="BD194">
        <v>518001</v>
      </c>
      <c r="BE194" t="s">
        <v>2682</v>
      </c>
      <c r="BF194" t="s">
        <v>2683</v>
      </c>
      <c r="BG194" t="b">
        <v>0</v>
      </c>
      <c r="BH194" s="6" t="s">
        <v>2497</v>
      </c>
      <c r="BI194" t="s">
        <v>2684</v>
      </c>
      <c r="BJ194">
        <v>4453163191</v>
      </c>
      <c r="BK194" t="s">
        <v>162</v>
      </c>
      <c r="BL194" t="s">
        <v>161</v>
      </c>
      <c r="BM194" s="2"/>
      <c r="BO194" t="s">
        <v>89</v>
      </c>
      <c r="BP194">
        <v>94054090</v>
      </c>
      <c r="BR194" t="s">
        <v>180</v>
      </c>
      <c r="BS194" t="s">
        <v>103</v>
      </c>
      <c r="BU194">
        <v>0</v>
      </c>
      <c r="BV194">
        <v>0</v>
      </c>
      <c r="BW194">
        <v>0</v>
      </c>
      <c r="BX194">
        <v>0</v>
      </c>
      <c r="BY194">
        <v>0</v>
      </c>
      <c r="BZ194">
        <v>0</v>
      </c>
      <c r="CA194">
        <v>0</v>
      </c>
      <c r="CF194" s="2"/>
      <c r="CH194" s="2"/>
      <c r="CI194" t="s">
        <v>2513</v>
      </c>
      <c r="CJ194">
        <v>5.3142019950145402E+17</v>
      </c>
      <c r="CK194" t="s">
        <v>2261</v>
      </c>
      <c r="CL194">
        <v>43749.567187499997</v>
      </c>
      <c r="CO194" t="s">
        <v>11</v>
      </c>
      <c r="CP194">
        <v>189.35</v>
      </c>
      <c r="CQ194" t="s">
        <v>11</v>
      </c>
      <c r="CR194">
        <v>189.35</v>
      </c>
      <c r="CV194" t="s">
        <v>190</v>
      </c>
      <c r="CW194" t="s">
        <v>12</v>
      </c>
      <c r="CX194" t="s">
        <v>12</v>
      </c>
      <c r="CY194" t="s">
        <v>12</v>
      </c>
      <c r="DA194" t="s">
        <v>104</v>
      </c>
      <c r="DD194" t="s">
        <v>93</v>
      </c>
      <c r="DQ194" t="s">
        <v>94</v>
      </c>
      <c r="DR194" t="s">
        <v>94</v>
      </c>
      <c r="DS194" t="s">
        <v>94</v>
      </c>
      <c r="DT194" t="s">
        <v>94</v>
      </c>
      <c r="DU194" t="s">
        <v>94</v>
      </c>
      <c r="DV194" t="s">
        <v>94</v>
      </c>
      <c r="DW194" t="s">
        <v>94</v>
      </c>
      <c r="DX194" s="2" t="s">
        <v>94</v>
      </c>
      <c r="DY194" t="s">
        <v>94</v>
      </c>
      <c r="DZ194" t="s">
        <v>94</v>
      </c>
      <c r="EA194" t="s">
        <v>94</v>
      </c>
      <c r="EB194" t="s">
        <v>94</v>
      </c>
      <c r="EC194" t="s">
        <v>94</v>
      </c>
      <c r="ED194" t="s">
        <v>94</v>
      </c>
      <c r="EE194" t="s">
        <v>89</v>
      </c>
      <c r="EF194" t="s">
        <v>425</v>
      </c>
      <c r="EG194" t="s">
        <v>105</v>
      </c>
      <c r="EJ194" t="s">
        <v>166</v>
      </c>
      <c r="EK194" t="b">
        <v>0</v>
      </c>
      <c r="EL194" t="b">
        <v>0</v>
      </c>
      <c r="EM194" t="b">
        <v>0</v>
      </c>
      <c r="EO194" t="s">
        <v>177</v>
      </c>
      <c r="EP194" t="s">
        <v>2714</v>
      </c>
    </row>
    <row r="195" spans="3:146" ht="15">
      <c r="C195" s="82">
        <v>12</v>
      </c>
      <c r="D195" s="5"/>
      <c r="E195" s="4">
        <v>1</v>
      </c>
      <c r="F195" s="5">
        <v>0.45</v>
      </c>
      <c r="G195" s="5" t="s">
        <v>2715</v>
      </c>
      <c r="H195" s="4" t="s">
        <v>2716</v>
      </c>
      <c r="I195" s="81" t="s">
        <v>920</v>
      </c>
      <c r="J195" s="21"/>
      <c r="K195" s="22" t="s">
        <v>2685</v>
      </c>
      <c r="L195" s="84" t="s">
        <v>2686</v>
      </c>
      <c r="M195" s="23" t="s">
        <v>920</v>
      </c>
      <c r="N195" s="23">
        <v>43755</v>
      </c>
      <c r="O195" s="24" t="s">
        <v>102</v>
      </c>
      <c r="P195" s="24" t="s">
        <v>179</v>
      </c>
      <c r="Q195" s="24">
        <v>1</v>
      </c>
      <c r="R195" s="24">
        <v>0.45</v>
      </c>
      <c r="S195" t="s">
        <v>319</v>
      </c>
      <c r="T195">
        <v>20</v>
      </c>
      <c r="U195" s="2" t="s">
        <v>163</v>
      </c>
      <c r="V195">
        <v>43755.803206018521</v>
      </c>
      <c r="W195" s="2" t="s">
        <v>444</v>
      </c>
      <c r="X195">
        <v>43758.391087962962</v>
      </c>
      <c r="AB195" t="s">
        <v>9</v>
      </c>
      <c r="AC195" t="s">
        <v>1326</v>
      </c>
      <c r="AD195" t="s">
        <v>191</v>
      </c>
      <c r="AE195">
        <v>52720</v>
      </c>
      <c r="AF195">
        <v>52720</v>
      </c>
      <c r="AG195" t="s">
        <v>183</v>
      </c>
      <c r="AH195" t="s">
        <v>2687</v>
      </c>
      <c r="AI195" t="s">
        <v>2687</v>
      </c>
      <c r="AJ195" t="s">
        <v>1072</v>
      </c>
      <c r="AK195" t="s">
        <v>1073</v>
      </c>
      <c r="AL195" t="s">
        <v>2688</v>
      </c>
      <c r="AO195" t="s">
        <v>2689</v>
      </c>
      <c r="AP195" t="s">
        <v>1331</v>
      </c>
      <c r="AR195" t="s">
        <v>2690</v>
      </c>
      <c r="AS195">
        <v>852775200</v>
      </c>
      <c r="AT195" t="s">
        <v>2691</v>
      </c>
      <c r="AU195" t="s">
        <v>10</v>
      </c>
      <c r="AV195" t="s">
        <v>2692</v>
      </c>
      <c r="AW195" t="s">
        <v>2692</v>
      </c>
      <c r="AX195" t="s">
        <v>2693</v>
      </c>
      <c r="AY195" s="2" t="s">
        <v>2694</v>
      </c>
      <c r="AZ195" t="s">
        <v>2695</v>
      </c>
      <c r="BA195" t="s">
        <v>371</v>
      </c>
      <c r="BB195" t="s">
        <v>192</v>
      </c>
      <c r="BC195" t="s">
        <v>188</v>
      </c>
      <c r="BD195">
        <v>523001</v>
      </c>
      <c r="BE195" t="s">
        <v>2717</v>
      </c>
      <c r="BF195" t="s">
        <v>2696</v>
      </c>
      <c r="BG195" t="b">
        <v>0</v>
      </c>
      <c r="BH195" s="6" t="s">
        <v>2697</v>
      </c>
      <c r="BI195" t="s">
        <v>2698</v>
      </c>
      <c r="BJ195">
        <v>4453163191</v>
      </c>
      <c r="BK195" t="s">
        <v>162</v>
      </c>
      <c r="BL195" t="s">
        <v>161</v>
      </c>
      <c r="BM195" s="2"/>
      <c r="BO195" t="s">
        <v>89</v>
      </c>
      <c r="BP195">
        <v>3926909090</v>
      </c>
      <c r="BR195" t="s">
        <v>180</v>
      </c>
      <c r="BS195" t="s">
        <v>103</v>
      </c>
      <c r="BU195">
        <v>0</v>
      </c>
      <c r="BV195">
        <v>0</v>
      </c>
      <c r="BW195">
        <v>0</v>
      </c>
      <c r="BX195">
        <v>0</v>
      </c>
      <c r="BY195">
        <v>0</v>
      </c>
      <c r="BZ195">
        <v>0</v>
      </c>
      <c r="CA195">
        <v>0</v>
      </c>
      <c r="CF195" s="2"/>
      <c r="CH195" s="2"/>
      <c r="CJ195">
        <v>5.3142019950148698E+17</v>
      </c>
      <c r="CK195" t="s">
        <v>1509</v>
      </c>
      <c r="CL195">
        <v>43755.376458333332</v>
      </c>
      <c r="CO195" t="s">
        <v>11</v>
      </c>
      <c r="CP195">
        <v>141.46</v>
      </c>
      <c r="CQ195" t="s">
        <v>11</v>
      </c>
      <c r="CR195">
        <v>141.46</v>
      </c>
      <c r="CV195" t="s">
        <v>190</v>
      </c>
      <c r="CW195" t="s">
        <v>12</v>
      </c>
      <c r="CX195" t="s">
        <v>12</v>
      </c>
      <c r="CY195" t="s">
        <v>12</v>
      </c>
      <c r="DA195" t="s">
        <v>104</v>
      </c>
      <c r="DD195" t="s">
        <v>93</v>
      </c>
      <c r="DQ195" t="s">
        <v>94</v>
      </c>
      <c r="DR195" t="s">
        <v>94</v>
      </c>
      <c r="DS195" t="s">
        <v>94</v>
      </c>
      <c r="DT195" t="s">
        <v>94</v>
      </c>
      <c r="DU195" t="s">
        <v>94</v>
      </c>
      <c r="DV195" t="s">
        <v>94</v>
      </c>
      <c r="DW195" t="s">
        <v>94</v>
      </c>
      <c r="DX195" s="2" t="s">
        <v>94</v>
      </c>
      <c r="DY195" t="s">
        <v>94</v>
      </c>
      <c r="DZ195" t="s">
        <v>94</v>
      </c>
      <c r="EA195" t="s">
        <v>94</v>
      </c>
      <c r="EB195" t="s">
        <v>94</v>
      </c>
      <c r="EC195" t="s">
        <v>94</v>
      </c>
      <c r="ED195" t="s">
        <v>94</v>
      </c>
      <c r="EE195" t="s">
        <v>89</v>
      </c>
      <c r="EF195" t="s">
        <v>425</v>
      </c>
      <c r="EG195" t="s">
        <v>105</v>
      </c>
      <c r="EJ195" t="s">
        <v>166</v>
      </c>
      <c r="EK195" t="b">
        <v>0</v>
      </c>
      <c r="EL195" t="b">
        <v>0</v>
      </c>
      <c r="EM195" t="b">
        <v>0</v>
      </c>
      <c r="EO195" t="s">
        <v>177</v>
      </c>
      <c r="EP195" t="s">
        <v>2718</v>
      </c>
    </row>
    <row r="196" spans="3:146" ht="15">
      <c r="C196" s="82">
        <v>413</v>
      </c>
      <c r="D196" s="5"/>
      <c r="E196" s="4">
        <v>1</v>
      </c>
      <c r="F196" s="5">
        <v>4.5</v>
      </c>
      <c r="G196" s="5" t="s">
        <v>2719</v>
      </c>
      <c r="H196" s="4" t="s">
        <v>2720</v>
      </c>
      <c r="I196" s="81" t="s">
        <v>920</v>
      </c>
      <c r="J196" s="21"/>
      <c r="K196" s="22" t="s">
        <v>2699</v>
      </c>
      <c r="L196" s="84" t="s">
        <v>2634</v>
      </c>
      <c r="M196" s="23" t="s">
        <v>905</v>
      </c>
      <c r="N196" s="23">
        <v>43764</v>
      </c>
      <c r="O196" s="24" t="s">
        <v>102</v>
      </c>
      <c r="P196" s="24" t="s">
        <v>181</v>
      </c>
      <c r="Q196" s="24">
        <v>1</v>
      </c>
      <c r="R196" s="24">
        <v>4.5</v>
      </c>
      <c r="S196" t="s">
        <v>528</v>
      </c>
      <c r="T196">
        <v>200</v>
      </c>
      <c r="U196" s="2" t="s">
        <v>163</v>
      </c>
      <c r="V196">
        <v>43764.879513888889</v>
      </c>
      <c r="W196" s="2" t="s">
        <v>427</v>
      </c>
      <c r="X196">
        <v>43764.88890046296</v>
      </c>
      <c r="AB196" t="s">
        <v>9</v>
      </c>
      <c r="AC196" t="s">
        <v>1955</v>
      </c>
      <c r="AD196" t="s">
        <v>191</v>
      </c>
      <c r="AE196">
        <v>70427570</v>
      </c>
      <c r="AF196">
        <v>70427570</v>
      </c>
      <c r="AG196" t="s">
        <v>183</v>
      </c>
      <c r="AH196" t="s">
        <v>2700</v>
      </c>
      <c r="AI196" t="s">
        <v>2700</v>
      </c>
      <c r="AJ196" t="s">
        <v>776</v>
      </c>
      <c r="AK196" t="s">
        <v>777</v>
      </c>
      <c r="AL196" t="s">
        <v>2701</v>
      </c>
      <c r="AO196" t="s">
        <v>2702</v>
      </c>
      <c r="AP196" t="s">
        <v>1959</v>
      </c>
      <c r="AQ196" t="s">
        <v>1059</v>
      </c>
      <c r="AR196" t="s">
        <v>2721</v>
      </c>
      <c r="AS196">
        <v>6021421314</v>
      </c>
      <c r="AT196" t="s">
        <v>2703</v>
      </c>
      <c r="AU196" t="s">
        <v>10</v>
      </c>
      <c r="AV196" t="s">
        <v>2704</v>
      </c>
      <c r="AW196" t="s">
        <v>2704</v>
      </c>
      <c r="AX196" t="s">
        <v>2705</v>
      </c>
      <c r="AY196" s="2" t="s">
        <v>2706</v>
      </c>
      <c r="BA196" t="s">
        <v>726</v>
      </c>
      <c r="BB196" t="s">
        <v>192</v>
      </c>
      <c r="BC196" t="s">
        <v>188</v>
      </c>
      <c r="BD196">
        <v>523845</v>
      </c>
      <c r="BE196" t="s">
        <v>2722</v>
      </c>
      <c r="BF196" t="s">
        <v>2707</v>
      </c>
      <c r="BG196" t="b">
        <v>0</v>
      </c>
      <c r="BH196" s="6" t="s">
        <v>2708</v>
      </c>
      <c r="BI196" t="s">
        <v>2709</v>
      </c>
      <c r="BJ196">
        <v>4453163191</v>
      </c>
      <c r="BK196" t="s">
        <v>162</v>
      </c>
      <c r="BL196" t="s">
        <v>161</v>
      </c>
      <c r="BM196" s="2"/>
      <c r="BO196" t="s">
        <v>89</v>
      </c>
      <c r="BP196">
        <v>84779000</v>
      </c>
      <c r="BR196" t="s">
        <v>180</v>
      </c>
      <c r="BS196" t="s">
        <v>103</v>
      </c>
      <c r="BU196">
        <v>0</v>
      </c>
      <c r="BV196">
        <v>203.61</v>
      </c>
      <c r="BW196">
        <v>0</v>
      </c>
      <c r="BX196">
        <v>0</v>
      </c>
      <c r="BY196">
        <v>0</v>
      </c>
      <c r="BZ196">
        <v>0</v>
      </c>
      <c r="CA196">
        <v>203.61</v>
      </c>
      <c r="CB196" t="s">
        <v>444</v>
      </c>
      <c r="CF196" s="2"/>
      <c r="CH196" s="2"/>
      <c r="CJ196">
        <v>5.3142019950154701E+17</v>
      </c>
      <c r="CK196" t="s">
        <v>2710</v>
      </c>
      <c r="CL196">
        <v>43764.376944444448</v>
      </c>
      <c r="CO196" t="s">
        <v>11</v>
      </c>
      <c r="CP196">
        <v>1566.24</v>
      </c>
      <c r="CQ196" t="s">
        <v>11</v>
      </c>
      <c r="CR196">
        <v>1566.24</v>
      </c>
      <c r="CV196" t="s">
        <v>190</v>
      </c>
      <c r="CW196" t="s">
        <v>12</v>
      </c>
      <c r="CX196" t="s">
        <v>12</v>
      </c>
      <c r="CY196" t="s">
        <v>12</v>
      </c>
      <c r="DA196" t="s">
        <v>104</v>
      </c>
      <c r="DD196" t="s">
        <v>93</v>
      </c>
      <c r="DQ196" t="s">
        <v>94</v>
      </c>
      <c r="DR196" t="s">
        <v>94</v>
      </c>
      <c r="DS196" t="s">
        <v>94</v>
      </c>
      <c r="DT196" t="s">
        <v>94</v>
      </c>
      <c r="DU196" t="s">
        <v>94</v>
      </c>
      <c r="DV196" t="s">
        <v>94</v>
      </c>
      <c r="DW196" t="s">
        <v>94</v>
      </c>
      <c r="DX196" s="2" t="s">
        <v>94</v>
      </c>
      <c r="DY196" t="s">
        <v>94</v>
      </c>
      <c r="DZ196" t="s">
        <v>94</v>
      </c>
      <c r="EA196" t="s">
        <v>94</v>
      </c>
      <c r="EB196" t="s">
        <v>94</v>
      </c>
      <c r="EC196" t="s">
        <v>94</v>
      </c>
      <c r="ED196" t="s">
        <v>94</v>
      </c>
      <c r="EE196" t="s">
        <v>89</v>
      </c>
      <c r="EF196" t="s">
        <v>425</v>
      </c>
      <c r="EG196" t="s">
        <v>105</v>
      </c>
      <c r="EJ196" t="s">
        <v>166</v>
      </c>
      <c r="EK196" t="b">
        <v>0</v>
      </c>
      <c r="EL196" t="b">
        <v>0</v>
      </c>
      <c r="EM196" t="b">
        <v>0</v>
      </c>
      <c r="EO196" t="s">
        <v>177</v>
      </c>
      <c r="EP196" t="s">
        <v>2723</v>
      </c>
    </row>
    <row r="197" spans="3:146" ht="15">
      <c r="C197" s="82">
        <v>132</v>
      </c>
      <c r="D197" s="5"/>
      <c r="E197" s="4">
        <v>1</v>
      </c>
      <c r="F197" s="5">
        <v>1</v>
      </c>
      <c r="G197" s="5" t="s">
        <v>2829</v>
      </c>
      <c r="H197" s="4" t="s">
        <v>731</v>
      </c>
      <c r="I197" s="81" t="s">
        <v>920</v>
      </c>
      <c r="J197" s="21"/>
      <c r="K197" s="22" t="s">
        <v>2724</v>
      </c>
      <c r="L197" s="84" t="s">
        <v>1966</v>
      </c>
      <c r="M197" s="23" t="s">
        <v>920</v>
      </c>
      <c r="N197" s="23">
        <v>43748</v>
      </c>
      <c r="O197" s="24" t="s">
        <v>102</v>
      </c>
      <c r="P197" s="24" t="s">
        <v>179</v>
      </c>
      <c r="Q197" s="24">
        <v>1</v>
      </c>
      <c r="R197" s="24">
        <v>1</v>
      </c>
      <c r="S197" t="s">
        <v>319</v>
      </c>
      <c r="T197">
        <v>28</v>
      </c>
      <c r="U197" s="2" t="s">
        <v>163</v>
      </c>
      <c r="V197">
        <v>43748.889849537038</v>
      </c>
      <c r="W197" s="2" t="s">
        <v>444</v>
      </c>
      <c r="X197">
        <v>43750.691064814811</v>
      </c>
      <c r="AB197" t="s">
        <v>9</v>
      </c>
      <c r="AC197" t="s">
        <v>2725</v>
      </c>
      <c r="AD197" t="s">
        <v>182</v>
      </c>
      <c r="AE197">
        <v>759113</v>
      </c>
      <c r="AF197">
        <v>759113</v>
      </c>
      <c r="AG197" t="s">
        <v>183</v>
      </c>
      <c r="AH197" t="s">
        <v>2726</v>
      </c>
      <c r="AI197" t="s">
        <v>2726</v>
      </c>
      <c r="AJ197" t="s">
        <v>601</v>
      </c>
      <c r="AK197" t="s">
        <v>602</v>
      </c>
      <c r="AL197" t="s">
        <v>2727</v>
      </c>
      <c r="AO197" t="s">
        <v>2728</v>
      </c>
      <c r="AP197" t="s">
        <v>2729</v>
      </c>
      <c r="AR197" t="s">
        <v>2830</v>
      </c>
      <c r="AS197">
        <v>0</v>
      </c>
      <c r="AT197" t="s">
        <v>376</v>
      </c>
      <c r="AU197" t="s">
        <v>10</v>
      </c>
      <c r="AV197" t="s">
        <v>2730</v>
      </c>
      <c r="AW197" t="s">
        <v>2730</v>
      </c>
      <c r="AX197" t="s">
        <v>2731</v>
      </c>
      <c r="AY197" s="2" t="s">
        <v>2732</v>
      </c>
      <c r="BA197" t="s">
        <v>194</v>
      </c>
      <c r="BB197" t="s">
        <v>272</v>
      </c>
      <c r="BC197" t="s">
        <v>188</v>
      </c>
      <c r="BD197">
        <v>518000</v>
      </c>
      <c r="BE197" t="s">
        <v>2831</v>
      </c>
      <c r="BG197" t="b">
        <v>0</v>
      </c>
      <c r="BH197" s="6" t="s">
        <v>2733</v>
      </c>
      <c r="BI197" t="s">
        <v>2734</v>
      </c>
      <c r="BJ197">
        <v>4453163191</v>
      </c>
      <c r="BK197" t="s">
        <v>162</v>
      </c>
      <c r="BL197" t="s">
        <v>161</v>
      </c>
      <c r="BM197" s="2"/>
      <c r="BO197" t="s">
        <v>89</v>
      </c>
      <c r="BP197">
        <v>85340090</v>
      </c>
      <c r="BR197" t="s">
        <v>180</v>
      </c>
      <c r="BS197" t="s">
        <v>103</v>
      </c>
      <c r="BU197">
        <v>0</v>
      </c>
      <c r="BV197">
        <v>0</v>
      </c>
      <c r="BW197">
        <v>0</v>
      </c>
      <c r="BX197">
        <v>0</v>
      </c>
      <c r="BY197">
        <v>0</v>
      </c>
      <c r="BZ197">
        <v>0</v>
      </c>
      <c r="CA197">
        <v>0</v>
      </c>
      <c r="CF197" s="2"/>
      <c r="CH197" s="2"/>
      <c r="CJ197" t="s">
        <v>1023</v>
      </c>
      <c r="CK197" t="s">
        <v>1509</v>
      </c>
      <c r="CL197">
        <v>43748.390208333331</v>
      </c>
      <c r="CO197" t="s">
        <v>11</v>
      </c>
      <c r="CP197">
        <v>198.04</v>
      </c>
      <c r="CQ197" t="s">
        <v>11</v>
      </c>
      <c r="CR197">
        <v>198.04</v>
      </c>
      <c r="CV197" t="s">
        <v>190</v>
      </c>
      <c r="CW197" t="s">
        <v>12</v>
      </c>
      <c r="CX197" t="s">
        <v>12</v>
      </c>
      <c r="CY197" t="s">
        <v>12</v>
      </c>
      <c r="DA197" t="s">
        <v>104</v>
      </c>
      <c r="DD197" t="s">
        <v>93</v>
      </c>
      <c r="DQ197" t="s">
        <v>94</v>
      </c>
      <c r="DR197" t="s">
        <v>94</v>
      </c>
      <c r="DS197" t="s">
        <v>94</v>
      </c>
      <c r="DT197" t="s">
        <v>94</v>
      </c>
      <c r="DU197" t="s">
        <v>94</v>
      </c>
      <c r="DV197" t="s">
        <v>94</v>
      </c>
      <c r="DW197" t="s">
        <v>94</v>
      </c>
      <c r="DX197" s="2" t="s">
        <v>94</v>
      </c>
      <c r="DY197" t="s">
        <v>94</v>
      </c>
      <c r="DZ197" t="s">
        <v>94</v>
      </c>
      <c r="EA197" t="s">
        <v>94</v>
      </c>
      <c r="EB197" t="s">
        <v>94</v>
      </c>
      <c r="EC197" t="s">
        <v>94</v>
      </c>
      <c r="ED197" t="s">
        <v>94</v>
      </c>
      <c r="EE197" t="s">
        <v>89</v>
      </c>
      <c r="EF197" t="s">
        <v>425</v>
      </c>
      <c r="EG197" t="s">
        <v>105</v>
      </c>
      <c r="EJ197" t="s">
        <v>166</v>
      </c>
      <c r="EK197" t="b">
        <v>0</v>
      </c>
      <c r="EL197" t="b">
        <v>0</v>
      </c>
      <c r="EM197" t="b">
        <v>0</v>
      </c>
      <c r="EO197" t="s">
        <v>177</v>
      </c>
      <c r="EP197" t="s">
        <v>2832</v>
      </c>
    </row>
    <row r="198" spans="3:146" ht="15">
      <c r="C198" s="82">
        <v>213</v>
      </c>
      <c r="D198" s="5"/>
      <c r="E198" s="4">
        <v>3</v>
      </c>
      <c r="F198" s="5">
        <v>31.67</v>
      </c>
      <c r="G198" s="5" t="s">
        <v>2833</v>
      </c>
      <c r="H198" s="4" t="s">
        <v>2834</v>
      </c>
      <c r="I198" s="81" t="s">
        <v>920</v>
      </c>
      <c r="J198" s="21"/>
      <c r="K198" s="22" t="s">
        <v>2835</v>
      </c>
      <c r="L198" s="84" t="s">
        <v>2634</v>
      </c>
      <c r="M198" s="23" t="s">
        <v>920</v>
      </c>
      <c r="N198" s="23">
        <v>43764</v>
      </c>
      <c r="O198" s="24" t="s">
        <v>102</v>
      </c>
      <c r="P198" s="24" t="s">
        <v>181</v>
      </c>
      <c r="Q198" s="24">
        <v>3</v>
      </c>
      <c r="R198" s="24">
        <v>31.67</v>
      </c>
      <c r="S198" t="s">
        <v>11</v>
      </c>
      <c r="T198">
        <v>2430</v>
      </c>
      <c r="U198" s="2" t="s">
        <v>163</v>
      </c>
      <c r="V198">
        <v>43764.879560185182</v>
      </c>
      <c r="W198" s="2" t="s">
        <v>427</v>
      </c>
      <c r="X198">
        <v>43764.887488425928</v>
      </c>
      <c r="AB198" t="s">
        <v>9</v>
      </c>
      <c r="AC198" t="s">
        <v>2768</v>
      </c>
      <c r="AD198" t="s">
        <v>209</v>
      </c>
      <c r="AE198">
        <v>3066345</v>
      </c>
      <c r="AF198">
        <v>3066345</v>
      </c>
      <c r="AG198" t="s">
        <v>183</v>
      </c>
      <c r="AH198" t="s">
        <v>2769</v>
      </c>
      <c r="AI198" t="s">
        <v>2769</v>
      </c>
      <c r="AJ198" t="s">
        <v>821</v>
      </c>
      <c r="AK198" t="s">
        <v>822</v>
      </c>
      <c r="AL198" t="s">
        <v>2770</v>
      </c>
      <c r="AM198" t="s">
        <v>2771</v>
      </c>
      <c r="AO198" t="s">
        <v>2772</v>
      </c>
      <c r="AP198" t="s">
        <v>2773</v>
      </c>
      <c r="AR198" t="s">
        <v>2836</v>
      </c>
      <c r="AS198">
        <v>51311616</v>
      </c>
      <c r="AT198" t="s">
        <v>2774</v>
      </c>
      <c r="AU198" t="s">
        <v>10</v>
      </c>
      <c r="AV198" t="s">
        <v>2775</v>
      </c>
      <c r="AW198" t="s">
        <v>2776</v>
      </c>
      <c r="AX198" t="s">
        <v>2777</v>
      </c>
      <c r="AY198" s="2" t="s">
        <v>2778</v>
      </c>
      <c r="AZ198" t="s">
        <v>2779</v>
      </c>
      <c r="BA198" t="s">
        <v>804</v>
      </c>
      <c r="BB198" t="s">
        <v>223</v>
      </c>
      <c r="BC198" t="s">
        <v>188</v>
      </c>
      <c r="BD198">
        <v>510335</v>
      </c>
      <c r="BE198" t="s">
        <v>2837</v>
      </c>
      <c r="BF198" t="s">
        <v>2780</v>
      </c>
      <c r="BG198" t="b">
        <v>0</v>
      </c>
      <c r="BH198" s="6" t="s">
        <v>2781</v>
      </c>
      <c r="BI198" t="s">
        <v>2782</v>
      </c>
      <c r="BJ198">
        <v>4453163191</v>
      </c>
      <c r="BK198" t="s">
        <v>162</v>
      </c>
      <c r="BL198" t="s">
        <v>161</v>
      </c>
      <c r="BM198" s="2"/>
      <c r="BO198" t="s">
        <v>89</v>
      </c>
      <c r="BP198">
        <v>42029200</v>
      </c>
      <c r="BR198" t="s">
        <v>180</v>
      </c>
      <c r="BS198" t="s">
        <v>103</v>
      </c>
      <c r="BU198">
        <v>145.80000000000001</v>
      </c>
      <c r="BV198">
        <v>334.86</v>
      </c>
      <c r="BW198">
        <v>0</v>
      </c>
      <c r="BX198">
        <v>0</v>
      </c>
      <c r="BY198">
        <v>0</v>
      </c>
      <c r="BZ198">
        <v>0</v>
      </c>
      <c r="CA198">
        <v>480.66</v>
      </c>
      <c r="CB198" t="s">
        <v>444</v>
      </c>
      <c r="CF198" s="2"/>
      <c r="CH198" s="2"/>
      <c r="CJ198" t="s">
        <v>1023</v>
      </c>
      <c r="CK198" t="s">
        <v>2710</v>
      </c>
      <c r="CL198">
        <v>43764.376851851855</v>
      </c>
      <c r="CO198" t="s">
        <v>11</v>
      </c>
      <c r="CP198">
        <v>2430</v>
      </c>
      <c r="CQ198" t="s">
        <v>11</v>
      </c>
      <c r="CR198">
        <v>2430</v>
      </c>
      <c r="CV198" t="s">
        <v>190</v>
      </c>
      <c r="CW198" t="s">
        <v>12</v>
      </c>
      <c r="CX198" t="s">
        <v>12</v>
      </c>
      <c r="CY198" t="s">
        <v>12</v>
      </c>
      <c r="DA198" t="s">
        <v>104</v>
      </c>
      <c r="DD198" t="s">
        <v>93</v>
      </c>
      <c r="DQ198" t="s">
        <v>94</v>
      </c>
      <c r="DR198" t="s">
        <v>94</v>
      </c>
      <c r="DS198" t="s">
        <v>94</v>
      </c>
      <c r="DT198" t="s">
        <v>94</v>
      </c>
      <c r="DU198" t="s">
        <v>94</v>
      </c>
      <c r="DV198" t="s">
        <v>94</v>
      </c>
      <c r="DW198" t="s">
        <v>94</v>
      </c>
      <c r="DX198" s="2" t="s">
        <v>94</v>
      </c>
      <c r="DY198" t="s">
        <v>94</v>
      </c>
      <c r="DZ198" t="s">
        <v>94</v>
      </c>
      <c r="EA198" t="s">
        <v>94</v>
      </c>
      <c r="EB198" t="s">
        <v>94</v>
      </c>
      <c r="EC198" t="s">
        <v>94</v>
      </c>
      <c r="ED198" t="s">
        <v>94</v>
      </c>
      <c r="EE198" t="s">
        <v>89</v>
      </c>
      <c r="EF198" t="s">
        <v>425</v>
      </c>
      <c r="EG198" t="s">
        <v>105</v>
      </c>
      <c r="EJ198" t="s">
        <v>166</v>
      </c>
      <c r="EK198" t="b">
        <v>0</v>
      </c>
      <c r="EL198" t="b">
        <v>0</v>
      </c>
      <c r="EM198" t="b">
        <v>0</v>
      </c>
      <c r="EO198" t="s">
        <v>177</v>
      </c>
      <c r="EP198" t="s">
        <v>2838</v>
      </c>
    </row>
    <row r="199" spans="3:146" ht="15">
      <c r="C199" s="82">
        <v>131</v>
      </c>
      <c r="D199" s="5"/>
      <c r="E199" s="4">
        <v>1</v>
      </c>
      <c r="F199" s="5">
        <v>41</v>
      </c>
      <c r="G199" s="5" t="s">
        <v>2839</v>
      </c>
      <c r="H199" s="4" t="s">
        <v>2840</v>
      </c>
      <c r="I199" s="81" t="s">
        <v>164</v>
      </c>
      <c r="J199" s="21"/>
      <c r="K199" s="22" t="s">
        <v>2841</v>
      </c>
      <c r="L199" s="84" t="s">
        <v>2813</v>
      </c>
      <c r="M199" s="23" t="s">
        <v>447</v>
      </c>
      <c r="N199" s="23">
        <v>43766</v>
      </c>
      <c r="O199" s="24" t="s">
        <v>102</v>
      </c>
      <c r="P199" s="24" t="s">
        <v>181</v>
      </c>
      <c r="Q199" s="24">
        <v>1</v>
      </c>
      <c r="R199" s="24">
        <v>41</v>
      </c>
      <c r="S199" t="s">
        <v>319</v>
      </c>
      <c r="T199">
        <v>468</v>
      </c>
      <c r="U199" s="2" t="s">
        <v>163</v>
      </c>
      <c r="V199">
        <v>43766.869849537034</v>
      </c>
      <c r="W199" s="2" t="s">
        <v>427</v>
      </c>
      <c r="X199">
        <v>43766.971597222226</v>
      </c>
      <c r="AB199" t="s">
        <v>9</v>
      </c>
      <c r="AC199" t="s">
        <v>2814</v>
      </c>
      <c r="AD199" t="s">
        <v>241</v>
      </c>
      <c r="AE199">
        <v>143605</v>
      </c>
      <c r="AF199">
        <v>143605</v>
      </c>
      <c r="AG199" t="s">
        <v>183</v>
      </c>
      <c r="AH199" t="s">
        <v>2815</v>
      </c>
      <c r="AI199" t="s">
        <v>2815</v>
      </c>
      <c r="AJ199" t="s">
        <v>716</v>
      </c>
      <c r="AK199" t="s">
        <v>717</v>
      </c>
      <c r="AL199" t="s">
        <v>2816</v>
      </c>
      <c r="AO199" t="s">
        <v>2817</v>
      </c>
      <c r="AP199" t="s">
        <v>2818</v>
      </c>
      <c r="AQ199" t="s">
        <v>2819</v>
      </c>
      <c r="AR199" t="s">
        <v>2842</v>
      </c>
      <c r="AS199">
        <v>9069737490</v>
      </c>
      <c r="AT199" t="s">
        <v>2820</v>
      </c>
      <c r="AU199" t="s">
        <v>10</v>
      </c>
      <c r="AV199" t="s">
        <v>2821</v>
      </c>
      <c r="AW199" t="s">
        <v>2821</v>
      </c>
      <c r="AX199" t="s">
        <v>2822</v>
      </c>
      <c r="AY199" s="2" t="s">
        <v>2823</v>
      </c>
      <c r="AZ199" t="s">
        <v>2824</v>
      </c>
      <c r="BA199" t="s">
        <v>2825</v>
      </c>
      <c r="BB199" t="s">
        <v>1227</v>
      </c>
      <c r="BC199" t="s">
        <v>188</v>
      </c>
      <c r="BD199">
        <v>516226</v>
      </c>
      <c r="BE199" t="s">
        <v>2843</v>
      </c>
      <c r="BF199" t="s">
        <v>2826</v>
      </c>
      <c r="BG199" t="b">
        <v>0</v>
      </c>
      <c r="BH199" s="6" t="s">
        <v>2827</v>
      </c>
      <c r="BI199" t="s">
        <v>2828</v>
      </c>
      <c r="BJ199">
        <v>4453163191</v>
      </c>
      <c r="BK199" t="s">
        <v>162</v>
      </c>
      <c r="BL199" t="s">
        <v>161</v>
      </c>
      <c r="BM199" s="2"/>
      <c r="BO199" t="s">
        <v>89</v>
      </c>
      <c r="BP199">
        <v>7306900090</v>
      </c>
      <c r="BR199" t="s">
        <v>189</v>
      </c>
      <c r="BS199" t="s">
        <v>103</v>
      </c>
      <c r="BU199">
        <v>198.6</v>
      </c>
      <c r="BV199">
        <v>456.13</v>
      </c>
      <c r="BW199">
        <v>0</v>
      </c>
      <c r="BX199">
        <v>0</v>
      </c>
      <c r="BY199">
        <v>0</v>
      </c>
      <c r="BZ199">
        <v>0</v>
      </c>
      <c r="CA199">
        <v>654.73</v>
      </c>
      <c r="CB199" t="s">
        <v>444</v>
      </c>
      <c r="CF199" s="2"/>
      <c r="CH199" s="2"/>
      <c r="CJ199" t="s">
        <v>1023</v>
      </c>
      <c r="CK199" t="s">
        <v>1509</v>
      </c>
      <c r="CL199">
        <v>43766.380648148152</v>
      </c>
      <c r="CO199" t="s">
        <v>11</v>
      </c>
      <c r="CP199">
        <v>3310.07</v>
      </c>
      <c r="CQ199" t="s">
        <v>11</v>
      </c>
      <c r="CR199">
        <v>3310.07</v>
      </c>
      <c r="CV199" t="s">
        <v>190</v>
      </c>
      <c r="CW199" t="s">
        <v>12</v>
      </c>
      <c r="CX199" t="s">
        <v>12</v>
      </c>
      <c r="CY199" t="s">
        <v>12</v>
      </c>
      <c r="DA199" t="s">
        <v>104</v>
      </c>
      <c r="DD199" t="s">
        <v>93</v>
      </c>
      <c r="DQ199" t="s">
        <v>94</v>
      </c>
      <c r="DR199" t="s">
        <v>94</v>
      </c>
      <c r="DS199" t="s">
        <v>94</v>
      </c>
      <c r="DT199" t="s">
        <v>94</v>
      </c>
      <c r="DU199" t="s">
        <v>94</v>
      </c>
      <c r="DV199" t="s">
        <v>94</v>
      </c>
      <c r="DW199" t="s">
        <v>94</v>
      </c>
      <c r="DX199" s="2" t="s">
        <v>94</v>
      </c>
      <c r="DY199" t="s">
        <v>94</v>
      </c>
      <c r="DZ199" t="s">
        <v>94</v>
      </c>
      <c r="EA199" t="s">
        <v>94</v>
      </c>
      <c r="EB199" t="s">
        <v>94</v>
      </c>
      <c r="EC199" t="s">
        <v>94</v>
      </c>
      <c r="ED199" t="s">
        <v>94</v>
      </c>
      <c r="EE199" t="s">
        <v>89</v>
      </c>
      <c r="EF199" t="s">
        <v>425</v>
      </c>
      <c r="EG199" t="s">
        <v>105</v>
      </c>
      <c r="EJ199" t="s">
        <v>166</v>
      </c>
      <c r="EK199" t="b">
        <v>0</v>
      </c>
      <c r="EL199" t="b">
        <v>0</v>
      </c>
      <c r="EM199" t="b">
        <v>0</v>
      </c>
      <c r="EO199" t="s">
        <v>177</v>
      </c>
      <c r="EP199" t="s">
        <v>2844</v>
      </c>
    </row>
    <row r="200" spans="3:146" ht="15">
      <c r="C200" s="82">
        <v>131</v>
      </c>
      <c r="D200" s="5"/>
      <c r="E200" s="4">
        <v>1</v>
      </c>
      <c r="F200" s="5">
        <v>9.3000000000000007</v>
      </c>
      <c r="G200" s="5" t="s">
        <v>2845</v>
      </c>
      <c r="H200" s="4" t="s">
        <v>1405</v>
      </c>
      <c r="I200" s="81" t="s">
        <v>817</v>
      </c>
      <c r="J200" s="21"/>
      <c r="K200" s="22" t="s">
        <v>2735</v>
      </c>
      <c r="L200" s="84" t="s">
        <v>2736</v>
      </c>
      <c r="M200" s="23" t="s">
        <v>817</v>
      </c>
      <c r="N200" s="23">
        <v>43765</v>
      </c>
      <c r="O200" s="24" t="s">
        <v>102</v>
      </c>
      <c r="P200" s="24" t="s">
        <v>181</v>
      </c>
      <c r="Q200" s="24">
        <v>1</v>
      </c>
      <c r="R200" s="24">
        <v>9.3000000000000007</v>
      </c>
      <c r="S200" t="s">
        <v>11</v>
      </c>
      <c r="T200">
        <v>465</v>
      </c>
      <c r="U200" s="2" t="s">
        <v>163</v>
      </c>
      <c r="V200">
        <v>43765.85900462963</v>
      </c>
      <c r="W200" s="2" t="s">
        <v>444</v>
      </c>
      <c r="X200">
        <v>43767.471712962964</v>
      </c>
      <c r="AB200" t="s">
        <v>9</v>
      </c>
      <c r="AC200" t="s">
        <v>2737</v>
      </c>
      <c r="AD200" t="s">
        <v>1125</v>
      </c>
      <c r="AE200">
        <v>162958</v>
      </c>
      <c r="AF200">
        <v>162958</v>
      </c>
      <c r="AG200" t="s">
        <v>183</v>
      </c>
      <c r="AH200" t="s">
        <v>2738</v>
      </c>
      <c r="AI200" t="s">
        <v>2738</v>
      </c>
      <c r="AJ200" t="s">
        <v>716</v>
      </c>
      <c r="AK200" t="s">
        <v>717</v>
      </c>
      <c r="AL200" t="s">
        <v>2739</v>
      </c>
      <c r="AM200" t="s">
        <v>2740</v>
      </c>
      <c r="AO200" t="s">
        <v>2741</v>
      </c>
      <c r="AP200" t="s">
        <v>2742</v>
      </c>
      <c r="AQ200" t="s">
        <v>2741</v>
      </c>
      <c r="AR200" t="s">
        <v>2846</v>
      </c>
      <c r="AS200">
        <v>-78124499020</v>
      </c>
      <c r="AT200" t="s">
        <v>2743</v>
      </c>
      <c r="AU200" t="s">
        <v>10</v>
      </c>
      <c r="AV200" t="s">
        <v>2744</v>
      </c>
      <c r="AW200" t="s">
        <v>2745</v>
      </c>
      <c r="AX200" t="s">
        <v>2746</v>
      </c>
      <c r="AY200" s="2" t="s">
        <v>2747</v>
      </c>
      <c r="BA200" t="s">
        <v>2748</v>
      </c>
      <c r="BB200" t="s">
        <v>1138</v>
      </c>
      <c r="BC200" t="s">
        <v>188</v>
      </c>
      <c r="BD200">
        <v>528329</v>
      </c>
      <c r="BE200" t="s">
        <v>2847</v>
      </c>
      <c r="BF200" t="s">
        <v>2749</v>
      </c>
      <c r="BG200" t="b">
        <v>0</v>
      </c>
      <c r="BH200" s="6" t="s">
        <v>2750</v>
      </c>
      <c r="BI200" t="s">
        <v>2751</v>
      </c>
      <c r="BJ200">
        <v>4453163191</v>
      </c>
      <c r="BK200" t="s">
        <v>162</v>
      </c>
      <c r="BL200" t="s">
        <v>161</v>
      </c>
      <c r="BM200" s="2"/>
      <c r="BO200" t="s">
        <v>89</v>
      </c>
      <c r="BP200">
        <v>94054090</v>
      </c>
      <c r="BR200" t="s">
        <v>189</v>
      </c>
      <c r="BS200" t="s">
        <v>103</v>
      </c>
      <c r="BU200">
        <v>0</v>
      </c>
      <c r="BV200">
        <v>64.08</v>
      </c>
      <c r="BW200">
        <v>0</v>
      </c>
      <c r="BX200">
        <v>0</v>
      </c>
      <c r="BY200">
        <v>0</v>
      </c>
      <c r="BZ200">
        <v>0</v>
      </c>
      <c r="CA200">
        <v>64.08</v>
      </c>
      <c r="CF200" s="2"/>
      <c r="CH200" s="2"/>
      <c r="CJ200" t="s">
        <v>1023</v>
      </c>
      <c r="CK200" t="s">
        <v>1509</v>
      </c>
      <c r="CL200">
        <v>43765.55159722222</v>
      </c>
      <c r="CO200" t="s">
        <v>11</v>
      </c>
      <c r="CP200">
        <v>465</v>
      </c>
      <c r="CQ200" t="s">
        <v>11</v>
      </c>
      <c r="CR200">
        <v>465</v>
      </c>
      <c r="CV200" t="s">
        <v>190</v>
      </c>
      <c r="CW200" t="s">
        <v>12</v>
      </c>
      <c r="CX200" t="s">
        <v>12</v>
      </c>
      <c r="CY200" t="s">
        <v>12</v>
      </c>
      <c r="DA200" t="s">
        <v>104</v>
      </c>
      <c r="DD200" t="s">
        <v>93</v>
      </c>
      <c r="DQ200" t="s">
        <v>94</v>
      </c>
      <c r="DR200" t="s">
        <v>94</v>
      </c>
      <c r="DS200" t="s">
        <v>94</v>
      </c>
      <c r="DT200" t="s">
        <v>94</v>
      </c>
      <c r="DU200" t="s">
        <v>94</v>
      </c>
      <c r="DV200" t="s">
        <v>94</v>
      </c>
      <c r="DW200" t="s">
        <v>94</v>
      </c>
      <c r="DX200" s="2" t="s">
        <v>94</v>
      </c>
      <c r="DY200" t="s">
        <v>94</v>
      </c>
      <c r="DZ200" t="s">
        <v>94</v>
      </c>
      <c r="EA200" t="s">
        <v>94</v>
      </c>
      <c r="EB200" t="s">
        <v>94</v>
      </c>
      <c r="EC200" t="s">
        <v>94</v>
      </c>
      <c r="ED200" t="s">
        <v>94</v>
      </c>
      <c r="EE200" t="s">
        <v>89</v>
      </c>
      <c r="EF200" t="s">
        <v>425</v>
      </c>
      <c r="EG200" t="s">
        <v>105</v>
      </c>
      <c r="EJ200" t="s">
        <v>166</v>
      </c>
      <c r="EK200" t="b">
        <v>0</v>
      </c>
      <c r="EL200" t="b">
        <v>0</v>
      </c>
      <c r="EM200" t="b">
        <v>0</v>
      </c>
      <c r="EO200" t="s">
        <v>177</v>
      </c>
      <c r="EP200" t="s">
        <v>2848</v>
      </c>
    </row>
    <row r="201" spans="3:146">
      <c r="C201" s="4">
        <v>131</v>
      </c>
      <c r="D201" s="4"/>
      <c r="E201" s="4">
        <v>1</v>
      </c>
      <c r="F201" s="4">
        <v>7.5</v>
      </c>
      <c r="G201" s="5" t="s">
        <v>2845</v>
      </c>
      <c r="H201" s="4" t="s">
        <v>2849</v>
      </c>
      <c r="I201" s="4" t="s">
        <v>817</v>
      </c>
      <c r="J201" s="5"/>
      <c r="K201" s="22" t="s">
        <v>2752</v>
      </c>
      <c r="L201" s="84" t="s">
        <v>2736</v>
      </c>
      <c r="M201" s="23" t="s">
        <v>817</v>
      </c>
      <c r="N201" s="23">
        <v>43765</v>
      </c>
      <c r="O201" s="24" t="s">
        <v>102</v>
      </c>
      <c r="P201" s="24" t="s">
        <v>181</v>
      </c>
      <c r="Q201" s="24">
        <v>1</v>
      </c>
      <c r="R201" s="24">
        <v>7.5</v>
      </c>
      <c r="S201" t="s">
        <v>11</v>
      </c>
      <c r="T201">
        <v>400</v>
      </c>
      <c r="U201" s="2" t="s">
        <v>163</v>
      </c>
      <c r="V201">
        <v>43765.859120370369</v>
      </c>
      <c r="W201" s="2" t="s">
        <v>444</v>
      </c>
      <c r="X201">
        <v>43767.471712962964</v>
      </c>
      <c r="AB201" t="s">
        <v>9</v>
      </c>
      <c r="AC201" t="s">
        <v>2753</v>
      </c>
      <c r="AD201" t="s">
        <v>191</v>
      </c>
      <c r="AE201">
        <v>104705</v>
      </c>
      <c r="AF201">
        <v>104705</v>
      </c>
      <c r="AG201" t="s">
        <v>183</v>
      </c>
      <c r="AH201" t="s">
        <v>2754</v>
      </c>
      <c r="AI201" t="s">
        <v>2754</v>
      </c>
      <c r="AJ201" t="s">
        <v>338</v>
      </c>
      <c r="AK201" t="s">
        <v>339</v>
      </c>
      <c r="AL201" t="s">
        <v>2755</v>
      </c>
      <c r="AM201" t="s">
        <v>2756</v>
      </c>
      <c r="AO201" t="s">
        <v>2757</v>
      </c>
      <c r="AP201" t="s">
        <v>2758</v>
      </c>
      <c r="AR201" t="s">
        <v>2850</v>
      </c>
      <c r="AS201">
        <v>274376741</v>
      </c>
      <c r="AT201" t="s">
        <v>2759</v>
      </c>
      <c r="AU201" t="s">
        <v>10</v>
      </c>
      <c r="AV201" t="s">
        <v>2760</v>
      </c>
      <c r="AW201" t="s">
        <v>2760</v>
      </c>
      <c r="AX201" t="s">
        <v>2761</v>
      </c>
      <c r="AY201" t="s">
        <v>2762</v>
      </c>
      <c r="AZ201" t="s">
        <v>2763</v>
      </c>
      <c r="BA201" t="s">
        <v>726</v>
      </c>
      <c r="BB201" t="s">
        <v>192</v>
      </c>
      <c r="BC201" t="s">
        <v>188</v>
      </c>
      <c r="BD201">
        <v>523001</v>
      </c>
      <c r="BE201" t="s">
        <v>2764</v>
      </c>
      <c r="BF201" t="s">
        <v>2765</v>
      </c>
      <c r="BG201" t="b">
        <v>0</v>
      </c>
      <c r="BH201" s="6" t="s">
        <v>2766</v>
      </c>
      <c r="BI201" t="s">
        <v>2767</v>
      </c>
      <c r="BJ201">
        <v>4453163191</v>
      </c>
      <c r="BK201" t="s">
        <v>162</v>
      </c>
      <c r="BL201" t="s">
        <v>161</v>
      </c>
      <c r="BM201" s="2"/>
      <c r="BO201" t="s">
        <v>89</v>
      </c>
      <c r="BP201">
        <v>4202910090</v>
      </c>
      <c r="BR201" t="s">
        <v>180</v>
      </c>
      <c r="BS201" t="s">
        <v>103</v>
      </c>
      <c r="BU201">
        <v>0</v>
      </c>
      <c r="BV201">
        <v>55.12</v>
      </c>
      <c r="BW201">
        <v>0</v>
      </c>
      <c r="BX201">
        <v>0</v>
      </c>
      <c r="BY201">
        <v>0</v>
      </c>
      <c r="BZ201">
        <v>0</v>
      </c>
      <c r="CA201">
        <v>55.12</v>
      </c>
      <c r="CF201" s="2"/>
      <c r="CH201" s="2"/>
      <c r="CJ201" t="s">
        <v>1023</v>
      </c>
      <c r="CK201" t="s">
        <v>1509</v>
      </c>
      <c r="CL201">
        <v>43765.377118055556</v>
      </c>
      <c r="CO201" t="s">
        <v>11</v>
      </c>
      <c r="CP201">
        <v>400</v>
      </c>
      <c r="CQ201" t="s">
        <v>11</v>
      </c>
      <c r="CR201">
        <v>400</v>
      </c>
      <c r="CV201" t="s">
        <v>190</v>
      </c>
      <c r="CW201" t="s">
        <v>12</v>
      </c>
      <c r="CX201" t="s">
        <v>12</v>
      </c>
      <c r="CY201" t="s">
        <v>12</v>
      </c>
      <c r="DA201" t="s">
        <v>104</v>
      </c>
      <c r="DD201" t="s">
        <v>93</v>
      </c>
      <c r="DQ201" t="s">
        <v>94</v>
      </c>
      <c r="DR201" t="s">
        <v>94</v>
      </c>
      <c r="DS201" t="s">
        <v>94</v>
      </c>
      <c r="DT201" t="s">
        <v>94</v>
      </c>
      <c r="DU201" t="s">
        <v>94</v>
      </c>
      <c r="DV201" t="s">
        <v>94</v>
      </c>
      <c r="DW201" t="s">
        <v>94</v>
      </c>
      <c r="DX201" s="2" t="s">
        <v>94</v>
      </c>
      <c r="DY201" t="s">
        <v>94</v>
      </c>
      <c r="DZ201" t="s">
        <v>94</v>
      </c>
      <c r="EA201" t="s">
        <v>94</v>
      </c>
      <c r="EB201" t="s">
        <v>94</v>
      </c>
      <c r="EC201" t="s">
        <v>94</v>
      </c>
      <c r="ED201" t="s">
        <v>94</v>
      </c>
      <c r="EE201" t="s">
        <v>89</v>
      </c>
      <c r="EF201" t="s">
        <v>425</v>
      </c>
      <c r="EG201" t="s">
        <v>105</v>
      </c>
      <c r="EJ201" t="s">
        <v>166</v>
      </c>
      <c r="EK201" t="b">
        <v>0</v>
      </c>
      <c r="EL201" t="b">
        <v>0</v>
      </c>
      <c r="EM201" t="b">
        <v>0</v>
      </c>
      <c r="EO201" t="s">
        <v>177</v>
      </c>
      <c r="EP201" t="s">
        <v>2848</v>
      </c>
    </row>
    <row r="202" spans="3:146">
      <c r="C202" s="4">
        <v>131</v>
      </c>
      <c r="D202" s="5"/>
      <c r="E202" s="5">
        <v>1</v>
      </c>
      <c r="F202" s="4">
        <v>2.5499999999999998</v>
      </c>
      <c r="G202" s="5" t="s">
        <v>2845</v>
      </c>
      <c r="H202" s="4" t="s">
        <v>2851</v>
      </c>
      <c r="I202" s="4" t="s">
        <v>817</v>
      </c>
      <c r="J202" s="4"/>
      <c r="K202" s="22" t="s">
        <v>2783</v>
      </c>
      <c r="L202" s="84" t="s">
        <v>2736</v>
      </c>
      <c r="M202" s="23" t="s">
        <v>817</v>
      </c>
      <c r="N202" s="23">
        <v>43765</v>
      </c>
      <c r="O202" s="24" t="s">
        <v>102</v>
      </c>
      <c r="P202" s="24" t="s">
        <v>181</v>
      </c>
      <c r="Q202" s="24">
        <v>1</v>
      </c>
      <c r="R202" s="24">
        <v>2.5499999999999998</v>
      </c>
      <c r="S202" t="s">
        <v>319</v>
      </c>
      <c r="T202">
        <v>70</v>
      </c>
      <c r="U202" s="2" t="s">
        <v>163</v>
      </c>
      <c r="V202">
        <v>43765.859363425923</v>
      </c>
      <c r="W202" s="2" t="s">
        <v>444</v>
      </c>
      <c r="X202">
        <v>43767.471712962964</v>
      </c>
      <c r="AB202" t="s">
        <v>9</v>
      </c>
      <c r="AC202" t="s">
        <v>2784</v>
      </c>
      <c r="AD202" t="s">
        <v>182</v>
      </c>
      <c r="AE202">
        <v>563911</v>
      </c>
      <c r="AF202">
        <v>563911</v>
      </c>
      <c r="AG202" t="s">
        <v>183</v>
      </c>
      <c r="AH202" t="s">
        <v>2785</v>
      </c>
      <c r="AI202" t="s">
        <v>2785</v>
      </c>
      <c r="AJ202" t="s">
        <v>2786</v>
      </c>
      <c r="AK202" t="s">
        <v>2787</v>
      </c>
      <c r="AL202" t="s">
        <v>2788</v>
      </c>
      <c r="AM202" t="s">
        <v>2789</v>
      </c>
      <c r="AO202" t="s">
        <v>2790</v>
      </c>
      <c r="AP202" t="s">
        <v>2791</v>
      </c>
      <c r="AQ202" t="s">
        <v>2792</v>
      </c>
      <c r="AR202" t="s">
        <v>2852</v>
      </c>
      <c r="AS202">
        <v>827043555557</v>
      </c>
      <c r="AT202" t="s">
        <v>2793</v>
      </c>
      <c r="AU202" t="s">
        <v>10</v>
      </c>
      <c r="AV202" t="s">
        <v>2794</v>
      </c>
      <c r="AW202" t="s">
        <v>2794</v>
      </c>
      <c r="AX202" t="s">
        <v>2795</v>
      </c>
      <c r="AY202" t="s">
        <v>2796</v>
      </c>
      <c r="AZ202" t="s">
        <v>2797</v>
      </c>
      <c r="BA202" t="s">
        <v>1002</v>
      </c>
      <c r="BB202" t="s">
        <v>187</v>
      </c>
      <c r="BC202" t="s">
        <v>188</v>
      </c>
      <c r="BD202">
        <v>518129</v>
      </c>
      <c r="BE202" t="s">
        <v>2853</v>
      </c>
      <c r="BF202" t="s">
        <v>2798</v>
      </c>
      <c r="BG202" t="b">
        <v>0</v>
      </c>
      <c r="BH202" s="6" t="s">
        <v>2799</v>
      </c>
      <c r="BI202" t="s">
        <v>2800</v>
      </c>
      <c r="BJ202">
        <v>4453163191</v>
      </c>
      <c r="BK202" t="s">
        <v>162</v>
      </c>
      <c r="BL202" t="s">
        <v>161</v>
      </c>
      <c r="BM202" s="2"/>
      <c r="BO202" t="s">
        <v>89</v>
      </c>
      <c r="BP202">
        <v>84733010</v>
      </c>
      <c r="BR202" t="s">
        <v>180</v>
      </c>
      <c r="BS202" t="s">
        <v>103</v>
      </c>
      <c r="BU202">
        <v>0</v>
      </c>
      <c r="BV202">
        <v>64.36</v>
      </c>
      <c r="BW202">
        <v>0</v>
      </c>
      <c r="BX202">
        <v>0</v>
      </c>
      <c r="BY202">
        <v>0</v>
      </c>
      <c r="BZ202">
        <v>0</v>
      </c>
      <c r="CA202">
        <v>64.36</v>
      </c>
      <c r="CF202" s="2"/>
      <c r="CH202" s="2"/>
      <c r="CJ202" t="s">
        <v>1023</v>
      </c>
      <c r="CK202" t="s">
        <v>1509</v>
      </c>
      <c r="CL202">
        <v>43765.377557870372</v>
      </c>
      <c r="CO202" t="s">
        <v>11</v>
      </c>
      <c r="CP202">
        <v>495.1</v>
      </c>
      <c r="CQ202" t="s">
        <v>11</v>
      </c>
      <c r="CR202">
        <v>495.1</v>
      </c>
      <c r="CV202" t="s">
        <v>190</v>
      </c>
      <c r="CW202" t="s">
        <v>12</v>
      </c>
      <c r="CX202" t="s">
        <v>12</v>
      </c>
      <c r="CY202" t="s">
        <v>12</v>
      </c>
      <c r="DA202" t="s">
        <v>104</v>
      </c>
      <c r="DD202" t="s">
        <v>93</v>
      </c>
      <c r="DQ202" t="s">
        <v>94</v>
      </c>
      <c r="DR202" t="s">
        <v>94</v>
      </c>
      <c r="DS202" t="s">
        <v>94</v>
      </c>
      <c r="DT202" t="s">
        <v>94</v>
      </c>
      <c r="DU202" t="s">
        <v>94</v>
      </c>
      <c r="DV202" t="s">
        <v>94</v>
      </c>
      <c r="DW202" t="s">
        <v>94</v>
      </c>
      <c r="DX202" s="2" t="s">
        <v>94</v>
      </c>
      <c r="DY202" t="s">
        <v>94</v>
      </c>
      <c r="DZ202" t="s">
        <v>94</v>
      </c>
      <c r="EA202" t="s">
        <v>94</v>
      </c>
      <c r="EB202" t="s">
        <v>94</v>
      </c>
      <c r="EC202" t="s">
        <v>94</v>
      </c>
      <c r="ED202" t="s">
        <v>94</v>
      </c>
      <c r="EE202" t="s">
        <v>89</v>
      </c>
      <c r="EF202" t="s">
        <v>425</v>
      </c>
      <c r="EG202" t="s">
        <v>105</v>
      </c>
      <c r="EJ202" t="s">
        <v>166</v>
      </c>
      <c r="EK202" t="b">
        <v>0</v>
      </c>
      <c r="EL202" t="b">
        <v>0</v>
      </c>
      <c r="EM202" t="b">
        <v>0</v>
      </c>
      <c r="EO202" t="s">
        <v>177</v>
      </c>
      <c r="EP202" t="s">
        <v>2848</v>
      </c>
    </row>
    <row r="203" spans="3:146">
      <c r="C203" s="4">
        <v>131</v>
      </c>
      <c r="D203" s="5"/>
      <c r="E203" s="4">
        <v>1</v>
      </c>
      <c r="F203" s="4">
        <v>0.43</v>
      </c>
      <c r="G203" s="5" t="s">
        <v>2845</v>
      </c>
      <c r="H203" s="4" t="s">
        <v>2854</v>
      </c>
      <c r="I203" s="4" t="s">
        <v>817</v>
      </c>
      <c r="J203" s="4"/>
      <c r="K203" s="22" t="s">
        <v>2855</v>
      </c>
      <c r="L203" s="84" t="s">
        <v>2736</v>
      </c>
      <c r="M203" s="23" t="s">
        <v>817</v>
      </c>
      <c r="N203" s="23">
        <v>43765</v>
      </c>
      <c r="O203" s="24" t="s">
        <v>102</v>
      </c>
      <c r="P203" s="24" t="s">
        <v>179</v>
      </c>
      <c r="Q203" s="24">
        <v>1</v>
      </c>
      <c r="R203" s="24">
        <v>0.43</v>
      </c>
      <c r="S203" t="s">
        <v>372</v>
      </c>
      <c r="T203">
        <v>30</v>
      </c>
      <c r="U203" s="2" t="s">
        <v>163</v>
      </c>
      <c r="V203">
        <v>43765.859363425923</v>
      </c>
      <c r="W203" s="2" t="s">
        <v>444</v>
      </c>
      <c r="X203">
        <v>43767.471712962964</v>
      </c>
      <c r="AB203" t="s">
        <v>9</v>
      </c>
      <c r="AC203" t="s">
        <v>2801</v>
      </c>
      <c r="AD203" t="s">
        <v>182</v>
      </c>
      <c r="AE203">
        <v>1113445</v>
      </c>
      <c r="AF203">
        <v>1113445</v>
      </c>
      <c r="AG203" t="s">
        <v>183</v>
      </c>
      <c r="AH203" t="s">
        <v>2802</v>
      </c>
      <c r="AI203" t="s">
        <v>2803</v>
      </c>
      <c r="AJ203" t="s">
        <v>184</v>
      </c>
      <c r="AK203" t="s">
        <v>185</v>
      </c>
      <c r="AL203" t="s">
        <v>2804</v>
      </c>
      <c r="AM203" t="s">
        <v>2161</v>
      </c>
      <c r="AO203" t="s">
        <v>2161</v>
      </c>
      <c r="AP203" t="s">
        <v>2805</v>
      </c>
      <c r="AQ203" t="s">
        <v>2161</v>
      </c>
      <c r="AR203" t="s">
        <v>2806</v>
      </c>
      <c r="AS203">
        <v>77815819518</v>
      </c>
      <c r="AT203" t="s">
        <v>2807</v>
      </c>
      <c r="AU203" t="s">
        <v>10</v>
      </c>
      <c r="AV203" t="s">
        <v>2808</v>
      </c>
      <c r="AW203" t="s">
        <v>2808</v>
      </c>
      <c r="AX203" t="s">
        <v>2809</v>
      </c>
      <c r="AY203" t="s">
        <v>2810</v>
      </c>
      <c r="BA203" t="s">
        <v>194</v>
      </c>
      <c r="BB203" t="s">
        <v>272</v>
      </c>
      <c r="BC203" t="s">
        <v>188</v>
      </c>
      <c r="BD203">
        <v>518067</v>
      </c>
      <c r="BE203" t="s">
        <v>2856</v>
      </c>
      <c r="BG203" t="b">
        <v>0</v>
      </c>
      <c r="BH203" s="6" t="s">
        <v>2811</v>
      </c>
      <c r="BI203" t="s">
        <v>2812</v>
      </c>
      <c r="BJ203">
        <v>4453163191</v>
      </c>
      <c r="BK203" t="s">
        <v>162</v>
      </c>
      <c r="BL203" t="s">
        <v>161</v>
      </c>
      <c r="BM203" s="2"/>
      <c r="BO203" t="s">
        <v>89</v>
      </c>
      <c r="BP203">
        <v>3921909090</v>
      </c>
      <c r="BR203" t="s">
        <v>180</v>
      </c>
      <c r="BS203" t="s">
        <v>103</v>
      </c>
      <c r="BU203">
        <v>0</v>
      </c>
      <c r="BV203">
        <v>0</v>
      </c>
      <c r="BW203">
        <v>0</v>
      </c>
      <c r="BX203">
        <v>0</v>
      </c>
      <c r="BY203">
        <v>0</v>
      </c>
      <c r="BZ203">
        <v>0</v>
      </c>
      <c r="CA203">
        <v>0</v>
      </c>
      <c r="CF203" s="2"/>
      <c r="CH203" s="2"/>
      <c r="CJ203" t="s">
        <v>1023</v>
      </c>
      <c r="CK203" t="s">
        <v>1509</v>
      </c>
      <c r="CL203">
        <v>43765.378032407411</v>
      </c>
      <c r="CO203" t="s">
        <v>11</v>
      </c>
      <c r="CP203">
        <v>265.24</v>
      </c>
      <c r="CQ203" t="s">
        <v>11</v>
      </c>
      <c r="CR203">
        <v>265.24</v>
      </c>
      <c r="CV203" t="s">
        <v>190</v>
      </c>
      <c r="CW203" t="s">
        <v>12</v>
      </c>
      <c r="CX203" t="s">
        <v>12</v>
      </c>
      <c r="CY203" t="s">
        <v>12</v>
      </c>
      <c r="DA203" t="s">
        <v>104</v>
      </c>
      <c r="DD203" t="s">
        <v>93</v>
      </c>
      <c r="DQ203" t="s">
        <v>94</v>
      </c>
      <c r="DR203" t="s">
        <v>94</v>
      </c>
      <c r="DS203" t="s">
        <v>94</v>
      </c>
      <c r="DT203" t="s">
        <v>94</v>
      </c>
      <c r="DU203" t="s">
        <v>94</v>
      </c>
      <c r="DV203" t="s">
        <v>94</v>
      </c>
      <c r="DW203" t="s">
        <v>94</v>
      </c>
      <c r="DX203" s="2" t="s">
        <v>94</v>
      </c>
      <c r="DY203" t="s">
        <v>94</v>
      </c>
      <c r="DZ203" t="s">
        <v>94</v>
      </c>
      <c r="EA203" t="s">
        <v>94</v>
      </c>
      <c r="EB203" t="s">
        <v>94</v>
      </c>
      <c r="EC203" t="s">
        <v>94</v>
      </c>
      <c r="ED203" t="s">
        <v>94</v>
      </c>
      <c r="EE203" t="s">
        <v>89</v>
      </c>
      <c r="EF203" t="s">
        <v>425</v>
      </c>
      <c r="EG203" t="s">
        <v>105</v>
      </c>
      <c r="EJ203" t="s">
        <v>166</v>
      </c>
      <c r="EK203" t="b">
        <v>0</v>
      </c>
      <c r="EL203" t="b">
        <v>0</v>
      </c>
      <c r="EM203" t="b">
        <v>0</v>
      </c>
      <c r="EO203" t="s">
        <v>177</v>
      </c>
      <c r="EP203" t="s">
        <v>2848</v>
      </c>
    </row>
    <row r="204" spans="3:146" ht="15">
      <c r="C204" s="82">
        <v>3</v>
      </c>
      <c r="D204" s="5"/>
      <c r="E204" s="4">
        <v>1</v>
      </c>
      <c r="F204" s="5">
        <v>3</v>
      </c>
      <c r="G204" s="5" t="s">
        <v>2924</v>
      </c>
      <c r="H204" s="4" t="s">
        <v>2925</v>
      </c>
      <c r="I204" s="81" t="s">
        <v>817</v>
      </c>
      <c r="J204" s="21"/>
      <c r="K204" s="22" t="s">
        <v>2857</v>
      </c>
      <c r="L204" s="84" t="s">
        <v>2736</v>
      </c>
      <c r="M204" s="23" t="s">
        <v>817</v>
      </c>
      <c r="N204" s="23">
        <v>43765</v>
      </c>
      <c r="O204" s="24" t="s">
        <v>102</v>
      </c>
      <c r="P204" s="24" t="s">
        <v>181</v>
      </c>
      <c r="Q204" s="24">
        <v>1</v>
      </c>
      <c r="R204" s="24">
        <v>3</v>
      </c>
      <c r="S204" t="s">
        <v>319</v>
      </c>
      <c r="T204">
        <v>85</v>
      </c>
      <c r="U204" s="2" t="s">
        <v>163</v>
      </c>
      <c r="V204">
        <v>43765.859270833331</v>
      </c>
      <c r="W204" s="2" t="s">
        <v>444</v>
      </c>
      <c r="X204">
        <v>43767.471712962964</v>
      </c>
      <c r="AB204" t="s">
        <v>9</v>
      </c>
      <c r="AC204" t="s">
        <v>2858</v>
      </c>
      <c r="AD204" t="s">
        <v>191</v>
      </c>
      <c r="AE204" t="s">
        <v>183</v>
      </c>
      <c r="AF204" t="s">
        <v>183</v>
      </c>
      <c r="AG204" t="s">
        <v>2926</v>
      </c>
      <c r="AH204" t="s">
        <v>2859</v>
      </c>
      <c r="AI204" t="s">
        <v>2859</v>
      </c>
      <c r="AJ204" t="s">
        <v>601</v>
      </c>
      <c r="AK204" t="s">
        <v>602</v>
      </c>
      <c r="AL204" t="s">
        <v>2860</v>
      </c>
      <c r="AM204" t="s">
        <v>2861</v>
      </c>
      <c r="AO204" t="s">
        <v>2862</v>
      </c>
      <c r="AP204" t="s">
        <v>2863</v>
      </c>
      <c r="AQ204" t="s">
        <v>2864</v>
      </c>
      <c r="AR204">
        <v>26858</v>
      </c>
      <c r="AS204">
        <v>393475056316</v>
      </c>
      <c r="AT204" t="s">
        <v>2865</v>
      </c>
      <c r="AU204" t="s">
        <v>10</v>
      </c>
      <c r="AV204" t="s">
        <v>2866</v>
      </c>
      <c r="AW204" t="s">
        <v>2866</v>
      </c>
      <c r="AX204" t="s">
        <v>2867</v>
      </c>
      <c r="AY204" s="2" t="s">
        <v>2868</v>
      </c>
      <c r="AZ204" t="s">
        <v>2869</v>
      </c>
      <c r="BA204" t="s">
        <v>2870</v>
      </c>
      <c r="BB204" t="s">
        <v>2871</v>
      </c>
      <c r="BC204" t="s">
        <v>2872</v>
      </c>
      <c r="BD204">
        <v>361009</v>
      </c>
      <c r="BE204" t="s">
        <v>2873</v>
      </c>
      <c r="BF204" t="s">
        <v>2874</v>
      </c>
      <c r="BG204" t="b">
        <v>0</v>
      </c>
      <c r="BH204" s="6" t="s">
        <v>2875</v>
      </c>
      <c r="BI204" t="s">
        <v>2876</v>
      </c>
      <c r="BJ204">
        <v>4453163191</v>
      </c>
      <c r="BK204" t="s">
        <v>162</v>
      </c>
      <c r="BL204" t="s">
        <v>161</v>
      </c>
      <c r="BM204" s="2"/>
      <c r="BN204" t="s">
        <v>2877</v>
      </c>
      <c r="BO204" t="s">
        <v>89</v>
      </c>
      <c r="BP204">
        <v>85340090</v>
      </c>
      <c r="BR204" t="s">
        <v>189</v>
      </c>
      <c r="BS204" t="s">
        <v>103</v>
      </c>
      <c r="BU204">
        <v>0</v>
      </c>
      <c r="BV204">
        <v>78.150000000000006</v>
      </c>
      <c r="BW204">
        <v>0</v>
      </c>
      <c r="BX204">
        <v>0</v>
      </c>
      <c r="BY204">
        <v>0</v>
      </c>
      <c r="BZ204">
        <v>0</v>
      </c>
      <c r="CA204">
        <v>78.150000000000006</v>
      </c>
      <c r="CF204" s="2"/>
      <c r="CH204" s="2"/>
      <c r="CJ204" t="s">
        <v>1023</v>
      </c>
      <c r="CK204" t="s">
        <v>1509</v>
      </c>
      <c r="CL204">
        <v>43765.551608796297</v>
      </c>
      <c r="CO204" t="s">
        <v>11</v>
      </c>
      <c r="CP204">
        <v>601.19000000000005</v>
      </c>
      <c r="CQ204" t="s">
        <v>11</v>
      </c>
      <c r="CR204">
        <v>601.19000000000005</v>
      </c>
      <c r="CV204" t="s">
        <v>525</v>
      </c>
      <c r="CW204" t="s">
        <v>12</v>
      </c>
      <c r="CX204" t="s">
        <v>12</v>
      </c>
      <c r="CY204" t="s">
        <v>12</v>
      </c>
      <c r="DA204" t="s">
        <v>104</v>
      </c>
      <c r="DD204" t="s">
        <v>93</v>
      </c>
      <c r="DQ204" t="s">
        <v>94</v>
      </c>
      <c r="DR204" t="s">
        <v>94</v>
      </c>
      <c r="DS204" t="s">
        <v>94</v>
      </c>
      <c r="DT204" t="s">
        <v>94</v>
      </c>
      <c r="DU204" t="s">
        <v>94</v>
      </c>
      <c r="DV204" t="s">
        <v>94</v>
      </c>
      <c r="DW204" t="s">
        <v>94</v>
      </c>
      <c r="DX204" s="2" t="s">
        <v>94</v>
      </c>
      <c r="DY204" t="s">
        <v>94</v>
      </c>
      <c r="DZ204" t="s">
        <v>94</v>
      </c>
      <c r="EA204" t="s">
        <v>94</v>
      </c>
      <c r="EB204" t="s">
        <v>94</v>
      </c>
      <c r="EC204" t="s">
        <v>94</v>
      </c>
      <c r="ED204" t="s">
        <v>94</v>
      </c>
      <c r="EE204" t="s">
        <v>89</v>
      </c>
      <c r="EF204" t="s">
        <v>425</v>
      </c>
      <c r="EG204" t="s">
        <v>105</v>
      </c>
      <c r="EJ204" t="s">
        <v>166</v>
      </c>
      <c r="EK204" t="b">
        <v>0</v>
      </c>
      <c r="EL204" t="b">
        <v>0</v>
      </c>
      <c r="EM204" t="b">
        <v>0</v>
      </c>
    </row>
    <row r="205" spans="3:146">
      <c r="C205" s="4">
        <v>3</v>
      </c>
      <c r="D205" s="4"/>
      <c r="E205" s="4">
        <v>1</v>
      </c>
      <c r="F205" s="4">
        <v>1.7</v>
      </c>
      <c r="G205" s="5" t="s">
        <v>2924</v>
      </c>
      <c r="H205" s="4" t="s">
        <v>2927</v>
      </c>
      <c r="I205" s="4" t="s">
        <v>817</v>
      </c>
      <c r="J205" s="5"/>
      <c r="K205" s="22" t="s">
        <v>2896</v>
      </c>
      <c r="L205" s="84" t="s">
        <v>2736</v>
      </c>
      <c r="M205" s="23" t="s">
        <v>817</v>
      </c>
      <c r="N205" s="23">
        <v>43765</v>
      </c>
      <c r="O205" s="24" t="s">
        <v>102</v>
      </c>
      <c r="P205" s="24" t="s">
        <v>179</v>
      </c>
      <c r="Q205" s="24">
        <v>1</v>
      </c>
      <c r="R205" s="24">
        <v>1.7</v>
      </c>
      <c r="S205" t="s">
        <v>528</v>
      </c>
      <c r="T205">
        <v>30</v>
      </c>
      <c r="U205" s="2" t="s">
        <v>163</v>
      </c>
      <c r="V205">
        <v>43765.859050925923</v>
      </c>
      <c r="W205" s="2" t="s">
        <v>444</v>
      </c>
      <c r="X205">
        <v>43767.471712962964</v>
      </c>
      <c r="AB205" t="s">
        <v>9</v>
      </c>
      <c r="AC205" t="s">
        <v>2360</v>
      </c>
      <c r="AD205" t="s">
        <v>182</v>
      </c>
      <c r="AE205" t="s">
        <v>2928</v>
      </c>
      <c r="AF205" t="s">
        <v>2928</v>
      </c>
      <c r="AH205" t="s">
        <v>2897</v>
      </c>
      <c r="AI205" t="s">
        <v>2897</v>
      </c>
      <c r="AJ205" t="s">
        <v>1214</v>
      </c>
      <c r="AK205" t="s">
        <v>1215</v>
      </c>
      <c r="AL205" t="s">
        <v>2898</v>
      </c>
      <c r="AO205" t="s">
        <v>2899</v>
      </c>
      <c r="AP205" t="s">
        <v>2364</v>
      </c>
      <c r="AQ205" t="s">
        <v>2900</v>
      </c>
      <c r="AR205">
        <v>8600</v>
      </c>
      <c r="AS205">
        <v>-41448021081</v>
      </c>
      <c r="AT205" t="s">
        <v>2901</v>
      </c>
      <c r="AU205" t="s">
        <v>10</v>
      </c>
      <c r="AV205" t="s">
        <v>2902</v>
      </c>
      <c r="AW205" t="s">
        <v>2902</v>
      </c>
      <c r="AX205" t="s">
        <v>2903</v>
      </c>
      <c r="AY205" t="s">
        <v>2904</v>
      </c>
      <c r="AZ205" t="s">
        <v>2905</v>
      </c>
      <c r="BA205" t="s">
        <v>271</v>
      </c>
      <c r="BB205" t="s">
        <v>272</v>
      </c>
      <c r="BC205" t="s">
        <v>188</v>
      </c>
      <c r="BD205">
        <v>518054</v>
      </c>
      <c r="BE205" t="s">
        <v>2906</v>
      </c>
      <c r="BF205" t="s">
        <v>422</v>
      </c>
      <c r="BG205" t="b">
        <v>0</v>
      </c>
      <c r="BH205" s="6" t="s">
        <v>2907</v>
      </c>
      <c r="BI205" t="s">
        <v>2908</v>
      </c>
      <c r="BJ205">
        <v>4453163191</v>
      </c>
      <c r="BK205" t="s">
        <v>162</v>
      </c>
      <c r="BL205" t="s">
        <v>161</v>
      </c>
      <c r="BM205" s="2"/>
      <c r="BO205" t="s">
        <v>89</v>
      </c>
      <c r="BP205">
        <v>4202910090</v>
      </c>
      <c r="BR205" t="s">
        <v>180</v>
      </c>
      <c r="BS205" t="s">
        <v>103</v>
      </c>
      <c r="BU205">
        <v>0</v>
      </c>
      <c r="BV205">
        <v>0</v>
      </c>
      <c r="BW205">
        <v>0</v>
      </c>
      <c r="BX205">
        <v>0</v>
      </c>
      <c r="BY205">
        <v>0</v>
      </c>
      <c r="BZ205">
        <v>0</v>
      </c>
      <c r="CA205">
        <v>0</v>
      </c>
      <c r="CF205" s="2"/>
      <c r="CH205" s="2"/>
      <c r="CJ205" t="s">
        <v>1023</v>
      </c>
      <c r="CK205" t="s">
        <v>1509</v>
      </c>
      <c r="CL205">
        <v>43765.377893518518</v>
      </c>
      <c r="CO205" t="s">
        <v>11</v>
      </c>
      <c r="CP205">
        <v>234.94</v>
      </c>
      <c r="CQ205" t="s">
        <v>11</v>
      </c>
      <c r="CR205">
        <v>234.94</v>
      </c>
      <c r="CV205" t="s">
        <v>190</v>
      </c>
      <c r="CW205" t="s">
        <v>12</v>
      </c>
      <c r="CX205" t="s">
        <v>12</v>
      </c>
      <c r="CY205" t="s">
        <v>12</v>
      </c>
      <c r="DA205" t="s">
        <v>104</v>
      </c>
      <c r="DD205" t="s">
        <v>93</v>
      </c>
      <c r="DQ205" t="s">
        <v>94</v>
      </c>
      <c r="DR205" t="s">
        <v>94</v>
      </c>
      <c r="DS205" t="s">
        <v>94</v>
      </c>
      <c r="DT205" t="s">
        <v>94</v>
      </c>
      <c r="DU205" t="s">
        <v>94</v>
      </c>
      <c r="DV205" t="s">
        <v>94</v>
      </c>
      <c r="DW205" t="s">
        <v>94</v>
      </c>
      <c r="DX205" s="2" t="s">
        <v>94</v>
      </c>
      <c r="DY205" t="s">
        <v>94</v>
      </c>
      <c r="DZ205" t="s">
        <v>94</v>
      </c>
      <c r="EA205" t="s">
        <v>94</v>
      </c>
      <c r="EB205" t="s">
        <v>94</v>
      </c>
      <c r="EC205" t="s">
        <v>94</v>
      </c>
      <c r="ED205" t="s">
        <v>94</v>
      </c>
      <c r="EE205" t="s">
        <v>89</v>
      </c>
      <c r="EF205" t="s">
        <v>425</v>
      </c>
      <c r="EG205" t="s">
        <v>105</v>
      </c>
      <c r="EJ205" t="s">
        <v>166</v>
      </c>
      <c r="EK205" t="b">
        <v>0</v>
      </c>
      <c r="EL205" t="b">
        <v>0</v>
      </c>
      <c r="EM205" t="b">
        <v>0</v>
      </c>
      <c r="EO205" t="s">
        <v>177</v>
      </c>
      <c r="EP205" t="s">
        <v>2929</v>
      </c>
    </row>
    <row r="206" spans="3:146" ht="15">
      <c r="C206" s="82">
        <v>23</v>
      </c>
      <c r="D206" s="5"/>
      <c r="E206" s="4">
        <v>2</v>
      </c>
      <c r="F206" s="5">
        <v>4.5999999999999996</v>
      </c>
      <c r="G206" s="5" t="s">
        <v>2930</v>
      </c>
      <c r="H206" s="4" t="s">
        <v>2931</v>
      </c>
      <c r="I206" s="81" t="s">
        <v>164</v>
      </c>
      <c r="J206" s="21"/>
      <c r="K206" s="22" t="s">
        <v>2878</v>
      </c>
      <c r="L206" s="84" t="s">
        <v>2469</v>
      </c>
      <c r="M206" s="23" t="s">
        <v>447</v>
      </c>
      <c r="N206" s="23">
        <v>43761</v>
      </c>
      <c r="O206" s="24" t="s">
        <v>102</v>
      </c>
      <c r="P206" s="24" t="s">
        <v>179</v>
      </c>
      <c r="Q206" s="24">
        <v>2</v>
      </c>
      <c r="R206" s="24">
        <v>4.5999999999999996</v>
      </c>
      <c r="S206" t="s">
        <v>319</v>
      </c>
      <c r="T206">
        <v>45</v>
      </c>
      <c r="U206" s="2" t="s">
        <v>163</v>
      </c>
      <c r="V206">
        <v>43761.817118055558</v>
      </c>
      <c r="W206" s="2" t="s">
        <v>444</v>
      </c>
      <c r="X206">
        <v>43761.817337962966</v>
      </c>
      <c r="AB206" t="s">
        <v>9</v>
      </c>
      <c r="AC206" t="s">
        <v>2879</v>
      </c>
      <c r="AD206" t="s">
        <v>182</v>
      </c>
      <c r="AE206" t="s">
        <v>2932</v>
      </c>
      <c r="AF206" t="s">
        <v>2932</v>
      </c>
      <c r="AG206" t="s">
        <v>183</v>
      </c>
      <c r="AH206" t="s">
        <v>2880</v>
      </c>
      <c r="AI206" t="s">
        <v>2880</v>
      </c>
      <c r="AJ206" t="s">
        <v>2881</v>
      </c>
      <c r="AK206" t="s">
        <v>2882</v>
      </c>
      <c r="AL206" t="s">
        <v>2883</v>
      </c>
      <c r="AM206" t="s">
        <v>2884</v>
      </c>
      <c r="AO206" t="s">
        <v>2885</v>
      </c>
      <c r="AP206" t="s">
        <v>2886</v>
      </c>
      <c r="AQ206" t="s">
        <v>2887</v>
      </c>
      <c r="AR206">
        <v>2300</v>
      </c>
      <c r="AS206">
        <v>63454917018</v>
      </c>
      <c r="AT206" t="s">
        <v>2888</v>
      </c>
      <c r="AU206" t="s">
        <v>10</v>
      </c>
      <c r="AV206" t="s">
        <v>2889</v>
      </c>
      <c r="AW206" t="s">
        <v>2889</v>
      </c>
      <c r="AX206" t="s">
        <v>2890</v>
      </c>
      <c r="AY206" s="2" t="s">
        <v>2891</v>
      </c>
      <c r="AZ206" t="s">
        <v>2892</v>
      </c>
      <c r="BA206" t="s">
        <v>186</v>
      </c>
      <c r="BB206" t="s">
        <v>187</v>
      </c>
      <c r="BC206" t="s">
        <v>188</v>
      </c>
      <c r="BD206">
        <v>518107</v>
      </c>
      <c r="BE206" t="s">
        <v>2933</v>
      </c>
      <c r="BF206" t="s">
        <v>2893</v>
      </c>
      <c r="BG206" t="b">
        <v>0</v>
      </c>
      <c r="BH206" s="6" t="s">
        <v>2894</v>
      </c>
      <c r="BI206" t="s">
        <v>2895</v>
      </c>
      <c r="BJ206">
        <v>4453163191</v>
      </c>
      <c r="BK206" t="s">
        <v>162</v>
      </c>
      <c r="BL206" t="s">
        <v>161</v>
      </c>
      <c r="BM206" s="2"/>
      <c r="BO206" t="s">
        <v>89</v>
      </c>
      <c r="BP206">
        <v>53050019</v>
      </c>
      <c r="BR206" t="s">
        <v>180</v>
      </c>
      <c r="BS206" t="s">
        <v>103</v>
      </c>
      <c r="BU206">
        <v>0</v>
      </c>
      <c r="BV206">
        <v>0</v>
      </c>
      <c r="BW206">
        <v>0</v>
      </c>
      <c r="BX206">
        <v>0</v>
      </c>
      <c r="BY206">
        <v>0</v>
      </c>
      <c r="BZ206">
        <v>0</v>
      </c>
      <c r="CA206">
        <v>0</v>
      </c>
      <c r="CF206" s="2"/>
      <c r="CH206" s="2"/>
      <c r="CJ206" t="s">
        <v>1023</v>
      </c>
      <c r="CK206" t="s">
        <v>1509</v>
      </c>
      <c r="CL206">
        <v>43761.571921296294</v>
      </c>
      <c r="CO206" t="s">
        <v>11</v>
      </c>
      <c r="CP206">
        <v>318.27999999999997</v>
      </c>
      <c r="CQ206" t="s">
        <v>11</v>
      </c>
      <c r="CR206">
        <v>318.27999999999997</v>
      </c>
      <c r="CV206" t="s">
        <v>190</v>
      </c>
      <c r="CW206" t="s">
        <v>12</v>
      </c>
      <c r="CX206" t="s">
        <v>12</v>
      </c>
      <c r="CY206" t="s">
        <v>12</v>
      </c>
      <c r="DA206" t="s">
        <v>104</v>
      </c>
      <c r="DD206" t="s">
        <v>93</v>
      </c>
      <c r="DQ206" t="s">
        <v>94</v>
      </c>
      <c r="DR206" t="s">
        <v>94</v>
      </c>
      <c r="DS206" t="s">
        <v>94</v>
      </c>
      <c r="DT206" t="s">
        <v>94</v>
      </c>
      <c r="DU206" t="s">
        <v>94</v>
      </c>
      <c r="DV206" t="s">
        <v>94</v>
      </c>
      <c r="DW206" t="s">
        <v>94</v>
      </c>
      <c r="DX206" s="2" t="s">
        <v>94</v>
      </c>
      <c r="DY206" t="s">
        <v>94</v>
      </c>
      <c r="DZ206" t="s">
        <v>94</v>
      </c>
      <c r="EA206" t="s">
        <v>94</v>
      </c>
      <c r="EB206" t="s">
        <v>94</v>
      </c>
      <c r="EC206" t="s">
        <v>94</v>
      </c>
      <c r="ED206" t="s">
        <v>94</v>
      </c>
      <c r="EE206" t="s">
        <v>89</v>
      </c>
      <c r="EF206" t="s">
        <v>425</v>
      </c>
      <c r="EG206" t="s">
        <v>105</v>
      </c>
      <c r="EJ206" t="s">
        <v>166</v>
      </c>
      <c r="EK206" t="b">
        <v>0</v>
      </c>
      <c r="EL206" t="b">
        <v>0</v>
      </c>
      <c r="EM206" t="b">
        <v>0</v>
      </c>
      <c r="EO206" t="s">
        <v>177</v>
      </c>
      <c r="EP206" t="s">
        <v>2934</v>
      </c>
    </row>
    <row r="207" spans="3:146" ht="15">
      <c r="C207" s="82">
        <v>13</v>
      </c>
      <c r="D207" s="5"/>
      <c r="E207" s="4">
        <v>1</v>
      </c>
      <c r="F207" s="5">
        <v>0.45</v>
      </c>
      <c r="G207" s="5" t="s">
        <v>2935</v>
      </c>
      <c r="H207" s="4" t="s">
        <v>2936</v>
      </c>
      <c r="I207" s="81" t="s">
        <v>920</v>
      </c>
      <c r="J207" s="21"/>
      <c r="K207" s="22">
        <v>683761573</v>
      </c>
      <c r="L207" s="84" t="s">
        <v>1966</v>
      </c>
      <c r="M207" s="23" t="s">
        <v>920</v>
      </c>
      <c r="N207" s="23">
        <v>43748</v>
      </c>
      <c r="O207" s="24" t="s">
        <v>102</v>
      </c>
      <c r="P207" s="24" t="s">
        <v>179</v>
      </c>
      <c r="Q207" s="24">
        <v>1</v>
      </c>
      <c r="R207" s="24">
        <v>0.45</v>
      </c>
      <c r="S207" t="s">
        <v>319</v>
      </c>
      <c r="T207">
        <v>20</v>
      </c>
      <c r="U207" s="2" t="s">
        <v>163</v>
      </c>
      <c r="V207">
        <v>43748.889722222222</v>
      </c>
      <c r="W207" s="2" t="s">
        <v>444</v>
      </c>
      <c r="X207">
        <v>43748.889930555553</v>
      </c>
      <c r="AB207" t="s">
        <v>9</v>
      </c>
      <c r="AC207" t="s">
        <v>2909</v>
      </c>
      <c r="AD207" t="s">
        <v>209</v>
      </c>
      <c r="AE207" t="s">
        <v>183</v>
      </c>
      <c r="AF207" t="s">
        <v>183</v>
      </c>
      <c r="AG207">
        <v>6006858</v>
      </c>
      <c r="AH207" t="s">
        <v>2910</v>
      </c>
      <c r="AI207" t="s">
        <v>2910</v>
      </c>
      <c r="AJ207" t="s">
        <v>2786</v>
      </c>
      <c r="AK207" t="s">
        <v>2787</v>
      </c>
      <c r="AL207" t="s">
        <v>2911</v>
      </c>
      <c r="AM207" t="s">
        <v>2912</v>
      </c>
      <c r="AO207" t="s">
        <v>2913</v>
      </c>
      <c r="AP207" t="s">
        <v>2914</v>
      </c>
      <c r="AQ207" t="s">
        <v>2792</v>
      </c>
      <c r="AR207">
        <v>16006</v>
      </c>
      <c r="AS207">
        <v>3180843196</v>
      </c>
      <c r="AT207" t="s">
        <v>2915</v>
      </c>
      <c r="AU207" t="s">
        <v>10</v>
      </c>
      <c r="AV207" t="s">
        <v>2916</v>
      </c>
      <c r="AW207" t="s">
        <v>2916</v>
      </c>
      <c r="AX207" t="s">
        <v>2917</v>
      </c>
      <c r="AY207" s="2" t="s">
        <v>2918</v>
      </c>
      <c r="BA207" t="s">
        <v>2257</v>
      </c>
      <c r="BB207" t="s">
        <v>1576</v>
      </c>
      <c r="BC207" t="s">
        <v>188</v>
      </c>
      <c r="BD207">
        <v>510800</v>
      </c>
      <c r="BE207" t="s">
        <v>2919</v>
      </c>
      <c r="BF207" t="s">
        <v>2920</v>
      </c>
      <c r="BG207" t="b">
        <v>0</v>
      </c>
      <c r="BH207" s="6" t="s">
        <v>2921</v>
      </c>
      <c r="BI207" t="s">
        <v>2922</v>
      </c>
      <c r="BJ207">
        <v>4453163191</v>
      </c>
      <c r="BK207" t="s">
        <v>162</v>
      </c>
      <c r="BL207" t="s">
        <v>161</v>
      </c>
      <c r="BM207" s="2"/>
      <c r="BN207" t="s">
        <v>2923</v>
      </c>
      <c r="BO207" t="s">
        <v>89</v>
      </c>
      <c r="BP207">
        <v>3503001001</v>
      </c>
      <c r="BR207" t="s">
        <v>189</v>
      </c>
      <c r="BS207" t="s">
        <v>103</v>
      </c>
      <c r="BU207">
        <v>0</v>
      </c>
      <c r="BV207">
        <v>0</v>
      </c>
      <c r="BW207">
        <v>0</v>
      </c>
      <c r="BX207">
        <v>0</v>
      </c>
      <c r="BY207">
        <v>0</v>
      </c>
      <c r="BZ207">
        <v>0</v>
      </c>
      <c r="CA207">
        <v>0</v>
      </c>
      <c r="CF207" s="2"/>
      <c r="CH207" s="2"/>
      <c r="CJ207" t="s">
        <v>1023</v>
      </c>
      <c r="CK207" t="s">
        <v>1509</v>
      </c>
      <c r="CL207">
        <v>43748.391388888886</v>
      </c>
      <c r="CO207" t="s">
        <v>11</v>
      </c>
      <c r="CP207">
        <v>141.46</v>
      </c>
      <c r="CQ207" t="s">
        <v>11</v>
      </c>
      <c r="CR207">
        <v>141.46</v>
      </c>
      <c r="CV207" t="s">
        <v>525</v>
      </c>
      <c r="CW207" t="s">
        <v>12</v>
      </c>
      <c r="CX207" t="s">
        <v>12</v>
      </c>
      <c r="CY207" t="s">
        <v>12</v>
      </c>
      <c r="DA207" t="s">
        <v>104</v>
      </c>
      <c r="DD207" t="s">
        <v>93</v>
      </c>
      <c r="DQ207" t="s">
        <v>94</v>
      </c>
      <c r="DR207" t="s">
        <v>94</v>
      </c>
      <c r="DS207" t="s">
        <v>94</v>
      </c>
      <c r="DT207" t="s">
        <v>94</v>
      </c>
      <c r="DU207" t="s">
        <v>94</v>
      </c>
      <c r="DV207" t="s">
        <v>94</v>
      </c>
      <c r="DW207" t="s">
        <v>94</v>
      </c>
      <c r="DX207" s="2" t="s">
        <v>94</v>
      </c>
      <c r="DY207" t="s">
        <v>94</v>
      </c>
      <c r="DZ207" t="s">
        <v>94</v>
      </c>
      <c r="EA207" t="s">
        <v>94</v>
      </c>
      <c r="EB207" t="s">
        <v>94</v>
      </c>
      <c r="EC207" t="s">
        <v>94</v>
      </c>
      <c r="ED207" t="s">
        <v>94</v>
      </c>
      <c r="EE207" t="s">
        <v>89</v>
      </c>
      <c r="EF207" t="s">
        <v>425</v>
      </c>
      <c r="EG207" t="s">
        <v>105</v>
      </c>
      <c r="EJ207" t="s">
        <v>166</v>
      </c>
      <c r="EK207" t="b">
        <v>0</v>
      </c>
      <c r="EL207" t="b">
        <v>0</v>
      </c>
      <c r="EM207" t="b">
        <v>0</v>
      </c>
    </row>
    <row r="208" spans="3:146" ht="15">
      <c r="C208" s="82">
        <v>3</v>
      </c>
      <c r="D208" s="5"/>
      <c r="E208" s="4">
        <v>1</v>
      </c>
      <c r="F208" s="5">
        <v>17.5</v>
      </c>
      <c r="G208" s="5" t="s">
        <v>3059</v>
      </c>
      <c r="H208" s="4" t="s">
        <v>3060</v>
      </c>
      <c r="I208" s="81" t="s">
        <v>920</v>
      </c>
      <c r="J208" s="21"/>
      <c r="K208" s="22" t="s">
        <v>2954</v>
      </c>
      <c r="L208" s="84" t="s">
        <v>2634</v>
      </c>
      <c r="M208" s="23" t="s">
        <v>920</v>
      </c>
      <c r="N208" s="23">
        <v>43764</v>
      </c>
      <c r="O208" s="24" t="s">
        <v>102</v>
      </c>
      <c r="P208" s="24" t="s">
        <v>181</v>
      </c>
      <c r="Q208" s="24">
        <v>1</v>
      </c>
      <c r="R208" s="24">
        <v>17.5</v>
      </c>
      <c r="S208" t="s">
        <v>11</v>
      </c>
      <c r="T208" t="s">
        <v>3061</v>
      </c>
      <c r="U208" s="2" t="s">
        <v>163</v>
      </c>
      <c r="V208">
        <v>43764.879756944443</v>
      </c>
      <c r="W208" s="2" t="s">
        <v>444</v>
      </c>
      <c r="X208">
        <v>43766.428101851852</v>
      </c>
      <c r="AB208" t="s">
        <v>9</v>
      </c>
      <c r="AC208" t="s">
        <v>257</v>
      </c>
      <c r="AD208" t="s">
        <v>819</v>
      </c>
      <c r="AE208" t="s">
        <v>3062</v>
      </c>
      <c r="AF208" t="s">
        <v>3062</v>
      </c>
      <c r="AG208" t="s">
        <v>183</v>
      </c>
      <c r="AH208" t="s">
        <v>2955</v>
      </c>
      <c r="AI208" t="s">
        <v>2955</v>
      </c>
      <c r="AJ208" t="s">
        <v>259</v>
      </c>
      <c r="AK208" t="s">
        <v>260</v>
      </c>
      <c r="AL208" t="s">
        <v>2956</v>
      </c>
      <c r="AM208" t="s">
        <v>2957</v>
      </c>
      <c r="AO208" t="s">
        <v>2958</v>
      </c>
      <c r="AP208" t="s">
        <v>265</v>
      </c>
      <c r="AQ208" t="s">
        <v>266</v>
      </c>
      <c r="AR208" t="s">
        <v>3063</v>
      </c>
      <c r="AS208" t="s">
        <v>3064</v>
      </c>
      <c r="AT208" t="s">
        <v>2959</v>
      </c>
      <c r="AU208" t="s">
        <v>10</v>
      </c>
      <c r="AV208" t="s">
        <v>2960</v>
      </c>
      <c r="AW208" t="s">
        <v>2960</v>
      </c>
      <c r="AX208" t="s">
        <v>2961</v>
      </c>
      <c r="AY208" s="2" t="s">
        <v>2962</v>
      </c>
      <c r="AZ208" t="s">
        <v>2963</v>
      </c>
      <c r="BA208" t="s">
        <v>831</v>
      </c>
      <c r="BB208" t="s">
        <v>832</v>
      </c>
      <c r="BC208" t="s">
        <v>188</v>
      </c>
      <c r="BD208">
        <v>519000</v>
      </c>
      <c r="BE208" t="s">
        <v>3065</v>
      </c>
      <c r="BF208" t="s">
        <v>2964</v>
      </c>
      <c r="BG208" t="b">
        <v>0</v>
      </c>
      <c r="BH208" s="6" t="s">
        <v>2965</v>
      </c>
      <c r="BI208" t="s">
        <v>2966</v>
      </c>
      <c r="BJ208">
        <v>4453163191</v>
      </c>
      <c r="BK208" t="s">
        <v>162</v>
      </c>
      <c r="BL208" t="s">
        <v>161</v>
      </c>
      <c r="BM208" s="2"/>
      <c r="BO208" t="s">
        <v>89</v>
      </c>
      <c r="BP208">
        <v>3919909090</v>
      </c>
      <c r="BR208" t="s">
        <v>180</v>
      </c>
      <c r="BS208" t="s">
        <v>103</v>
      </c>
      <c r="BU208">
        <v>56.88</v>
      </c>
      <c r="BV208">
        <v>121.14</v>
      </c>
      <c r="BW208">
        <v>0</v>
      </c>
      <c r="BX208">
        <v>0</v>
      </c>
      <c r="BY208">
        <v>0</v>
      </c>
      <c r="BZ208">
        <v>0</v>
      </c>
      <c r="CA208">
        <v>178.02</v>
      </c>
      <c r="CF208" s="2"/>
      <c r="CH208" s="2"/>
      <c r="CJ208" t="s">
        <v>1023</v>
      </c>
      <c r="CK208" t="s">
        <v>2710</v>
      </c>
      <c r="CL208">
        <v>43764.376400462963</v>
      </c>
      <c r="CO208" t="s">
        <v>11</v>
      </c>
      <c r="CP208">
        <v>875</v>
      </c>
      <c r="CQ208" t="s">
        <v>11</v>
      </c>
      <c r="CR208">
        <v>875</v>
      </c>
      <c r="CV208" t="s">
        <v>190</v>
      </c>
      <c r="CW208" t="s">
        <v>12</v>
      </c>
      <c r="CX208" t="s">
        <v>12</v>
      </c>
      <c r="CY208" t="s">
        <v>12</v>
      </c>
      <c r="DA208" t="s">
        <v>104</v>
      </c>
      <c r="DD208" t="s">
        <v>93</v>
      </c>
      <c r="DQ208" t="s">
        <v>94</v>
      </c>
      <c r="DR208" t="s">
        <v>94</v>
      </c>
      <c r="DS208" t="s">
        <v>94</v>
      </c>
      <c r="DT208" t="s">
        <v>94</v>
      </c>
      <c r="DU208" t="s">
        <v>94</v>
      </c>
      <c r="DV208" t="s">
        <v>94</v>
      </c>
      <c r="DW208" t="s">
        <v>94</v>
      </c>
      <c r="DX208" s="2" t="s">
        <v>94</v>
      </c>
      <c r="DY208" t="s">
        <v>94</v>
      </c>
      <c r="DZ208" t="s">
        <v>94</v>
      </c>
      <c r="EA208" t="s">
        <v>94</v>
      </c>
      <c r="EB208" t="s">
        <v>94</v>
      </c>
      <c r="EC208" t="s">
        <v>94</v>
      </c>
      <c r="ED208" t="s">
        <v>94</v>
      </c>
      <c r="EE208" t="s">
        <v>89</v>
      </c>
      <c r="EF208" t="s">
        <v>425</v>
      </c>
      <c r="EG208" t="s">
        <v>105</v>
      </c>
      <c r="EJ208" t="s">
        <v>166</v>
      </c>
      <c r="EK208" t="b">
        <v>0</v>
      </c>
      <c r="EL208" t="b">
        <v>0</v>
      </c>
      <c r="EM208" t="b">
        <v>0</v>
      </c>
    </row>
    <row r="209" spans="3:146">
      <c r="C209" s="4">
        <v>3</v>
      </c>
      <c r="D209" s="4"/>
      <c r="E209" s="4">
        <v>1</v>
      </c>
      <c r="F209" s="4">
        <v>0.94</v>
      </c>
      <c r="G209" s="5" t="s">
        <v>3059</v>
      </c>
      <c r="H209" s="4" t="s">
        <v>3066</v>
      </c>
      <c r="I209" s="4" t="s">
        <v>920</v>
      </c>
      <c r="J209" s="5"/>
      <c r="K209" s="22" t="s">
        <v>2967</v>
      </c>
      <c r="L209" s="84" t="s">
        <v>2634</v>
      </c>
      <c r="M209" s="23" t="s">
        <v>920</v>
      </c>
      <c r="N209" s="23">
        <v>43764</v>
      </c>
      <c r="O209" s="24" t="s">
        <v>102</v>
      </c>
      <c r="P209" s="24" t="s">
        <v>480</v>
      </c>
      <c r="Q209" s="24">
        <v>1</v>
      </c>
      <c r="R209" s="24">
        <v>0.94</v>
      </c>
      <c r="S209" t="s">
        <v>990</v>
      </c>
      <c r="T209" t="s">
        <v>3067</v>
      </c>
      <c r="U209" s="2"/>
      <c r="W209" s="2"/>
      <c r="AB209" t="s">
        <v>9</v>
      </c>
      <c r="AC209" t="s">
        <v>2968</v>
      </c>
      <c r="AD209" t="s">
        <v>756</v>
      </c>
      <c r="AE209" t="s">
        <v>3068</v>
      </c>
      <c r="AF209" t="s">
        <v>3068</v>
      </c>
      <c r="AG209" t="s">
        <v>183</v>
      </c>
      <c r="AH209" t="s">
        <v>2969</v>
      </c>
      <c r="AI209" t="s">
        <v>2969</v>
      </c>
      <c r="AJ209" t="s">
        <v>369</v>
      </c>
      <c r="AK209" t="s">
        <v>370</v>
      </c>
      <c r="AL209" t="s">
        <v>2970</v>
      </c>
      <c r="AM209" t="s">
        <v>2971</v>
      </c>
      <c r="AO209" t="s">
        <v>2972</v>
      </c>
      <c r="AP209" t="s">
        <v>2973</v>
      </c>
      <c r="AQ209" t="s">
        <v>416</v>
      </c>
      <c r="AR209" t="s">
        <v>3069</v>
      </c>
      <c r="AS209" t="s">
        <v>3070</v>
      </c>
      <c r="AT209" t="s">
        <v>2974</v>
      </c>
      <c r="AU209" t="s">
        <v>10</v>
      </c>
      <c r="AV209" t="s">
        <v>2975</v>
      </c>
      <c r="AW209" t="s">
        <v>2975</v>
      </c>
      <c r="AX209" t="s">
        <v>2976</v>
      </c>
      <c r="AY209" t="s">
        <v>2977</v>
      </c>
      <c r="BA209" t="s">
        <v>2978</v>
      </c>
      <c r="BB209" t="s">
        <v>766</v>
      </c>
      <c r="BC209" t="s">
        <v>765</v>
      </c>
      <c r="BD209">
        <v>400700</v>
      </c>
      <c r="BE209" t="s">
        <v>3071</v>
      </c>
      <c r="BG209" t="b">
        <v>0</v>
      </c>
      <c r="BH209" s="6" t="s">
        <v>2979</v>
      </c>
      <c r="BI209" t="s">
        <v>2980</v>
      </c>
      <c r="BJ209">
        <v>4453163191</v>
      </c>
      <c r="BK209" t="s">
        <v>162</v>
      </c>
      <c r="BL209" t="s">
        <v>161</v>
      </c>
      <c r="BM209" s="2"/>
      <c r="BR209" t="s">
        <v>180</v>
      </c>
      <c r="BS209" t="s">
        <v>103</v>
      </c>
      <c r="BU209">
        <v>0</v>
      </c>
      <c r="BV209">
        <v>0</v>
      </c>
      <c r="BW209">
        <v>0</v>
      </c>
      <c r="BX209">
        <v>0</v>
      </c>
      <c r="BY209">
        <v>0</v>
      </c>
      <c r="BZ209">
        <v>0</v>
      </c>
      <c r="CA209">
        <v>0</v>
      </c>
      <c r="CF209" s="2"/>
      <c r="CH209" s="2"/>
      <c r="CK209" t="s">
        <v>2648</v>
      </c>
      <c r="CL209">
        <v>43764.584710648145</v>
      </c>
      <c r="CO209" t="s">
        <v>11</v>
      </c>
      <c r="CP209">
        <v>143.28</v>
      </c>
      <c r="CQ209" t="s">
        <v>11</v>
      </c>
      <c r="CR209">
        <v>143.28</v>
      </c>
      <c r="CV209" t="s">
        <v>190</v>
      </c>
      <c r="CW209" t="s">
        <v>12</v>
      </c>
      <c r="CX209" t="s">
        <v>12</v>
      </c>
      <c r="CY209" t="s">
        <v>12</v>
      </c>
      <c r="DA209" t="s">
        <v>104</v>
      </c>
      <c r="DD209" t="s">
        <v>93</v>
      </c>
      <c r="DQ209" t="s">
        <v>94</v>
      </c>
      <c r="DR209" t="s">
        <v>94</v>
      </c>
      <c r="DS209" t="s">
        <v>94</v>
      </c>
      <c r="DT209" t="s">
        <v>94</v>
      </c>
      <c r="DU209" t="s">
        <v>94</v>
      </c>
      <c r="DV209" t="s">
        <v>94</v>
      </c>
      <c r="DW209" t="s">
        <v>94</v>
      </c>
      <c r="DX209" s="2" t="s">
        <v>94</v>
      </c>
      <c r="DY209" t="s">
        <v>94</v>
      </c>
      <c r="DZ209" t="s">
        <v>94</v>
      </c>
      <c r="EA209" t="s">
        <v>94</v>
      </c>
      <c r="EB209" t="s">
        <v>94</v>
      </c>
      <c r="EC209" t="s">
        <v>94</v>
      </c>
      <c r="ED209" t="s">
        <v>94</v>
      </c>
      <c r="EE209" t="s">
        <v>89</v>
      </c>
      <c r="EF209" t="s">
        <v>94</v>
      </c>
      <c r="EG209" t="s">
        <v>105</v>
      </c>
      <c r="EJ209" t="s">
        <v>166</v>
      </c>
      <c r="EK209" t="b">
        <v>0</v>
      </c>
      <c r="EL209" t="b">
        <v>0</v>
      </c>
      <c r="EM209" t="b">
        <v>0</v>
      </c>
    </row>
    <row r="210" spans="3:146" ht="15">
      <c r="C210" s="82">
        <v>12</v>
      </c>
      <c r="D210" s="5"/>
      <c r="E210" s="4">
        <v>1</v>
      </c>
      <c r="F210" s="5">
        <v>0.24</v>
      </c>
      <c r="G210" s="5" t="s">
        <v>3072</v>
      </c>
      <c r="H210" s="4" t="s">
        <v>3073</v>
      </c>
      <c r="I210" s="81" t="s">
        <v>817</v>
      </c>
      <c r="J210" s="21"/>
      <c r="K210" s="22" t="s">
        <v>3057</v>
      </c>
      <c r="L210" s="84" t="s">
        <v>2736</v>
      </c>
      <c r="M210" s="23" t="s">
        <v>817</v>
      </c>
      <c r="N210" s="23">
        <v>43765</v>
      </c>
      <c r="O210" s="24" t="s">
        <v>102</v>
      </c>
      <c r="P210" s="24" t="s">
        <v>179</v>
      </c>
      <c r="Q210" s="24">
        <v>1</v>
      </c>
      <c r="R210" s="24">
        <v>0.24</v>
      </c>
      <c r="S210" t="s">
        <v>11</v>
      </c>
      <c r="T210" t="s">
        <v>3074</v>
      </c>
      <c r="U210" s="2" t="s">
        <v>163</v>
      </c>
      <c r="V210">
        <v>43765.859074074076</v>
      </c>
      <c r="W210" s="2" t="s">
        <v>444</v>
      </c>
      <c r="X210">
        <v>43767.471712962964</v>
      </c>
      <c r="AB210" t="s">
        <v>9</v>
      </c>
      <c r="AC210" t="s">
        <v>2981</v>
      </c>
      <c r="AD210" t="s">
        <v>182</v>
      </c>
      <c r="AE210" t="s">
        <v>3075</v>
      </c>
      <c r="AF210" t="s">
        <v>3075</v>
      </c>
      <c r="AG210" t="s">
        <v>183</v>
      </c>
      <c r="AH210" t="s">
        <v>2982</v>
      </c>
      <c r="AI210" t="s">
        <v>2982</v>
      </c>
      <c r="AJ210" t="s">
        <v>2983</v>
      </c>
      <c r="AK210" t="s">
        <v>2984</v>
      </c>
      <c r="AL210" t="s">
        <v>2985</v>
      </c>
      <c r="AO210" t="s">
        <v>2986</v>
      </c>
      <c r="AP210" t="s">
        <v>2987</v>
      </c>
      <c r="AR210" t="s">
        <v>3076</v>
      </c>
      <c r="AS210" t="s">
        <v>3077</v>
      </c>
      <c r="AT210" t="s">
        <v>2988</v>
      </c>
      <c r="AU210" t="s">
        <v>10</v>
      </c>
      <c r="AV210" t="s">
        <v>2989</v>
      </c>
      <c r="AW210" t="s">
        <v>2989</v>
      </c>
      <c r="AX210" t="s">
        <v>2990</v>
      </c>
      <c r="AY210" s="2" t="s">
        <v>2991</v>
      </c>
      <c r="AZ210" t="s">
        <v>2992</v>
      </c>
      <c r="BA210" t="s">
        <v>2046</v>
      </c>
      <c r="BB210" t="s">
        <v>187</v>
      </c>
      <c r="BC210" t="s">
        <v>188</v>
      </c>
      <c r="BD210">
        <v>518104</v>
      </c>
      <c r="BE210" t="s">
        <v>3078</v>
      </c>
      <c r="BF210" t="s">
        <v>2993</v>
      </c>
      <c r="BG210" t="b">
        <v>0</v>
      </c>
      <c r="BH210" s="6" t="s">
        <v>2994</v>
      </c>
      <c r="BI210" t="s">
        <v>2995</v>
      </c>
      <c r="BJ210">
        <v>4453163191</v>
      </c>
      <c r="BK210" t="s">
        <v>162</v>
      </c>
      <c r="BL210" t="s">
        <v>161</v>
      </c>
      <c r="BM210" s="2"/>
      <c r="BO210" t="s">
        <v>89</v>
      </c>
      <c r="BP210">
        <v>3926909090</v>
      </c>
      <c r="BR210" t="s">
        <v>180</v>
      </c>
      <c r="BS210" t="s">
        <v>103</v>
      </c>
      <c r="BU210">
        <v>0</v>
      </c>
      <c r="BV210">
        <v>0</v>
      </c>
      <c r="BW210">
        <v>0</v>
      </c>
      <c r="BX210">
        <v>0</v>
      </c>
      <c r="BY210">
        <v>0</v>
      </c>
      <c r="BZ210">
        <v>0</v>
      </c>
      <c r="CA210">
        <v>0</v>
      </c>
      <c r="CF210" s="2"/>
      <c r="CH210" s="2"/>
      <c r="CJ210" t="s">
        <v>1023</v>
      </c>
      <c r="CK210" t="s">
        <v>1509</v>
      </c>
      <c r="CL210">
        <v>43765.37667824074</v>
      </c>
      <c r="CO210" t="s">
        <v>11</v>
      </c>
      <c r="CP210">
        <v>200</v>
      </c>
      <c r="CQ210" t="s">
        <v>11</v>
      </c>
      <c r="CR210">
        <v>200</v>
      </c>
      <c r="CV210" t="s">
        <v>190</v>
      </c>
      <c r="CW210" t="s">
        <v>12</v>
      </c>
      <c r="CX210" t="s">
        <v>12</v>
      </c>
      <c r="CY210" t="s">
        <v>12</v>
      </c>
      <c r="DA210" t="s">
        <v>104</v>
      </c>
      <c r="DD210" t="s">
        <v>93</v>
      </c>
      <c r="DQ210" t="s">
        <v>94</v>
      </c>
      <c r="DR210" t="s">
        <v>94</v>
      </c>
      <c r="DS210" t="s">
        <v>94</v>
      </c>
      <c r="DT210" t="s">
        <v>94</v>
      </c>
      <c r="DU210" t="s">
        <v>94</v>
      </c>
      <c r="DV210" t="s">
        <v>94</v>
      </c>
      <c r="DW210" t="s">
        <v>94</v>
      </c>
      <c r="DX210" s="2" t="s">
        <v>94</v>
      </c>
      <c r="DY210" t="s">
        <v>94</v>
      </c>
      <c r="DZ210" t="s">
        <v>94</v>
      </c>
      <c r="EA210" t="s">
        <v>94</v>
      </c>
      <c r="EB210" t="s">
        <v>94</v>
      </c>
      <c r="EC210" t="s">
        <v>94</v>
      </c>
      <c r="ED210" t="s">
        <v>94</v>
      </c>
      <c r="EE210" t="s">
        <v>89</v>
      </c>
      <c r="EF210" t="s">
        <v>425</v>
      </c>
      <c r="EG210" t="s">
        <v>105</v>
      </c>
      <c r="EJ210" t="s">
        <v>166</v>
      </c>
      <c r="EK210" t="b">
        <v>0</v>
      </c>
      <c r="EL210" t="b">
        <v>0</v>
      </c>
      <c r="EM210" t="b">
        <v>0</v>
      </c>
    </row>
    <row r="211" spans="3:146">
      <c r="C211" s="4">
        <v>12</v>
      </c>
      <c r="D211" s="4"/>
      <c r="E211" s="4">
        <v>1</v>
      </c>
      <c r="F211" s="4">
        <v>6.15</v>
      </c>
      <c r="G211" s="5" t="s">
        <v>3072</v>
      </c>
      <c r="H211" s="4" t="s">
        <v>3079</v>
      </c>
      <c r="I211" s="4" t="s">
        <v>817</v>
      </c>
      <c r="J211" s="5"/>
      <c r="K211" s="22" t="s">
        <v>2996</v>
      </c>
      <c r="L211" s="84" t="s">
        <v>2736</v>
      </c>
      <c r="M211" s="23" t="s">
        <v>817</v>
      </c>
      <c r="N211" s="23">
        <v>43765</v>
      </c>
      <c r="O211" s="24" t="s">
        <v>102</v>
      </c>
      <c r="P211" s="24" t="s">
        <v>179</v>
      </c>
      <c r="Q211" s="24">
        <v>1</v>
      </c>
      <c r="R211" s="24">
        <v>6.15</v>
      </c>
      <c r="S211" t="s">
        <v>528</v>
      </c>
      <c r="T211" t="s">
        <v>1657</v>
      </c>
      <c r="U211" s="2" t="s">
        <v>163</v>
      </c>
      <c r="V211">
        <v>43765.859351851854</v>
      </c>
      <c r="W211" s="2" t="s">
        <v>444</v>
      </c>
      <c r="X211">
        <v>43767.471712962964</v>
      </c>
      <c r="AB211" t="s">
        <v>9</v>
      </c>
      <c r="AC211" t="s">
        <v>2997</v>
      </c>
      <c r="AD211" t="s">
        <v>275</v>
      </c>
      <c r="AE211" t="s">
        <v>3080</v>
      </c>
      <c r="AF211" t="s">
        <v>3080</v>
      </c>
      <c r="AG211" t="s">
        <v>183</v>
      </c>
      <c r="AH211" t="s">
        <v>2998</v>
      </c>
      <c r="AI211" t="s">
        <v>2999</v>
      </c>
      <c r="AJ211" t="s">
        <v>3000</v>
      </c>
      <c r="AK211" t="s">
        <v>3001</v>
      </c>
      <c r="AL211" t="s">
        <v>3002</v>
      </c>
      <c r="AM211" t="s">
        <v>3003</v>
      </c>
      <c r="AO211" t="s">
        <v>3004</v>
      </c>
      <c r="AP211" t="s">
        <v>3005</v>
      </c>
      <c r="AQ211" t="s">
        <v>3006</v>
      </c>
      <c r="AR211" t="s">
        <v>3007</v>
      </c>
      <c r="AS211" t="s">
        <v>3081</v>
      </c>
      <c r="AT211" t="s">
        <v>3008</v>
      </c>
      <c r="AU211" t="s">
        <v>10</v>
      </c>
      <c r="AV211" t="s">
        <v>3009</v>
      </c>
      <c r="AW211" t="s">
        <v>3009</v>
      </c>
      <c r="AX211" t="s">
        <v>3010</v>
      </c>
      <c r="AY211" t="s">
        <v>3011</v>
      </c>
      <c r="AZ211" t="s">
        <v>3012</v>
      </c>
      <c r="BA211" t="s">
        <v>285</v>
      </c>
      <c r="BB211" t="s">
        <v>286</v>
      </c>
      <c r="BC211" t="s">
        <v>287</v>
      </c>
      <c r="BD211">
        <v>610091</v>
      </c>
      <c r="BE211" t="s">
        <v>3082</v>
      </c>
      <c r="BF211" t="s">
        <v>3013</v>
      </c>
      <c r="BG211" t="b">
        <v>0</v>
      </c>
      <c r="BH211" s="6" t="s">
        <v>3014</v>
      </c>
      <c r="BI211" t="s">
        <v>3015</v>
      </c>
      <c r="BJ211">
        <v>4453163191</v>
      </c>
      <c r="BK211" t="s">
        <v>162</v>
      </c>
      <c r="BL211" t="s">
        <v>161</v>
      </c>
      <c r="BM211" s="2"/>
      <c r="BO211" t="s">
        <v>89</v>
      </c>
      <c r="BP211">
        <v>9403900099</v>
      </c>
      <c r="BR211" t="s">
        <v>180</v>
      </c>
      <c r="BS211" t="s">
        <v>103</v>
      </c>
      <c r="BU211">
        <v>0</v>
      </c>
      <c r="BV211">
        <v>0</v>
      </c>
      <c r="BW211">
        <v>0</v>
      </c>
      <c r="BX211">
        <v>0</v>
      </c>
      <c r="BY211">
        <v>0</v>
      </c>
      <c r="BZ211">
        <v>0</v>
      </c>
      <c r="CA211">
        <v>0</v>
      </c>
      <c r="CF211" s="2"/>
      <c r="CH211" s="2"/>
      <c r="CJ211" t="s">
        <v>1023</v>
      </c>
      <c r="CK211" t="s">
        <v>1509</v>
      </c>
      <c r="CL211">
        <v>43765.376875000002</v>
      </c>
      <c r="CO211" t="s">
        <v>11</v>
      </c>
      <c r="CP211">
        <v>218.55</v>
      </c>
      <c r="CQ211" t="s">
        <v>11</v>
      </c>
      <c r="CR211">
        <v>218.55</v>
      </c>
      <c r="CV211" t="s">
        <v>190</v>
      </c>
      <c r="CW211" t="s">
        <v>12</v>
      </c>
      <c r="CX211" t="s">
        <v>12</v>
      </c>
      <c r="CY211" t="s">
        <v>12</v>
      </c>
      <c r="DA211" t="s">
        <v>104</v>
      </c>
      <c r="DD211" t="s">
        <v>93</v>
      </c>
      <c r="DQ211" t="s">
        <v>94</v>
      </c>
      <c r="DR211" t="s">
        <v>94</v>
      </c>
      <c r="DS211" t="s">
        <v>94</v>
      </c>
      <c r="DT211" t="s">
        <v>94</v>
      </c>
      <c r="DU211" t="s">
        <v>94</v>
      </c>
      <c r="DV211" t="s">
        <v>94</v>
      </c>
      <c r="DW211" t="s">
        <v>94</v>
      </c>
      <c r="DX211" s="2" t="s">
        <v>94</v>
      </c>
      <c r="DY211" t="s">
        <v>94</v>
      </c>
      <c r="DZ211" t="s">
        <v>94</v>
      </c>
      <c r="EA211" t="s">
        <v>94</v>
      </c>
      <c r="EB211" t="s">
        <v>94</v>
      </c>
      <c r="EC211" t="s">
        <v>94</v>
      </c>
      <c r="ED211" t="s">
        <v>94</v>
      </c>
      <c r="EE211" t="s">
        <v>89</v>
      </c>
      <c r="EF211" t="s">
        <v>425</v>
      </c>
      <c r="EG211" t="s">
        <v>105</v>
      </c>
      <c r="EJ211" t="s">
        <v>166</v>
      </c>
      <c r="EK211" t="b">
        <v>0</v>
      </c>
      <c r="EL211" t="b">
        <v>0</v>
      </c>
      <c r="EM211" t="b">
        <v>0</v>
      </c>
      <c r="EO211" t="s">
        <v>177</v>
      </c>
      <c r="EP211" t="s">
        <v>3083</v>
      </c>
    </row>
    <row r="212" spans="3:146">
      <c r="C212" s="4">
        <v>12</v>
      </c>
      <c r="D212" s="5"/>
      <c r="E212" s="5">
        <v>2</v>
      </c>
      <c r="F212" s="4">
        <v>18</v>
      </c>
      <c r="G212" s="5" t="s">
        <v>3072</v>
      </c>
      <c r="H212" s="4" t="s">
        <v>1405</v>
      </c>
      <c r="I212" s="4" t="s">
        <v>817</v>
      </c>
      <c r="J212" s="4"/>
      <c r="K212" s="22" t="s">
        <v>3058</v>
      </c>
      <c r="L212" s="84" t="s">
        <v>2736</v>
      </c>
      <c r="M212" s="23" t="s">
        <v>817</v>
      </c>
      <c r="N212" s="23">
        <v>43765</v>
      </c>
      <c r="O212" s="24" t="s">
        <v>102</v>
      </c>
      <c r="P212" s="24" t="s">
        <v>181</v>
      </c>
      <c r="Q212" s="24">
        <v>2</v>
      </c>
      <c r="R212" s="24">
        <v>18</v>
      </c>
      <c r="S212" t="s">
        <v>319</v>
      </c>
      <c r="T212" t="s">
        <v>3084</v>
      </c>
      <c r="U212" s="2" t="s">
        <v>163</v>
      </c>
      <c r="V212">
        <v>43765.859224537038</v>
      </c>
      <c r="W212" s="2" t="s">
        <v>444</v>
      </c>
      <c r="X212">
        <v>43767.471712962964</v>
      </c>
      <c r="AB212" t="s">
        <v>9</v>
      </c>
      <c r="AC212" t="s">
        <v>963</v>
      </c>
      <c r="AD212" t="s">
        <v>182</v>
      </c>
      <c r="AE212" t="s">
        <v>183</v>
      </c>
      <c r="AF212" t="s">
        <v>183</v>
      </c>
      <c r="AG212" t="s">
        <v>810</v>
      </c>
      <c r="AH212" t="s">
        <v>3016</v>
      </c>
      <c r="AI212" t="s">
        <v>3016</v>
      </c>
      <c r="AJ212" t="s">
        <v>776</v>
      </c>
      <c r="AK212" t="s">
        <v>777</v>
      </c>
      <c r="AL212" t="s">
        <v>3017</v>
      </c>
      <c r="AO212" t="s">
        <v>3018</v>
      </c>
      <c r="AP212" t="s">
        <v>967</v>
      </c>
      <c r="AQ212" t="s">
        <v>782</v>
      </c>
      <c r="AR212" t="s">
        <v>3085</v>
      </c>
      <c r="AS212" t="s">
        <v>3086</v>
      </c>
      <c r="AT212" t="s">
        <v>3019</v>
      </c>
      <c r="AU212" t="s">
        <v>10</v>
      </c>
      <c r="AV212" t="s">
        <v>784</v>
      </c>
      <c r="AW212" t="s">
        <v>784</v>
      </c>
      <c r="AX212" t="s">
        <v>785</v>
      </c>
      <c r="AY212" t="s">
        <v>786</v>
      </c>
      <c r="BA212" t="s">
        <v>186</v>
      </c>
      <c r="BB212" t="s">
        <v>187</v>
      </c>
      <c r="BC212" t="s">
        <v>188</v>
      </c>
      <c r="BD212">
        <v>518102</v>
      </c>
      <c r="BE212" t="s">
        <v>787</v>
      </c>
      <c r="BF212" t="s">
        <v>788</v>
      </c>
      <c r="BG212" t="b">
        <v>0</v>
      </c>
      <c r="BH212" s="6" t="s">
        <v>2153</v>
      </c>
      <c r="BI212" t="s">
        <v>3020</v>
      </c>
      <c r="BJ212">
        <v>4453163191</v>
      </c>
      <c r="BK212" t="s">
        <v>162</v>
      </c>
      <c r="BL212" t="s">
        <v>161</v>
      </c>
      <c r="BM212" s="2"/>
      <c r="BN212" t="s">
        <v>791</v>
      </c>
      <c r="BO212" t="s">
        <v>89</v>
      </c>
      <c r="BP212">
        <v>85312000</v>
      </c>
      <c r="BR212" t="s">
        <v>189</v>
      </c>
      <c r="BS212" t="s">
        <v>103</v>
      </c>
      <c r="BU212">
        <v>0</v>
      </c>
      <c r="BV212">
        <v>147.11000000000001</v>
      </c>
      <c r="BW212">
        <v>0</v>
      </c>
      <c r="BX212">
        <v>0</v>
      </c>
      <c r="BY212">
        <v>0</v>
      </c>
      <c r="BZ212">
        <v>0</v>
      </c>
      <c r="CA212">
        <v>147.11000000000001</v>
      </c>
      <c r="CF212" s="2"/>
      <c r="CH212" s="2"/>
      <c r="CJ212" t="s">
        <v>1023</v>
      </c>
      <c r="CK212" t="s">
        <v>1509</v>
      </c>
      <c r="CL212">
        <v>43765.376967592594</v>
      </c>
      <c r="CO212" t="s">
        <v>11</v>
      </c>
      <c r="CP212">
        <v>1131.94</v>
      </c>
      <c r="CQ212" t="s">
        <v>11</v>
      </c>
      <c r="CR212">
        <v>1131.94</v>
      </c>
      <c r="CV212" t="s">
        <v>525</v>
      </c>
      <c r="CW212" t="s">
        <v>12</v>
      </c>
      <c r="CX212" t="s">
        <v>12</v>
      </c>
      <c r="CY212" t="s">
        <v>12</v>
      </c>
      <c r="DA212" t="s">
        <v>104</v>
      </c>
      <c r="DD212" t="s">
        <v>93</v>
      </c>
      <c r="DQ212" t="s">
        <v>94</v>
      </c>
      <c r="DR212" t="s">
        <v>94</v>
      </c>
      <c r="DS212" t="s">
        <v>94</v>
      </c>
      <c r="DT212" t="s">
        <v>94</v>
      </c>
      <c r="DU212" t="s">
        <v>94</v>
      </c>
      <c r="DV212" t="s">
        <v>94</v>
      </c>
      <c r="DW212" t="s">
        <v>94</v>
      </c>
      <c r="DX212" s="2" t="s">
        <v>94</v>
      </c>
      <c r="DY212" t="s">
        <v>94</v>
      </c>
      <c r="DZ212" t="s">
        <v>94</v>
      </c>
      <c r="EA212" t="s">
        <v>94</v>
      </c>
      <c r="EB212" t="s">
        <v>94</v>
      </c>
      <c r="EC212" t="s">
        <v>94</v>
      </c>
      <c r="ED212" t="s">
        <v>94</v>
      </c>
      <c r="EE212" t="s">
        <v>89</v>
      </c>
      <c r="EF212" t="s">
        <v>425</v>
      </c>
      <c r="EG212" t="s">
        <v>105</v>
      </c>
      <c r="EJ212" t="s">
        <v>166</v>
      </c>
      <c r="EK212" t="b">
        <v>0</v>
      </c>
      <c r="EL212" t="b">
        <v>0</v>
      </c>
      <c r="EM212" t="b">
        <v>0</v>
      </c>
      <c r="EO212" t="s">
        <v>177</v>
      </c>
      <c r="EP212" t="s">
        <v>3083</v>
      </c>
    </row>
    <row r="213" spans="3:146">
      <c r="C213" s="4">
        <v>12</v>
      </c>
      <c r="D213" s="5"/>
      <c r="E213" s="4">
        <v>1</v>
      </c>
      <c r="F213" s="4">
        <v>0.2</v>
      </c>
      <c r="G213" s="5" t="s">
        <v>3072</v>
      </c>
      <c r="H213" s="4" t="s">
        <v>3087</v>
      </c>
      <c r="I213" s="4" t="s">
        <v>817</v>
      </c>
      <c r="J213" s="4"/>
      <c r="K213" s="22" t="s">
        <v>3088</v>
      </c>
      <c r="L213" s="84" t="s">
        <v>2736</v>
      </c>
      <c r="M213" s="23" t="s">
        <v>817</v>
      </c>
      <c r="N213" s="23">
        <v>43765</v>
      </c>
      <c r="O213" s="24" t="s">
        <v>102</v>
      </c>
      <c r="P213" s="24" t="s">
        <v>181</v>
      </c>
      <c r="Q213" s="24">
        <v>1</v>
      </c>
      <c r="R213" s="24">
        <v>0.2</v>
      </c>
      <c r="S213" t="s">
        <v>319</v>
      </c>
      <c r="T213" t="s">
        <v>3089</v>
      </c>
      <c r="U213" s="2" t="s">
        <v>163</v>
      </c>
      <c r="V213">
        <v>43765.859386574077</v>
      </c>
      <c r="W213" s="2" t="s">
        <v>444</v>
      </c>
      <c r="X213">
        <v>43767.471712962964</v>
      </c>
      <c r="AB213" t="s">
        <v>9</v>
      </c>
      <c r="AC213" t="s">
        <v>1101</v>
      </c>
      <c r="AD213" t="s">
        <v>209</v>
      </c>
      <c r="AE213" t="s">
        <v>3090</v>
      </c>
      <c r="AF213" t="s">
        <v>3090</v>
      </c>
      <c r="AG213" t="s">
        <v>183</v>
      </c>
      <c r="AH213" t="s">
        <v>3021</v>
      </c>
      <c r="AI213" t="s">
        <v>3021</v>
      </c>
      <c r="AJ213" t="s">
        <v>484</v>
      </c>
      <c r="AK213" t="s">
        <v>485</v>
      </c>
      <c r="AL213" t="s">
        <v>3022</v>
      </c>
      <c r="AO213" t="s">
        <v>3023</v>
      </c>
      <c r="AP213" t="s">
        <v>1105</v>
      </c>
      <c r="AQ213" t="s">
        <v>1106</v>
      </c>
      <c r="AR213" t="s">
        <v>3024</v>
      </c>
      <c r="AS213" t="s">
        <v>3025</v>
      </c>
      <c r="AT213" t="s">
        <v>3026</v>
      </c>
      <c r="AU213" t="s">
        <v>10</v>
      </c>
      <c r="AV213" t="s">
        <v>3027</v>
      </c>
      <c r="AW213" t="s">
        <v>3027</v>
      </c>
      <c r="AX213" t="s">
        <v>3028</v>
      </c>
      <c r="AY213" t="s">
        <v>3029</v>
      </c>
      <c r="BA213" t="s">
        <v>1048</v>
      </c>
      <c r="BB213" t="s">
        <v>1049</v>
      </c>
      <c r="BC213" t="s">
        <v>188</v>
      </c>
      <c r="BD213">
        <v>511340</v>
      </c>
      <c r="BE213" t="s">
        <v>3091</v>
      </c>
      <c r="BF213" t="s">
        <v>3030</v>
      </c>
      <c r="BG213" t="b">
        <v>0</v>
      </c>
      <c r="BH213" s="6"/>
      <c r="BI213" t="s">
        <v>3031</v>
      </c>
      <c r="BJ213">
        <v>4453163191</v>
      </c>
      <c r="BK213" t="s">
        <v>162</v>
      </c>
      <c r="BL213" t="s">
        <v>161</v>
      </c>
      <c r="BM213" s="2"/>
      <c r="BO213" t="s">
        <v>89</v>
      </c>
      <c r="BP213">
        <v>8543709990</v>
      </c>
      <c r="BR213" t="s">
        <v>189</v>
      </c>
      <c r="BS213" t="s">
        <v>103</v>
      </c>
      <c r="BU213">
        <v>0</v>
      </c>
      <c r="BV213">
        <v>185.13</v>
      </c>
      <c r="BW213">
        <v>0</v>
      </c>
      <c r="BX213">
        <v>0</v>
      </c>
      <c r="BY213">
        <v>0</v>
      </c>
      <c r="BZ213">
        <v>0</v>
      </c>
      <c r="CA213">
        <v>185.13</v>
      </c>
      <c r="CF213" s="2"/>
      <c r="CH213" s="2"/>
      <c r="CJ213" t="s">
        <v>1023</v>
      </c>
      <c r="CK213" t="s">
        <v>1509</v>
      </c>
      <c r="CL213">
        <v>43765.552025462966</v>
      </c>
      <c r="CO213" t="s">
        <v>11</v>
      </c>
      <c r="CP213">
        <v>1424.4</v>
      </c>
      <c r="CQ213" t="s">
        <v>11</v>
      </c>
      <c r="CR213">
        <v>1424.4</v>
      </c>
      <c r="CV213" t="s">
        <v>190</v>
      </c>
      <c r="CW213" t="s">
        <v>12</v>
      </c>
      <c r="CX213" t="s">
        <v>12</v>
      </c>
      <c r="CY213" t="s">
        <v>12</v>
      </c>
      <c r="DA213" t="s">
        <v>104</v>
      </c>
      <c r="DD213" t="s">
        <v>93</v>
      </c>
      <c r="DQ213" t="s">
        <v>94</v>
      </c>
      <c r="DR213" t="s">
        <v>94</v>
      </c>
      <c r="DS213" t="s">
        <v>94</v>
      </c>
      <c r="DT213" t="s">
        <v>94</v>
      </c>
      <c r="DU213" t="s">
        <v>94</v>
      </c>
      <c r="DV213" t="s">
        <v>94</v>
      </c>
      <c r="DW213" t="s">
        <v>94</v>
      </c>
      <c r="DX213" s="2" t="s">
        <v>94</v>
      </c>
      <c r="DY213" t="s">
        <v>94</v>
      </c>
      <c r="DZ213" t="s">
        <v>94</v>
      </c>
      <c r="EA213" t="s">
        <v>94</v>
      </c>
      <c r="EB213" t="s">
        <v>94</v>
      </c>
      <c r="EC213" t="s">
        <v>94</v>
      </c>
      <c r="ED213" t="s">
        <v>94</v>
      </c>
      <c r="EE213" t="s">
        <v>89</v>
      </c>
      <c r="EF213" t="s">
        <v>425</v>
      </c>
      <c r="EG213" t="s">
        <v>105</v>
      </c>
      <c r="EJ213" t="s">
        <v>166</v>
      </c>
      <c r="EK213" t="b">
        <v>0</v>
      </c>
      <c r="EL213" t="b">
        <v>0</v>
      </c>
      <c r="EM213" t="b">
        <v>0</v>
      </c>
    </row>
    <row r="214" spans="3:146" ht="15">
      <c r="C214" s="82">
        <v>132</v>
      </c>
      <c r="D214" s="5"/>
      <c r="E214" s="4">
        <v>1</v>
      </c>
      <c r="F214" s="5">
        <v>0.2</v>
      </c>
      <c r="G214" s="5" t="s">
        <v>3092</v>
      </c>
      <c r="H214" s="4" t="s">
        <v>3093</v>
      </c>
      <c r="I214" s="81" t="s">
        <v>164</v>
      </c>
      <c r="J214" s="21"/>
      <c r="K214" s="22" t="s">
        <v>3056</v>
      </c>
      <c r="L214" s="84" t="s">
        <v>2813</v>
      </c>
      <c r="M214" s="23" t="s">
        <v>164</v>
      </c>
      <c r="N214" s="23">
        <v>43766</v>
      </c>
      <c r="O214" s="24" t="s">
        <v>102</v>
      </c>
      <c r="P214" s="24" t="s">
        <v>179</v>
      </c>
      <c r="Q214" s="24">
        <v>1</v>
      </c>
      <c r="R214" s="24">
        <v>0.2</v>
      </c>
      <c r="S214" t="s">
        <v>11</v>
      </c>
      <c r="T214" t="s">
        <v>3094</v>
      </c>
      <c r="U214" s="2" t="s">
        <v>163</v>
      </c>
      <c r="V214">
        <v>43766.869837962964</v>
      </c>
      <c r="W214" s="2" t="s">
        <v>444</v>
      </c>
      <c r="X214">
        <v>43769.454467592594</v>
      </c>
      <c r="AB214" t="s">
        <v>9</v>
      </c>
      <c r="AC214" t="s">
        <v>320</v>
      </c>
      <c r="AD214" t="s">
        <v>209</v>
      </c>
      <c r="AE214">
        <v>107856</v>
      </c>
      <c r="AF214">
        <v>107856</v>
      </c>
      <c r="AG214" t="s">
        <v>183</v>
      </c>
      <c r="AH214" t="s">
        <v>3032</v>
      </c>
      <c r="AI214" t="s">
        <v>3032</v>
      </c>
      <c r="AJ214" t="s">
        <v>322</v>
      </c>
      <c r="AK214" t="s">
        <v>323</v>
      </c>
      <c r="AL214" t="s">
        <v>3033</v>
      </c>
      <c r="AM214" t="s">
        <v>3034</v>
      </c>
      <c r="AO214" t="s">
        <v>3035</v>
      </c>
      <c r="AP214" t="s">
        <v>323</v>
      </c>
      <c r="AR214" t="s">
        <v>3095</v>
      </c>
      <c r="AS214">
        <v>36276993</v>
      </c>
      <c r="AT214" t="s">
        <v>3036</v>
      </c>
      <c r="AU214" t="s">
        <v>10</v>
      </c>
      <c r="AV214" t="s">
        <v>3037</v>
      </c>
      <c r="AW214" t="s">
        <v>3038</v>
      </c>
      <c r="AX214" t="s">
        <v>3039</v>
      </c>
      <c r="AY214" s="2" t="s">
        <v>3040</v>
      </c>
      <c r="BA214" t="s">
        <v>2410</v>
      </c>
      <c r="BB214" t="s">
        <v>1524</v>
      </c>
      <c r="BC214" t="s">
        <v>188</v>
      </c>
      <c r="BD214">
        <v>529040</v>
      </c>
      <c r="BE214">
        <v>-8613750378880</v>
      </c>
      <c r="BF214" t="s">
        <v>3041</v>
      </c>
      <c r="BG214" t="b">
        <v>0</v>
      </c>
      <c r="BH214" s="6" t="s">
        <v>3042</v>
      </c>
      <c r="BI214" t="s">
        <v>3043</v>
      </c>
      <c r="BJ214">
        <v>4453163191</v>
      </c>
      <c r="BK214" t="s">
        <v>162</v>
      </c>
      <c r="BL214" t="s">
        <v>161</v>
      </c>
      <c r="BM214" s="2"/>
      <c r="BO214" t="s">
        <v>89</v>
      </c>
      <c r="BP214">
        <v>73269090</v>
      </c>
      <c r="BR214" t="s">
        <v>180</v>
      </c>
      <c r="BS214" t="s">
        <v>103</v>
      </c>
      <c r="BU214">
        <v>0</v>
      </c>
      <c r="BV214">
        <v>0</v>
      </c>
      <c r="BW214">
        <v>0</v>
      </c>
      <c r="BX214">
        <v>0</v>
      </c>
      <c r="BY214">
        <v>0</v>
      </c>
      <c r="BZ214">
        <v>0</v>
      </c>
      <c r="CA214">
        <v>0</v>
      </c>
      <c r="CF214" s="2"/>
      <c r="CH214" s="2"/>
      <c r="CJ214">
        <v>5.3142019950155302E+17</v>
      </c>
      <c r="CK214" t="s">
        <v>1509</v>
      </c>
      <c r="CL214">
        <v>43766.565324074072</v>
      </c>
      <c r="CO214" t="s">
        <v>11</v>
      </c>
      <c r="CP214">
        <v>304.77</v>
      </c>
      <c r="CQ214" t="s">
        <v>11</v>
      </c>
      <c r="CR214">
        <v>304.77</v>
      </c>
      <c r="CV214" t="s">
        <v>190</v>
      </c>
      <c r="CW214" t="s">
        <v>12</v>
      </c>
      <c r="CX214" t="s">
        <v>12</v>
      </c>
      <c r="CY214" t="s">
        <v>12</v>
      </c>
      <c r="DA214" t="s">
        <v>104</v>
      </c>
      <c r="DD214" t="s">
        <v>93</v>
      </c>
      <c r="DQ214" t="s">
        <v>94</v>
      </c>
      <c r="DR214" t="s">
        <v>94</v>
      </c>
      <c r="DS214" t="s">
        <v>94</v>
      </c>
      <c r="DT214" t="s">
        <v>94</v>
      </c>
      <c r="DU214" t="s">
        <v>94</v>
      </c>
      <c r="DV214" t="s">
        <v>94</v>
      </c>
      <c r="DW214" t="s">
        <v>94</v>
      </c>
      <c r="DX214" s="2" t="s">
        <v>94</v>
      </c>
      <c r="DY214" t="s">
        <v>94</v>
      </c>
      <c r="DZ214" t="s">
        <v>94</v>
      </c>
      <c r="EA214" t="s">
        <v>94</v>
      </c>
      <c r="EB214" t="s">
        <v>94</v>
      </c>
      <c r="EC214" t="s">
        <v>94</v>
      </c>
      <c r="ED214" t="s">
        <v>94</v>
      </c>
      <c r="EE214" t="s">
        <v>89</v>
      </c>
      <c r="EF214" t="s">
        <v>425</v>
      </c>
      <c r="EG214" t="s">
        <v>105</v>
      </c>
      <c r="EJ214" t="s">
        <v>166</v>
      </c>
      <c r="EK214" t="b">
        <v>0</v>
      </c>
      <c r="EL214" t="b">
        <v>0</v>
      </c>
      <c r="EM214" t="b">
        <v>0</v>
      </c>
      <c r="EO214" t="s">
        <v>177</v>
      </c>
      <c r="EP214" t="s">
        <v>3096</v>
      </c>
    </row>
    <row r="215" spans="3:146" ht="15">
      <c r="C215" s="82">
        <v>2</v>
      </c>
      <c r="D215" s="5">
        <v>106</v>
      </c>
      <c r="E215" s="4">
        <v>1</v>
      </c>
      <c r="F215" s="5">
        <v>106</v>
      </c>
      <c r="G215" s="5" t="s">
        <v>3099</v>
      </c>
      <c r="H215" s="4" t="s">
        <v>3100</v>
      </c>
      <c r="I215" s="81" t="s">
        <v>164</v>
      </c>
      <c r="J215" s="21"/>
      <c r="K215" s="22" t="s">
        <v>3097</v>
      </c>
      <c r="L215" s="84" t="s">
        <v>3044</v>
      </c>
      <c r="M215" s="23" t="s">
        <v>164</v>
      </c>
      <c r="N215" s="23">
        <v>43768</v>
      </c>
      <c r="O215" s="24" t="s">
        <v>102</v>
      </c>
      <c r="P215" s="24" t="s">
        <v>480</v>
      </c>
      <c r="Q215" s="24">
        <v>1</v>
      </c>
      <c r="R215" s="24">
        <v>212</v>
      </c>
      <c r="S215" t="s">
        <v>528</v>
      </c>
      <c r="T215" t="s">
        <v>3101</v>
      </c>
      <c r="U215" s="2"/>
      <c r="W215" s="2"/>
      <c r="AB215" t="s">
        <v>9</v>
      </c>
      <c r="AC215" t="s">
        <v>2053</v>
      </c>
      <c r="AD215" t="s">
        <v>819</v>
      </c>
      <c r="AE215" t="s">
        <v>183</v>
      </c>
      <c r="AF215" t="s">
        <v>183</v>
      </c>
      <c r="AG215" t="s">
        <v>2106</v>
      </c>
      <c r="AH215" t="s">
        <v>2054</v>
      </c>
      <c r="AI215" t="s">
        <v>2054</v>
      </c>
      <c r="AJ215" t="s">
        <v>776</v>
      </c>
      <c r="AK215" t="s">
        <v>777</v>
      </c>
      <c r="AL215" t="s">
        <v>3045</v>
      </c>
      <c r="AM215" t="s">
        <v>3046</v>
      </c>
      <c r="AO215" t="s">
        <v>2057</v>
      </c>
      <c r="AP215" t="s">
        <v>2058</v>
      </c>
      <c r="AQ215" t="s">
        <v>782</v>
      </c>
      <c r="AR215" t="s">
        <v>3102</v>
      </c>
      <c r="AS215">
        <v>4902236602220</v>
      </c>
      <c r="AT215" t="s">
        <v>3047</v>
      </c>
      <c r="AU215" t="s">
        <v>10</v>
      </c>
      <c r="AV215" t="s">
        <v>2060</v>
      </c>
      <c r="AW215" t="s">
        <v>2060</v>
      </c>
      <c r="AX215" t="s">
        <v>2061</v>
      </c>
      <c r="AY215" s="2" t="s">
        <v>2062</v>
      </c>
      <c r="AZ215" t="s">
        <v>2063</v>
      </c>
      <c r="BA215" t="s">
        <v>1561</v>
      </c>
      <c r="BB215" t="s">
        <v>832</v>
      </c>
      <c r="BC215" t="s">
        <v>188</v>
      </c>
      <c r="BD215">
        <v>519085</v>
      </c>
      <c r="BE215" t="s">
        <v>2064</v>
      </c>
      <c r="BF215" t="s">
        <v>2065</v>
      </c>
      <c r="BG215" t="b">
        <v>0</v>
      </c>
      <c r="BH215" s="6" t="s">
        <v>3048</v>
      </c>
      <c r="BI215" t="s">
        <v>3049</v>
      </c>
      <c r="BJ215">
        <v>4453163191</v>
      </c>
      <c r="BK215" t="s">
        <v>162</v>
      </c>
      <c r="BL215" t="s">
        <v>161</v>
      </c>
      <c r="BM215" s="2"/>
      <c r="BN215" t="s">
        <v>2068</v>
      </c>
      <c r="BR215" t="s">
        <v>180</v>
      </c>
      <c r="BS215" t="s">
        <v>103</v>
      </c>
      <c r="BU215">
        <v>0</v>
      </c>
      <c r="BV215">
        <v>0</v>
      </c>
      <c r="BW215">
        <v>0</v>
      </c>
      <c r="BX215">
        <v>0</v>
      </c>
      <c r="BY215">
        <v>0</v>
      </c>
      <c r="BZ215">
        <v>0</v>
      </c>
      <c r="CA215">
        <v>0</v>
      </c>
      <c r="CF215" s="2"/>
      <c r="CH215" s="2"/>
      <c r="CK215" t="s">
        <v>2261</v>
      </c>
      <c r="CL215">
        <v>43768.56521990741</v>
      </c>
      <c r="CO215" t="s">
        <v>11</v>
      </c>
      <c r="CP215">
        <v>104433.58</v>
      </c>
      <c r="CQ215" t="s">
        <v>11</v>
      </c>
      <c r="CR215">
        <v>104433.58</v>
      </c>
      <c r="CV215" t="s">
        <v>525</v>
      </c>
      <c r="CW215" t="s">
        <v>12</v>
      </c>
      <c r="CX215" t="s">
        <v>12</v>
      </c>
      <c r="CY215" t="s">
        <v>12</v>
      </c>
      <c r="DA215" t="s">
        <v>104</v>
      </c>
      <c r="DD215" t="s">
        <v>93</v>
      </c>
      <c r="DQ215" t="s">
        <v>94</v>
      </c>
      <c r="DR215" t="s">
        <v>94</v>
      </c>
      <c r="DS215" t="s">
        <v>94</v>
      </c>
      <c r="DT215" t="s">
        <v>94</v>
      </c>
      <c r="DU215" t="s">
        <v>94</v>
      </c>
      <c r="DV215" t="s">
        <v>94</v>
      </c>
      <c r="DW215" t="s">
        <v>94</v>
      </c>
      <c r="DX215" s="2" t="s">
        <v>94</v>
      </c>
      <c r="DY215" t="s">
        <v>94</v>
      </c>
      <c r="DZ215" t="s">
        <v>94</v>
      </c>
      <c r="EA215" t="s">
        <v>94</v>
      </c>
      <c r="EB215" t="s">
        <v>94</v>
      </c>
      <c r="EC215" t="s">
        <v>94</v>
      </c>
      <c r="ED215" t="s">
        <v>94</v>
      </c>
      <c r="EE215" t="s">
        <v>89</v>
      </c>
      <c r="EF215" t="s">
        <v>94</v>
      </c>
      <c r="EG215" t="s">
        <v>105</v>
      </c>
      <c r="EJ215" t="s">
        <v>166</v>
      </c>
      <c r="EK215" t="b">
        <v>0</v>
      </c>
      <c r="EL215" t="b">
        <v>0</v>
      </c>
      <c r="EM215" t="b">
        <v>0</v>
      </c>
      <c r="EO215" t="s">
        <v>178</v>
      </c>
      <c r="EP215" t="s">
        <v>3103</v>
      </c>
    </row>
    <row r="216" spans="3:146">
      <c r="C216" s="4">
        <v>2</v>
      </c>
      <c r="D216" s="4">
        <v>106</v>
      </c>
      <c r="E216" s="4">
        <v>1</v>
      </c>
      <c r="F216" s="4">
        <v>106</v>
      </c>
      <c r="G216" s="5" t="s">
        <v>3099</v>
      </c>
      <c r="H216" s="4" t="s">
        <v>3100</v>
      </c>
      <c r="I216" s="4" t="s">
        <v>164</v>
      </c>
      <c r="J216" s="5"/>
      <c r="K216" s="22" t="s">
        <v>3098</v>
      </c>
      <c r="L216" s="84" t="s">
        <v>3044</v>
      </c>
      <c r="M216" s="23" t="s">
        <v>164</v>
      </c>
      <c r="N216" s="23">
        <v>43768</v>
      </c>
      <c r="O216" s="24" t="s">
        <v>102</v>
      </c>
      <c r="P216" s="24" t="s">
        <v>480</v>
      </c>
      <c r="Q216" s="24">
        <v>1</v>
      </c>
      <c r="R216" s="24">
        <v>212</v>
      </c>
      <c r="S216" t="s">
        <v>528</v>
      </c>
      <c r="T216" t="s">
        <v>3101</v>
      </c>
      <c r="U216" s="2"/>
      <c r="W216" s="2"/>
      <c r="AB216" t="s">
        <v>9</v>
      </c>
      <c r="AC216" t="s">
        <v>2053</v>
      </c>
      <c r="AD216" t="s">
        <v>819</v>
      </c>
      <c r="AE216" t="s">
        <v>183</v>
      </c>
      <c r="AF216" t="s">
        <v>183</v>
      </c>
      <c r="AG216" t="s">
        <v>2106</v>
      </c>
      <c r="AH216" t="s">
        <v>2054</v>
      </c>
      <c r="AI216" t="s">
        <v>2054</v>
      </c>
      <c r="AJ216" t="s">
        <v>776</v>
      </c>
      <c r="AK216" t="s">
        <v>777</v>
      </c>
      <c r="AL216" t="s">
        <v>3045</v>
      </c>
      <c r="AM216" t="s">
        <v>3046</v>
      </c>
      <c r="AO216" t="s">
        <v>2057</v>
      </c>
      <c r="AP216" t="s">
        <v>2058</v>
      </c>
      <c r="AQ216" t="s">
        <v>782</v>
      </c>
      <c r="AR216" t="s">
        <v>3102</v>
      </c>
      <c r="AS216">
        <v>4902236602220</v>
      </c>
      <c r="AT216" t="s">
        <v>3047</v>
      </c>
      <c r="AU216" t="s">
        <v>10</v>
      </c>
      <c r="AV216" t="s">
        <v>2060</v>
      </c>
      <c r="AW216" t="s">
        <v>2060</v>
      </c>
      <c r="AX216" t="s">
        <v>2061</v>
      </c>
      <c r="AY216" t="s">
        <v>2062</v>
      </c>
      <c r="AZ216" t="s">
        <v>2063</v>
      </c>
      <c r="BA216" t="s">
        <v>1561</v>
      </c>
      <c r="BB216" t="s">
        <v>832</v>
      </c>
      <c r="BC216" t="s">
        <v>188</v>
      </c>
      <c r="BD216">
        <v>519085</v>
      </c>
      <c r="BE216" t="s">
        <v>2064</v>
      </c>
      <c r="BF216" t="s">
        <v>2065</v>
      </c>
      <c r="BG216" t="b">
        <v>0</v>
      </c>
      <c r="BH216" s="6" t="s">
        <v>3048</v>
      </c>
      <c r="BI216" t="s">
        <v>3049</v>
      </c>
      <c r="BJ216">
        <v>4453163191</v>
      </c>
      <c r="BK216" t="s">
        <v>162</v>
      </c>
      <c r="BL216" t="s">
        <v>161</v>
      </c>
      <c r="BM216" s="2"/>
      <c r="BN216" t="s">
        <v>2068</v>
      </c>
      <c r="BR216" t="s">
        <v>180</v>
      </c>
      <c r="BS216" t="s">
        <v>103</v>
      </c>
      <c r="BU216">
        <v>0</v>
      </c>
      <c r="BV216">
        <v>0</v>
      </c>
      <c r="BW216">
        <v>0</v>
      </c>
      <c r="BX216">
        <v>0</v>
      </c>
      <c r="BY216">
        <v>0</v>
      </c>
      <c r="BZ216">
        <v>0</v>
      </c>
      <c r="CA216">
        <v>0</v>
      </c>
      <c r="CF216" s="2"/>
      <c r="CH216" s="2"/>
      <c r="CK216" t="s">
        <v>2261</v>
      </c>
      <c r="CL216">
        <v>43768.56521990741</v>
      </c>
      <c r="CO216" t="s">
        <v>11</v>
      </c>
      <c r="CP216">
        <v>104433.58</v>
      </c>
      <c r="CQ216" t="s">
        <v>11</v>
      </c>
      <c r="CR216">
        <v>104433.58</v>
      </c>
      <c r="CV216" t="s">
        <v>525</v>
      </c>
      <c r="CW216" t="s">
        <v>12</v>
      </c>
      <c r="CX216" t="s">
        <v>12</v>
      </c>
      <c r="CY216" t="s">
        <v>12</v>
      </c>
      <c r="DA216" t="s">
        <v>104</v>
      </c>
      <c r="DD216" t="s">
        <v>93</v>
      </c>
      <c r="DQ216" t="s">
        <v>94</v>
      </c>
      <c r="DR216" t="s">
        <v>94</v>
      </c>
      <c r="DS216" t="s">
        <v>94</v>
      </c>
      <c r="DT216" t="s">
        <v>94</v>
      </c>
      <c r="DU216" t="s">
        <v>94</v>
      </c>
      <c r="DV216" t="s">
        <v>94</v>
      </c>
      <c r="DW216" t="s">
        <v>94</v>
      </c>
      <c r="DX216" s="2" t="s">
        <v>94</v>
      </c>
      <c r="DY216" t="s">
        <v>94</v>
      </c>
      <c r="DZ216" t="s">
        <v>94</v>
      </c>
      <c r="EA216" t="s">
        <v>94</v>
      </c>
      <c r="EB216" t="s">
        <v>94</v>
      </c>
      <c r="EC216" t="s">
        <v>94</v>
      </c>
      <c r="ED216" t="s">
        <v>94</v>
      </c>
      <c r="EE216" t="s">
        <v>89</v>
      </c>
      <c r="EF216" t="s">
        <v>94</v>
      </c>
      <c r="EG216" t="s">
        <v>105</v>
      </c>
      <c r="EJ216" t="s">
        <v>166</v>
      </c>
      <c r="EK216" t="b">
        <v>0</v>
      </c>
      <c r="EL216" t="b">
        <v>0</v>
      </c>
      <c r="EM216" t="b">
        <v>0</v>
      </c>
      <c r="EO216" t="s">
        <v>178</v>
      </c>
      <c r="EP216" t="s">
        <v>3103</v>
      </c>
    </row>
    <row r="217" spans="3:146" ht="15">
      <c r="C217" s="82" t="s">
        <v>3104</v>
      </c>
      <c r="D217" s="5"/>
      <c r="E217" s="4">
        <v>1</v>
      </c>
      <c r="F217" s="5">
        <v>17.5</v>
      </c>
      <c r="G217" s="5" t="s">
        <v>3105</v>
      </c>
      <c r="H217" s="4" t="s">
        <v>3106</v>
      </c>
      <c r="I217" s="81" t="s">
        <v>164</v>
      </c>
      <c r="J217" s="21"/>
      <c r="K217" s="22" t="s">
        <v>3107</v>
      </c>
      <c r="L217" s="84" t="s">
        <v>3044</v>
      </c>
      <c r="M217" s="23" t="s">
        <v>164</v>
      </c>
      <c r="N217" s="23">
        <v>43768</v>
      </c>
      <c r="O217" s="24" t="s">
        <v>102</v>
      </c>
      <c r="P217" s="24" t="s">
        <v>181</v>
      </c>
      <c r="Q217" s="24">
        <v>1</v>
      </c>
      <c r="R217" s="24">
        <v>17.5</v>
      </c>
      <c r="S217" t="s">
        <v>319</v>
      </c>
      <c r="T217" t="s">
        <v>3108</v>
      </c>
      <c r="U217" s="2" t="s">
        <v>163</v>
      </c>
      <c r="V217">
        <v>43768.844571759262</v>
      </c>
      <c r="W217" s="2" t="s">
        <v>427</v>
      </c>
      <c r="X217">
        <v>43768.905555555553</v>
      </c>
      <c r="AB217" t="s">
        <v>9</v>
      </c>
      <c r="AC217" t="s">
        <v>755</v>
      </c>
      <c r="AD217" t="s">
        <v>182</v>
      </c>
      <c r="AE217" t="s">
        <v>3109</v>
      </c>
      <c r="AF217" t="s">
        <v>3109</v>
      </c>
      <c r="AG217" t="s">
        <v>183</v>
      </c>
      <c r="AH217" t="s">
        <v>1869</v>
      </c>
      <c r="AI217" t="s">
        <v>1869</v>
      </c>
      <c r="AJ217" t="s">
        <v>584</v>
      </c>
      <c r="AK217" t="s">
        <v>585</v>
      </c>
      <c r="AL217" t="s">
        <v>1870</v>
      </c>
      <c r="AO217" t="s">
        <v>587</v>
      </c>
      <c r="AP217" t="s">
        <v>759</v>
      </c>
      <c r="AR217" t="s">
        <v>1871</v>
      </c>
      <c r="AS217">
        <v>-420775409613</v>
      </c>
      <c r="AT217" t="s">
        <v>1872</v>
      </c>
      <c r="AU217" t="s">
        <v>10</v>
      </c>
      <c r="AV217" t="s">
        <v>3050</v>
      </c>
      <c r="AW217" t="s">
        <v>3050</v>
      </c>
      <c r="AX217" t="s">
        <v>3051</v>
      </c>
      <c r="AY217" s="2" t="s">
        <v>3052</v>
      </c>
      <c r="BA217" t="s">
        <v>186</v>
      </c>
      <c r="BB217" t="s">
        <v>187</v>
      </c>
      <c r="BC217" t="s">
        <v>188</v>
      </c>
      <c r="BD217">
        <v>518100</v>
      </c>
      <c r="BE217" t="s">
        <v>3110</v>
      </c>
      <c r="BF217" t="s">
        <v>3053</v>
      </c>
      <c r="BG217" t="b">
        <v>0</v>
      </c>
      <c r="BH217" s="6" t="s">
        <v>3054</v>
      </c>
      <c r="BI217" t="s">
        <v>3055</v>
      </c>
      <c r="BJ217">
        <v>4453163191</v>
      </c>
      <c r="BK217" t="s">
        <v>162</v>
      </c>
      <c r="BL217" t="s">
        <v>161</v>
      </c>
      <c r="BM217" s="2"/>
      <c r="BO217" t="s">
        <v>89</v>
      </c>
      <c r="BP217">
        <v>91021900</v>
      </c>
      <c r="BR217" t="s">
        <v>189</v>
      </c>
      <c r="BS217" t="s">
        <v>103</v>
      </c>
      <c r="BU217">
        <v>258.02</v>
      </c>
      <c r="BV217">
        <v>452.82</v>
      </c>
      <c r="BW217">
        <v>0</v>
      </c>
      <c r="BX217">
        <v>0</v>
      </c>
      <c r="BY217">
        <v>0</v>
      </c>
      <c r="BZ217">
        <v>0</v>
      </c>
      <c r="CA217">
        <v>710.84</v>
      </c>
      <c r="CB217" t="s">
        <v>444</v>
      </c>
      <c r="CF217" s="2"/>
      <c r="CH217" s="2"/>
      <c r="CJ217">
        <v>5.3142019950156698E+17</v>
      </c>
      <c r="CK217" t="s">
        <v>2261</v>
      </c>
      <c r="CL217">
        <v>43768.379733796297</v>
      </c>
      <c r="CO217" t="s">
        <v>11</v>
      </c>
      <c r="CP217">
        <v>3226.02</v>
      </c>
      <c r="CQ217" t="s">
        <v>11</v>
      </c>
      <c r="CR217">
        <v>3226.02</v>
      </c>
      <c r="CV217" t="s">
        <v>190</v>
      </c>
      <c r="CW217" t="s">
        <v>12</v>
      </c>
      <c r="CX217" t="s">
        <v>12</v>
      </c>
      <c r="CY217" t="s">
        <v>12</v>
      </c>
      <c r="DA217" t="s">
        <v>104</v>
      </c>
      <c r="DD217" t="s">
        <v>93</v>
      </c>
      <c r="DQ217" t="s">
        <v>94</v>
      </c>
      <c r="DR217" t="s">
        <v>94</v>
      </c>
      <c r="DS217" t="s">
        <v>94</v>
      </c>
      <c r="DT217" t="s">
        <v>94</v>
      </c>
      <c r="DU217" t="s">
        <v>94</v>
      </c>
      <c r="DV217" t="s">
        <v>94</v>
      </c>
      <c r="DW217" t="s">
        <v>94</v>
      </c>
      <c r="DX217" s="2" t="s">
        <v>94</v>
      </c>
      <c r="DY217" t="s">
        <v>94</v>
      </c>
      <c r="DZ217" t="s">
        <v>94</v>
      </c>
      <c r="EA217" t="s">
        <v>94</v>
      </c>
      <c r="EB217" t="s">
        <v>94</v>
      </c>
      <c r="EC217" t="s">
        <v>94</v>
      </c>
      <c r="ED217" t="s">
        <v>94</v>
      </c>
      <c r="EE217" t="s">
        <v>89</v>
      </c>
      <c r="EF217" t="s">
        <v>425</v>
      </c>
      <c r="EG217" t="s">
        <v>105</v>
      </c>
      <c r="EJ217" t="s">
        <v>166</v>
      </c>
      <c r="EK217" t="b">
        <v>0</v>
      </c>
      <c r="EL217" t="b">
        <v>0</v>
      </c>
      <c r="EM217" t="b">
        <v>0</v>
      </c>
      <c r="EO217" t="s">
        <v>177</v>
      </c>
      <c r="EP217" t="s">
        <v>3111</v>
      </c>
    </row>
    <row r="218" spans="3:146" ht="15">
      <c r="C218" s="82">
        <v>131</v>
      </c>
      <c r="D218" s="5"/>
      <c r="E218" s="4">
        <v>1</v>
      </c>
      <c r="F218" s="5">
        <v>13</v>
      </c>
      <c r="G218" s="5" t="s">
        <v>3112</v>
      </c>
      <c r="H218" s="4" t="s">
        <v>3113</v>
      </c>
      <c r="I218" s="81" t="s">
        <v>164</v>
      </c>
      <c r="J218" s="21"/>
      <c r="K218" s="22" t="s">
        <v>2937</v>
      </c>
      <c r="L218" s="84" t="s">
        <v>2469</v>
      </c>
      <c r="M218" s="23" t="s">
        <v>447</v>
      </c>
      <c r="N218" s="23">
        <v>43761</v>
      </c>
      <c r="O218" s="24" t="s">
        <v>102</v>
      </c>
      <c r="P218" s="24" t="s">
        <v>181</v>
      </c>
      <c r="Q218" s="24">
        <v>1</v>
      </c>
      <c r="R218" s="24">
        <v>13</v>
      </c>
      <c r="S218" t="s">
        <v>372</v>
      </c>
      <c r="T218" t="s">
        <v>3114</v>
      </c>
      <c r="U218" s="2" t="s">
        <v>163</v>
      </c>
      <c r="V218">
        <v>43761.817187499997</v>
      </c>
      <c r="W218" s="2" t="s">
        <v>444</v>
      </c>
      <c r="X218">
        <v>43761.87190972222</v>
      </c>
      <c r="AB218" t="s">
        <v>9</v>
      </c>
      <c r="AC218" t="s">
        <v>2938</v>
      </c>
      <c r="AD218" t="s">
        <v>182</v>
      </c>
      <c r="AE218" t="s">
        <v>3115</v>
      </c>
      <c r="AF218" t="s">
        <v>3115</v>
      </c>
      <c r="AG218" t="s">
        <v>183</v>
      </c>
      <c r="AH218" t="s">
        <v>2939</v>
      </c>
      <c r="AI218" t="s">
        <v>2939</v>
      </c>
      <c r="AJ218" t="s">
        <v>184</v>
      </c>
      <c r="AK218" t="s">
        <v>185</v>
      </c>
      <c r="AL218" t="s">
        <v>2940</v>
      </c>
      <c r="AM218" t="s">
        <v>2941</v>
      </c>
      <c r="AO218" t="s">
        <v>2942</v>
      </c>
      <c r="AP218" t="s">
        <v>2943</v>
      </c>
      <c r="AQ218" t="s">
        <v>1315</v>
      </c>
      <c r="AR218" t="s">
        <v>2944</v>
      </c>
      <c r="AS218">
        <v>1384634461</v>
      </c>
      <c r="AT218" t="s">
        <v>2945</v>
      </c>
      <c r="AU218" t="s">
        <v>10</v>
      </c>
      <c r="AV218" t="s">
        <v>2946</v>
      </c>
      <c r="AW218" t="s">
        <v>2947</v>
      </c>
      <c r="AX218" t="s">
        <v>2948</v>
      </c>
      <c r="AY218" s="2" t="s">
        <v>2949</v>
      </c>
      <c r="AZ218" t="s">
        <v>2950</v>
      </c>
      <c r="BA218" t="s">
        <v>2046</v>
      </c>
      <c r="BB218" t="s">
        <v>187</v>
      </c>
      <c r="BC218" t="s">
        <v>188</v>
      </c>
      <c r="BD218">
        <v>518104</v>
      </c>
      <c r="BE218" t="s">
        <v>3116</v>
      </c>
      <c r="BF218" t="s">
        <v>2951</v>
      </c>
      <c r="BG218" t="b">
        <v>0</v>
      </c>
      <c r="BH218" s="6" t="s">
        <v>2952</v>
      </c>
      <c r="BI218" t="s">
        <v>2953</v>
      </c>
      <c r="BJ218">
        <v>4453163191</v>
      </c>
      <c r="BK218" t="s">
        <v>162</v>
      </c>
      <c r="BL218" t="s">
        <v>161</v>
      </c>
      <c r="BM218" s="2"/>
      <c r="BO218" t="s">
        <v>89</v>
      </c>
      <c r="BP218">
        <v>83081000</v>
      </c>
      <c r="BR218" t="s">
        <v>189</v>
      </c>
      <c r="BS218" t="s">
        <v>103</v>
      </c>
      <c r="BU218">
        <v>445.7</v>
      </c>
      <c r="BV218">
        <v>701.73</v>
      </c>
      <c r="BW218">
        <v>0</v>
      </c>
      <c r="BX218">
        <v>0</v>
      </c>
      <c r="BY218">
        <v>0</v>
      </c>
      <c r="BZ218">
        <v>0</v>
      </c>
      <c r="CA218">
        <v>1147.43</v>
      </c>
      <c r="CF218" s="2"/>
      <c r="CH218" s="2"/>
      <c r="CJ218">
        <v>5.3142019950152301E+17</v>
      </c>
      <c r="CK218" t="s">
        <v>1509</v>
      </c>
      <c r="CL218">
        <v>43761.375057870369</v>
      </c>
      <c r="CO218" t="s">
        <v>11</v>
      </c>
      <c r="CP218">
        <v>5055.08</v>
      </c>
      <c r="CQ218" t="s">
        <v>11</v>
      </c>
      <c r="CR218">
        <v>5055.08</v>
      </c>
      <c r="CV218" t="s">
        <v>190</v>
      </c>
      <c r="CW218" t="s">
        <v>12</v>
      </c>
      <c r="CX218" t="s">
        <v>12</v>
      </c>
      <c r="CY218" t="s">
        <v>12</v>
      </c>
      <c r="DA218" t="s">
        <v>104</v>
      </c>
      <c r="DD218" t="s">
        <v>93</v>
      </c>
      <c r="DQ218" t="s">
        <v>94</v>
      </c>
      <c r="DR218" t="s">
        <v>94</v>
      </c>
      <c r="DS218" t="s">
        <v>94</v>
      </c>
      <c r="DT218" t="s">
        <v>94</v>
      </c>
      <c r="DU218" t="s">
        <v>94</v>
      </c>
      <c r="DV218" t="s">
        <v>94</v>
      </c>
      <c r="DW218" t="s">
        <v>94</v>
      </c>
      <c r="DX218" s="2" t="s">
        <v>94</v>
      </c>
      <c r="DY218" t="s">
        <v>94</v>
      </c>
      <c r="DZ218" t="s">
        <v>94</v>
      </c>
      <c r="EA218" t="s">
        <v>94</v>
      </c>
      <c r="EB218" t="s">
        <v>94</v>
      </c>
      <c r="EC218" t="s">
        <v>94</v>
      </c>
      <c r="ED218" t="s">
        <v>94</v>
      </c>
      <c r="EE218" t="s">
        <v>89</v>
      </c>
      <c r="EF218" t="s">
        <v>425</v>
      </c>
      <c r="EG218" t="s">
        <v>105</v>
      </c>
      <c r="EJ218" t="s">
        <v>166</v>
      </c>
      <c r="EK218" t="b">
        <v>0</v>
      </c>
      <c r="EL218" t="b">
        <v>0</v>
      </c>
      <c r="EM218" t="b">
        <v>0</v>
      </c>
    </row>
    <row r="219" spans="3:146" ht="15">
      <c r="C219" s="82">
        <v>131</v>
      </c>
      <c r="D219" s="5"/>
      <c r="E219" s="4">
        <v>1</v>
      </c>
      <c r="F219" s="5">
        <v>0.01</v>
      </c>
      <c r="G219" s="5" t="s">
        <v>3130</v>
      </c>
      <c r="H219" s="4" t="s">
        <v>3131</v>
      </c>
      <c r="I219" s="81" t="s">
        <v>817</v>
      </c>
      <c r="J219" s="21"/>
      <c r="K219" s="22" t="s">
        <v>3117</v>
      </c>
      <c r="L219" s="84" t="s">
        <v>2736</v>
      </c>
      <c r="M219" s="23" t="s">
        <v>817</v>
      </c>
      <c r="N219" s="23">
        <v>43765</v>
      </c>
      <c r="O219" s="24" t="s">
        <v>102</v>
      </c>
      <c r="P219" s="24" t="s">
        <v>179</v>
      </c>
      <c r="Q219" s="24">
        <v>1</v>
      </c>
      <c r="R219" s="24">
        <v>0.01</v>
      </c>
      <c r="S219" t="s">
        <v>528</v>
      </c>
      <c r="T219">
        <v>18</v>
      </c>
      <c r="U219" s="2" t="s">
        <v>163</v>
      </c>
      <c r="V219">
        <v>43765.859189814815</v>
      </c>
      <c r="W219" s="2" t="s">
        <v>444</v>
      </c>
      <c r="X219">
        <v>43767.471712962964</v>
      </c>
      <c r="AB219" t="s">
        <v>9</v>
      </c>
      <c r="AC219" t="s">
        <v>3118</v>
      </c>
      <c r="AD219" t="s">
        <v>182</v>
      </c>
      <c r="AE219">
        <v>1057671</v>
      </c>
      <c r="AF219">
        <v>1057671</v>
      </c>
      <c r="AG219" t="s">
        <v>183</v>
      </c>
      <c r="AH219" t="s">
        <v>3119</v>
      </c>
      <c r="AI219" t="s">
        <v>3119</v>
      </c>
      <c r="AJ219" t="s">
        <v>601</v>
      </c>
      <c r="AK219" t="s">
        <v>602</v>
      </c>
      <c r="AL219" t="s">
        <v>3120</v>
      </c>
      <c r="AO219" t="s">
        <v>3121</v>
      </c>
      <c r="AP219" t="s">
        <v>3122</v>
      </c>
      <c r="AQ219" t="s">
        <v>1293</v>
      </c>
      <c r="AR219">
        <v>10015</v>
      </c>
      <c r="AS219">
        <v>1251906231</v>
      </c>
      <c r="AT219" t="s">
        <v>3123</v>
      </c>
      <c r="AU219" t="s">
        <v>10</v>
      </c>
      <c r="AV219" t="s">
        <v>3124</v>
      </c>
      <c r="AW219" t="s">
        <v>3124</v>
      </c>
      <c r="AX219" t="s">
        <v>3125</v>
      </c>
      <c r="AY219" s="2" t="s">
        <v>2044</v>
      </c>
      <c r="AZ219" t="s">
        <v>3126</v>
      </c>
      <c r="BA219" t="s">
        <v>186</v>
      </c>
      <c r="BB219" t="s">
        <v>187</v>
      </c>
      <c r="BC219" t="s">
        <v>188</v>
      </c>
      <c r="BD219">
        <v>518100</v>
      </c>
      <c r="BE219">
        <v>-13077866398</v>
      </c>
      <c r="BF219" t="s">
        <v>3127</v>
      </c>
      <c r="BG219" t="b">
        <v>0</v>
      </c>
      <c r="BH219" s="6" t="s">
        <v>3128</v>
      </c>
      <c r="BI219" t="s">
        <v>3129</v>
      </c>
      <c r="BJ219">
        <v>4453163191</v>
      </c>
      <c r="BK219" t="s">
        <v>162</v>
      </c>
      <c r="BL219" t="s">
        <v>161</v>
      </c>
      <c r="BM219" s="2"/>
      <c r="BO219" t="s">
        <v>89</v>
      </c>
      <c r="BP219">
        <v>85235110</v>
      </c>
      <c r="BR219" t="s">
        <v>180</v>
      </c>
      <c r="BS219" t="s">
        <v>103</v>
      </c>
      <c r="BU219">
        <v>0</v>
      </c>
      <c r="BV219">
        <v>0</v>
      </c>
      <c r="BW219">
        <v>0</v>
      </c>
      <c r="BX219">
        <v>0</v>
      </c>
      <c r="BY219">
        <v>0</v>
      </c>
      <c r="BZ219">
        <v>0</v>
      </c>
      <c r="CA219">
        <v>0</v>
      </c>
      <c r="CF219" s="2"/>
      <c r="CH219" s="2"/>
      <c r="CJ219">
        <v>5.3142019950155002E+17</v>
      </c>
      <c r="CK219" t="s">
        <v>1509</v>
      </c>
      <c r="CL219">
        <v>43765.378391203703</v>
      </c>
      <c r="CO219" t="s">
        <v>11</v>
      </c>
      <c r="CP219">
        <v>140.49</v>
      </c>
      <c r="CQ219" t="s">
        <v>11</v>
      </c>
      <c r="CR219">
        <v>140.49</v>
      </c>
      <c r="CV219" t="s">
        <v>190</v>
      </c>
      <c r="CW219" t="s">
        <v>12</v>
      </c>
      <c r="CX219" t="s">
        <v>12</v>
      </c>
      <c r="CY219" t="s">
        <v>12</v>
      </c>
      <c r="DA219" t="s">
        <v>104</v>
      </c>
      <c r="DD219" t="s">
        <v>93</v>
      </c>
      <c r="DQ219" t="s">
        <v>94</v>
      </c>
      <c r="DR219" t="s">
        <v>94</v>
      </c>
      <c r="DS219" t="s">
        <v>94</v>
      </c>
      <c r="DT219" t="s">
        <v>94</v>
      </c>
      <c r="DU219" t="s">
        <v>94</v>
      </c>
      <c r="DV219" t="s">
        <v>94</v>
      </c>
      <c r="DW219" t="s">
        <v>94</v>
      </c>
      <c r="DX219" s="2" t="s">
        <v>94</v>
      </c>
      <c r="DY219" t="s">
        <v>94</v>
      </c>
      <c r="DZ219" t="s">
        <v>94</v>
      </c>
      <c r="EA219" t="s">
        <v>94</v>
      </c>
      <c r="EB219" t="s">
        <v>94</v>
      </c>
      <c r="EC219" t="s">
        <v>94</v>
      </c>
      <c r="ED219" t="s">
        <v>94</v>
      </c>
      <c r="EE219" t="s">
        <v>89</v>
      </c>
      <c r="EF219" t="s">
        <v>425</v>
      </c>
      <c r="EG219" t="s">
        <v>105</v>
      </c>
      <c r="EJ219" t="s">
        <v>166</v>
      </c>
      <c r="EK219" t="b">
        <v>0</v>
      </c>
      <c r="EL219" t="b">
        <v>0</v>
      </c>
      <c r="EM219" t="b">
        <v>0</v>
      </c>
    </row>
    <row r="220" spans="3:146" ht="15">
      <c r="C220" s="82">
        <v>1</v>
      </c>
      <c r="D220" s="5"/>
      <c r="E220" s="4">
        <v>1</v>
      </c>
      <c r="F220" s="5">
        <v>0.02</v>
      </c>
      <c r="G220" s="5" t="s">
        <v>3267</v>
      </c>
      <c r="H220" s="4" t="s">
        <v>3268</v>
      </c>
      <c r="I220" s="81" t="s">
        <v>164</v>
      </c>
      <c r="J220" s="21"/>
      <c r="K220" s="22" t="s">
        <v>3264</v>
      </c>
      <c r="L220" s="84" t="s">
        <v>3044</v>
      </c>
      <c r="M220" s="23" t="s">
        <v>164</v>
      </c>
      <c r="N220" s="23">
        <v>43768</v>
      </c>
      <c r="O220" s="24" t="s">
        <v>102</v>
      </c>
      <c r="P220" s="24" t="s">
        <v>181</v>
      </c>
      <c r="Q220" s="24">
        <v>1</v>
      </c>
      <c r="R220" s="24">
        <v>0.02</v>
      </c>
      <c r="S220" t="s">
        <v>11</v>
      </c>
      <c r="T220" t="s">
        <v>3269</v>
      </c>
      <c r="U220" s="2" t="s">
        <v>163</v>
      </c>
      <c r="V220">
        <v>43768.844606481478</v>
      </c>
      <c r="W220" s="2" t="s">
        <v>444</v>
      </c>
      <c r="X220">
        <v>43768.912083333336</v>
      </c>
      <c r="AB220" t="s">
        <v>9</v>
      </c>
      <c r="AC220" t="s">
        <v>755</v>
      </c>
      <c r="AD220" t="s">
        <v>209</v>
      </c>
      <c r="AE220" t="s">
        <v>3270</v>
      </c>
      <c r="AF220" t="s">
        <v>3270</v>
      </c>
      <c r="AG220" t="s">
        <v>183</v>
      </c>
      <c r="AH220" t="s">
        <v>3220</v>
      </c>
      <c r="AI220" t="s">
        <v>3220</v>
      </c>
      <c r="AJ220" t="s">
        <v>584</v>
      </c>
      <c r="AK220" t="s">
        <v>585</v>
      </c>
      <c r="AL220" t="s">
        <v>3221</v>
      </c>
      <c r="AO220" t="s">
        <v>3222</v>
      </c>
      <c r="AP220" t="s">
        <v>759</v>
      </c>
      <c r="AR220" t="s">
        <v>3223</v>
      </c>
      <c r="AS220">
        <v>-420416837846</v>
      </c>
      <c r="AT220" t="s">
        <v>3224</v>
      </c>
      <c r="AU220" t="s">
        <v>10</v>
      </c>
      <c r="AV220" t="s">
        <v>3225</v>
      </c>
      <c r="AW220" t="s">
        <v>3225</v>
      </c>
      <c r="AX220" t="s">
        <v>3226</v>
      </c>
      <c r="AY220" s="2" t="s">
        <v>3227</v>
      </c>
      <c r="AZ220" t="s">
        <v>3228</v>
      </c>
      <c r="BA220" t="s">
        <v>299</v>
      </c>
      <c r="BB220" t="s">
        <v>300</v>
      </c>
      <c r="BC220" t="s">
        <v>188</v>
      </c>
      <c r="BD220">
        <v>511453</v>
      </c>
      <c r="BE220" t="s">
        <v>3271</v>
      </c>
      <c r="BF220" t="s">
        <v>3229</v>
      </c>
      <c r="BG220" t="b">
        <v>0</v>
      </c>
      <c r="BH220" s="6" t="s">
        <v>3230</v>
      </c>
      <c r="BI220" t="s">
        <v>3231</v>
      </c>
      <c r="BJ220">
        <v>4453163191</v>
      </c>
      <c r="BK220" t="s">
        <v>162</v>
      </c>
      <c r="BL220" t="s">
        <v>161</v>
      </c>
      <c r="BM220" s="2"/>
      <c r="BO220" t="s">
        <v>89</v>
      </c>
      <c r="BP220">
        <v>72189900</v>
      </c>
      <c r="BR220" t="s">
        <v>180</v>
      </c>
      <c r="BS220" t="s">
        <v>103</v>
      </c>
      <c r="BU220">
        <v>0</v>
      </c>
      <c r="BV220">
        <v>64.44</v>
      </c>
      <c r="BW220">
        <v>0</v>
      </c>
      <c r="BX220">
        <v>0</v>
      </c>
      <c r="BY220">
        <v>0</v>
      </c>
      <c r="BZ220">
        <v>0</v>
      </c>
      <c r="CA220">
        <v>64.44</v>
      </c>
      <c r="CF220" s="2"/>
      <c r="CH220" s="2"/>
      <c r="CJ220" t="s">
        <v>1023</v>
      </c>
      <c r="CK220" t="s">
        <v>2261</v>
      </c>
      <c r="CL220">
        <v>43768.395462962966</v>
      </c>
      <c r="CO220" t="s">
        <v>11</v>
      </c>
      <c r="CP220">
        <v>486</v>
      </c>
      <c r="CQ220" t="s">
        <v>11</v>
      </c>
      <c r="CR220">
        <v>486</v>
      </c>
      <c r="CV220" t="s">
        <v>190</v>
      </c>
      <c r="CW220" t="s">
        <v>12</v>
      </c>
      <c r="CX220" t="s">
        <v>12</v>
      </c>
      <c r="CY220" t="s">
        <v>12</v>
      </c>
      <c r="DA220" t="s">
        <v>104</v>
      </c>
      <c r="DD220" t="s">
        <v>93</v>
      </c>
      <c r="DQ220" t="s">
        <v>94</v>
      </c>
      <c r="DR220" t="s">
        <v>94</v>
      </c>
      <c r="DS220" t="s">
        <v>94</v>
      </c>
      <c r="DT220" t="s">
        <v>94</v>
      </c>
      <c r="DU220" t="s">
        <v>94</v>
      </c>
      <c r="DV220" t="s">
        <v>94</v>
      </c>
      <c r="DW220" t="s">
        <v>94</v>
      </c>
      <c r="DX220" s="2" t="s">
        <v>94</v>
      </c>
      <c r="DY220" t="s">
        <v>94</v>
      </c>
      <c r="DZ220" t="s">
        <v>94</v>
      </c>
      <c r="EA220" t="s">
        <v>94</v>
      </c>
      <c r="EB220" t="s">
        <v>94</v>
      </c>
      <c r="EC220" t="s">
        <v>94</v>
      </c>
      <c r="ED220" t="s">
        <v>94</v>
      </c>
      <c r="EE220" t="s">
        <v>89</v>
      </c>
      <c r="EF220" t="s">
        <v>94</v>
      </c>
      <c r="EG220" t="s">
        <v>543</v>
      </c>
      <c r="EJ220" t="s">
        <v>166</v>
      </c>
      <c r="EK220" t="b">
        <v>0</v>
      </c>
      <c r="EL220" t="b">
        <v>0</v>
      </c>
      <c r="EM220" t="b">
        <v>0</v>
      </c>
    </row>
    <row r="221" spans="3:146">
      <c r="C221" s="4">
        <v>1</v>
      </c>
      <c r="D221" s="4"/>
      <c r="E221" s="4">
        <v>1</v>
      </c>
      <c r="F221" s="4">
        <v>1.85</v>
      </c>
      <c r="G221" s="5" t="s">
        <v>3267</v>
      </c>
      <c r="H221" s="4" t="s">
        <v>3272</v>
      </c>
      <c r="I221" s="4" t="s">
        <v>164</v>
      </c>
      <c r="J221" s="5"/>
      <c r="K221" s="22" t="s">
        <v>3273</v>
      </c>
      <c r="L221" s="84" t="s">
        <v>3044</v>
      </c>
      <c r="M221" s="23" t="s">
        <v>164</v>
      </c>
      <c r="N221" s="23">
        <v>43768</v>
      </c>
      <c r="O221" s="24" t="s">
        <v>102</v>
      </c>
      <c r="P221" s="24" t="s">
        <v>181</v>
      </c>
      <c r="Q221" s="24">
        <v>1</v>
      </c>
      <c r="R221" s="24">
        <v>1.85</v>
      </c>
      <c r="S221" t="s">
        <v>319</v>
      </c>
      <c r="T221" t="s">
        <v>3274</v>
      </c>
      <c r="U221" s="2" t="s">
        <v>163</v>
      </c>
      <c r="V221">
        <v>43768.844525462962</v>
      </c>
      <c r="W221" s="2" t="s">
        <v>444</v>
      </c>
      <c r="X221">
        <v>43771.42019675926</v>
      </c>
      <c r="AB221" t="s">
        <v>9</v>
      </c>
      <c r="AC221" t="s">
        <v>3232</v>
      </c>
      <c r="AD221" t="s">
        <v>182</v>
      </c>
      <c r="AE221" t="s">
        <v>3275</v>
      </c>
      <c r="AF221" t="s">
        <v>3275</v>
      </c>
      <c r="AG221" t="s">
        <v>183</v>
      </c>
      <c r="AH221" t="s">
        <v>3233</v>
      </c>
      <c r="AI221" t="s">
        <v>3233</v>
      </c>
      <c r="AJ221" t="s">
        <v>3234</v>
      </c>
      <c r="AK221" t="s">
        <v>3235</v>
      </c>
      <c r="AL221" t="s">
        <v>3236</v>
      </c>
      <c r="AO221" t="s">
        <v>3237</v>
      </c>
      <c r="AP221" t="s">
        <v>3238</v>
      </c>
      <c r="AR221" t="s">
        <v>3276</v>
      </c>
      <c r="AS221">
        <v>400421448</v>
      </c>
      <c r="AT221" t="s">
        <v>3239</v>
      </c>
      <c r="AU221" t="s">
        <v>10</v>
      </c>
      <c r="AV221" t="s">
        <v>3240</v>
      </c>
      <c r="AW221" t="s">
        <v>3240</v>
      </c>
      <c r="AX221" t="s">
        <v>3241</v>
      </c>
      <c r="AY221" t="s">
        <v>3242</v>
      </c>
      <c r="AZ221" t="s">
        <v>3243</v>
      </c>
      <c r="BA221" t="s">
        <v>186</v>
      </c>
      <c r="BB221" t="s">
        <v>187</v>
      </c>
      <c r="BC221" t="s">
        <v>188</v>
      </c>
      <c r="BD221">
        <v>518106</v>
      </c>
      <c r="BE221" t="s">
        <v>3244</v>
      </c>
      <c r="BF221" t="s">
        <v>3245</v>
      </c>
      <c r="BG221" t="b">
        <v>0</v>
      </c>
      <c r="BH221" s="6" t="s">
        <v>3246</v>
      </c>
      <c r="BI221" t="s">
        <v>3247</v>
      </c>
      <c r="BJ221">
        <v>4453163191</v>
      </c>
      <c r="BK221" t="s">
        <v>162</v>
      </c>
      <c r="BL221" t="s">
        <v>161</v>
      </c>
      <c r="BM221" s="2"/>
      <c r="BO221" t="s">
        <v>89</v>
      </c>
      <c r="BP221">
        <v>85312000</v>
      </c>
      <c r="BR221" t="s">
        <v>180</v>
      </c>
      <c r="BS221" t="s">
        <v>103</v>
      </c>
      <c r="BU221">
        <v>0</v>
      </c>
      <c r="BV221">
        <v>96.54</v>
      </c>
      <c r="BW221">
        <v>0</v>
      </c>
      <c r="BX221">
        <v>0</v>
      </c>
      <c r="BY221">
        <v>0</v>
      </c>
      <c r="BZ221">
        <v>0</v>
      </c>
      <c r="CA221">
        <v>96.54</v>
      </c>
      <c r="CF221" s="2"/>
      <c r="CH221" s="2"/>
      <c r="CJ221" t="s">
        <v>1023</v>
      </c>
      <c r="CK221" t="s">
        <v>2261</v>
      </c>
      <c r="CL221">
        <v>43768.379027777781</v>
      </c>
      <c r="CO221" t="s">
        <v>11</v>
      </c>
      <c r="CP221">
        <v>742.83</v>
      </c>
      <c r="CQ221" t="s">
        <v>11</v>
      </c>
      <c r="CR221">
        <v>742.83</v>
      </c>
      <c r="CV221" t="s">
        <v>190</v>
      </c>
      <c r="CW221" t="s">
        <v>12</v>
      </c>
      <c r="CX221" t="s">
        <v>12</v>
      </c>
      <c r="CY221" t="s">
        <v>12</v>
      </c>
      <c r="DA221" t="s">
        <v>104</v>
      </c>
      <c r="DD221" t="s">
        <v>93</v>
      </c>
      <c r="DQ221" t="s">
        <v>94</v>
      </c>
      <c r="DR221" t="s">
        <v>94</v>
      </c>
      <c r="DS221" t="s">
        <v>94</v>
      </c>
      <c r="DT221" t="s">
        <v>94</v>
      </c>
      <c r="DU221" t="s">
        <v>94</v>
      </c>
      <c r="DV221" t="s">
        <v>94</v>
      </c>
      <c r="DW221" t="s">
        <v>94</v>
      </c>
      <c r="DX221" s="2" t="s">
        <v>94</v>
      </c>
      <c r="DY221" t="s">
        <v>94</v>
      </c>
      <c r="DZ221" t="s">
        <v>94</v>
      </c>
      <c r="EA221" t="s">
        <v>94</v>
      </c>
      <c r="EB221" t="s">
        <v>94</v>
      </c>
      <c r="EC221" t="s">
        <v>94</v>
      </c>
      <c r="ED221" t="s">
        <v>94</v>
      </c>
      <c r="EE221" t="s">
        <v>89</v>
      </c>
      <c r="EF221" t="s">
        <v>425</v>
      </c>
      <c r="EG221" t="s">
        <v>105</v>
      </c>
      <c r="EJ221" t="s">
        <v>166</v>
      </c>
      <c r="EK221" t="b">
        <v>0</v>
      </c>
      <c r="EL221" t="b">
        <v>0</v>
      </c>
      <c r="EM221" t="b">
        <v>0</v>
      </c>
      <c r="EO221" t="s">
        <v>177</v>
      </c>
      <c r="EP221" t="s">
        <v>3277</v>
      </c>
    </row>
    <row r="222" spans="3:146">
      <c r="C222" s="4">
        <v>1</v>
      </c>
      <c r="D222" s="5"/>
      <c r="E222" s="5">
        <v>5</v>
      </c>
      <c r="F222" s="4">
        <v>38.200000000000003</v>
      </c>
      <c r="G222" s="5" t="s">
        <v>3267</v>
      </c>
      <c r="H222" s="4" t="s">
        <v>3278</v>
      </c>
      <c r="I222" s="4" t="s">
        <v>164</v>
      </c>
      <c r="J222" s="4"/>
      <c r="K222" s="22" t="s">
        <v>3279</v>
      </c>
      <c r="L222" s="84" t="s">
        <v>3044</v>
      </c>
      <c r="M222" s="23" t="s">
        <v>164</v>
      </c>
      <c r="N222" s="23">
        <v>43768</v>
      </c>
      <c r="O222" s="24" t="s">
        <v>102</v>
      </c>
      <c r="P222" s="24" t="s">
        <v>480</v>
      </c>
      <c r="Q222" s="24">
        <v>5</v>
      </c>
      <c r="R222" s="24">
        <v>38.200000000000003</v>
      </c>
      <c r="S222" t="s">
        <v>528</v>
      </c>
      <c r="T222" t="s">
        <v>3280</v>
      </c>
      <c r="U222" s="2"/>
      <c r="W222" s="2"/>
      <c r="AB222" t="s">
        <v>9</v>
      </c>
      <c r="AC222" t="s">
        <v>1667</v>
      </c>
      <c r="AD222" t="s">
        <v>182</v>
      </c>
      <c r="AE222" t="s">
        <v>183</v>
      </c>
      <c r="AF222" t="s">
        <v>183</v>
      </c>
      <c r="AG222" t="s">
        <v>3281</v>
      </c>
      <c r="AH222" t="s">
        <v>1668</v>
      </c>
      <c r="AI222" t="s">
        <v>1668</v>
      </c>
      <c r="AJ222" t="s">
        <v>508</v>
      </c>
      <c r="AK222" t="s">
        <v>509</v>
      </c>
      <c r="AL222" t="s">
        <v>1669</v>
      </c>
      <c r="AM222" t="s">
        <v>1670</v>
      </c>
      <c r="AN222" t="s">
        <v>3248</v>
      </c>
      <c r="AO222" t="s">
        <v>1671</v>
      </c>
      <c r="AP222" t="s">
        <v>1672</v>
      </c>
      <c r="AR222" t="s">
        <v>3282</v>
      </c>
      <c r="AS222">
        <v>330231595863</v>
      </c>
      <c r="AT222" t="s">
        <v>1673</v>
      </c>
      <c r="AU222" t="s">
        <v>10</v>
      </c>
      <c r="AV222" t="s">
        <v>1675</v>
      </c>
      <c r="AW222" t="s">
        <v>1675</v>
      </c>
      <c r="AX222" t="s">
        <v>1676</v>
      </c>
      <c r="AY222" t="s">
        <v>1677</v>
      </c>
      <c r="AZ222" t="s">
        <v>194</v>
      </c>
      <c r="BA222" t="s">
        <v>1678</v>
      </c>
      <c r="BB222" t="s">
        <v>272</v>
      </c>
      <c r="BC222" t="s">
        <v>188</v>
      </c>
      <c r="BD222">
        <v>518001</v>
      </c>
      <c r="BE222" t="s">
        <v>1679</v>
      </c>
      <c r="BF222" t="s">
        <v>1680</v>
      </c>
      <c r="BG222" t="b">
        <v>0</v>
      </c>
      <c r="BH222" s="6" t="s">
        <v>3249</v>
      </c>
      <c r="BI222" t="s">
        <v>3250</v>
      </c>
      <c r="BJ222">
        <v>4453163191</v>
      </c>
      <c r="BK222" t="s">
        <v>162</v>
      </c>
      <c r="BL222" t="s">
        <v>161</v>
      </c>
      <c r="BM222" s="2"/>
      <c r="BR222" t="s">
        <v>189</v>
      </c>
      <c r="BS222" t="s">
        <v>103</v>
      </c>
      <c r="BU222">
        <v>0</v>
      </c>
      <c r="BV222">
        <v>0</v>
      </c>
      <c r="BW222">
        <v>0</v>
      </c>
      <c r="BX222">
        <v>0</v>
      </c>
      <c r="BY222">
        <v>0</v>
      </c>
      <c r="BZ222">
        <v>0</v>
      </c>
      <c r="CA222">
        <v>0</v>
      </c>
      <c r="CF222" s="2"/>
      <c r="CH222" s="2"/>
      <c r="CK222" t="s">
        <v>2261</v>
      </c>
      <c r="CL222">
        <v>43768.565208333333</v>
      </c>
      <c r="CO222" t="s">
        <v>11</v>
      </c>
      <c r="CP222">
        <v>752167.38</v>
      </c>
      <c r="CQ222" t="s">
        <v>11</v>
      </c>
      <c r="CR222">
        <v>752167.38</v>
      </c>
      <c r="CV222" t="s">
        <v>525</v>
      </c>
      <c r="CW222" t="s">
        <v>12</v>
      </c>
      <c r="CX222" t="s">
        <v>12</v>
      </c>
      <c r="CY222" t="s">
        <v>12</v>
      </c>
      <c r="DA222" t="s">
        <v>104</v>
      </c>
      <c r="DD222" t="s">
        <v>93</v>
      </c>
      <c r="DQ222" t="s">
        <v>94</v>
      </c>
      <c r="DR222" t="s">
        <v>94</v>
      </c>
      <c r="DS222" t="s">
        <v>94</v>
      </c>
      <c r="DT222" t="s">
        <v>94</v>
      </c>
      <c r="DU222" t="s">
        <v>94</v>
      </c>
      <c r="DV222" t="s">
        <v>94</v>
      </c>
      <c r="DW222" t="s">
        <v>94</v>
      </c>
      <c r="DX222" s="2" t="s">
        <v>94</v>
      </c>
      <c r="DY222" t="s">
        <v>94</v>
      </c>
      <c r="DZ222" t="s">
        <v>94</v>
      </c>
      <c r="EA222" t="s">
        <v>94</v>
      </c>
      <c r="EB222" t="s">
        <v>94</v>
      </c>
      <c r="EC222" t="s">
        <v>94</v>
      </c>
      <c r="ED222" t="s">
        <v>94</v>
      </c>
      <c r="EE222" t="s">
        <v>89</v>
      </c>
      <c r="EF222" t="s">
        <v>94</v>
      </c>
      <c r="EG222" t="s">
        <v>105</v>
      </c>
      <c r="EJ222" t="s">
        <v>166</v>
      </c>
      <c r="EK222" t="b">
        <v>0</v>
      </c>
      <c r="EL222" t="b">
        <v>0</v>
      </c>
      <c r="EM222" t="b">
        <v>0</v>
      </c>
      <c r="EO222" t="s">
        <v>177</v>
      </c>
      <c r="EP222" t="s">
        <v>3277</v>
      </c>
    </row>
    <row r="223" spans="3:146">
      <c r="C223" s="4">
        <v>1</v>
      </c>
      <c r="D223" s="5"/>
      <c r="E223" s="4">
        <v>1</v>
      </c>
      <c r="F223" s="4">
        <v>1.5</v>
      </c>
      <c r="G223" s="5" t="s">
        <v>3283</v>
      </c>
      <c r="H223" s="4" t="s">
        <v>3284</v>
      </c>
      <c r="I223" s="4" t="s">
        <v>164</v>
      </c>
      <c r="J223" s="4"/>
      <c r="K223" s="22" t="s">
        <v>3170</v>
      </c>
      <c r="L223" s="84" t="s">
        <v>2813</v>
      </c>
      <c r="M223" s="23" t="s">
        <v>164</v>
      </c>
      <c r="N223" s="23">
        <v>43766</v>
      </c>
      <c r="O223" s="24" t="s">
        <v>102</v>
      </c>
      <c r="P223" s="24" t="s">
        <v>181</v>
      </c>
      <c r="Q223" s="24">
        <v>1</v>
      </c>
      <c r="R223" s="24">
        <v>1.5</v>
      </c>
      <c r="S223" t="s">
        <v>319</v>
      </c>
      <c r="T223" t="s">
        <v>3285</v>
      </c>
      <c r="U223" s="2" t="s">
        <v>163</v>
      </c>
      <c r="V223">
        <v>43766.869826388887</v>
      </c>
      <c r="W223" s="2" t="s">
        <v>444</v>
      </c>
      <c r="X223">
        <v>43769.454467592594</v>
      </c>
      <c r="AB223" t="s">
        <v>9</v>
      </c>
      <c r="AC223" t="s">
        <v>1347</v>
      </c>
      <c r="AD223" t="s">
        <v>191</v>
      </c>
      <c r="AE223" t="s">
        <v>3286</v>
      </c>
      <c r="AF223" t="s">
        <v>3286</v>
      </c>
      <c r="AG223" t="s">
        <v>183</v>
      </c>
      <c r="AH223" t="s">
        <v>3171</v>
      </c>
      <c r="AI223" t="s">
        <v>3171</v>
      </c>
      <c r="AJ223" t="s">
        <v>369</v>
      </c>
      <c r="AK223" t="s">
        <v>370</v>
      </c>
      <c r="AL223" t="s">
        <v>3172</v>
      </c>
      <c r="AO223" t="s">
        <v>3173</v>
      </c>
      <c r="AP223" t="s">
        <v>1351</v>
      </c>
      <c r="AQ223" t="s">
        <v>996</v>
      </c>
      <c r="AR223" t="s">
        <v>3287</v>
      </c>
      <c r="AS223">
        <v>6147872311</v>
      </c>
      <c r="AT223" t="s">
        <v>3174</v>
      </c>
      <c r="AU223" t="s">
        <v>10</v>
      </c>
      <c r="AV223" t="s">
        <v>3175</v>
      </c>
      <c r="AW223" t="s">
        <v>3175</v>
      </c>
      <c r="AX223" t="s">
        <v>3176</v>
      </c>
      <c r="AY223" t="s">
        <v>3177</v>
      </c>
      <c r="BA223" t="s">
        <v>726</v>
      </c>
      <c r="BB223" t="s">
        <v>192</v>
      </c>
      <c r="BC223" t="s">
        <v>188</v>
      </c>
      <c r="BD223">
        <v>523570</v>
      </c>
      <c r="BE223" t="s">
        <v>3288</v>
      </c>
      <c r="BF223" t="s">
        <v>3178</v>
      </c>
      <c r="BG223" t="b">
        <v>0</v>
      </c>
      <c r="BH223" s="6" t="s">
        <v>3179</v>
      </c>
      <c r="BI223" t="s">
        <v>3180</v>
      </c>
      <c r="BJ223">
        <v>4453163191</v>
      </c>
      <c r="BK223" t="s">
        <v>162</v>
      </c>
      <c r="BL223" t="s">
        <v>161</v>
      </c>
      <c r="BM223" s="2"/>
      <c r="BO223" t="s">
        <v>89</v>
      </c>
      <c r="BP223">
        <v>3926909090</v>
      </c>
      <c r="BR223" t="s">
        <v>189</v>
      </c>
      <c r="BS223" t="s">
        <v>103</v>
      </c>
      <c r="BU223">
        <v>318.27999999999997</v>
      </c>
      <c r="BV223">
        <v>455.14</v>
      </c>
      <c r="BW223">
        <v>0</v>
      </c>
      <c r="BX223">
        <v>0</v>
      </c>
      <c r="BY223">
        <v>0</v>
      </c>
      <c r="BZ223">
        <v>0</v>
      </c>
      <c r="CA223">
        <v>773.42</v>
      </c>
      <c r="CF223" s="2"/>
      <c r="CH223" s="2"/>
      <c r="CJ223" t="s">
        <v>1023</v>
      </c>
      <c r="CK223" t="s">
        <v>1509</v>
      </c>
      <c r="CL223">
        <v>43766.380578703705</v>
      </c>
      <c r="CO223" t="s">
        <v>11</v>
      </c>
      <c r="CP223">
        <v>3183.57</v>
      </c>
      <c r="CQ223" t="s">
        <v>11</v>
      </c>
      <c r="CR223">
        <v>3183.57</v>
      </c>
      <c r="CV223" t="s">
        <v>190</v>
      </c>
      <c r="CW223" t="s">
        <v>12</v>
      </c>
      <c r="CX223" t="s">
        <v>12</v>
      </c>
      <c r="CY223" t="s">
        <v>12</v>
      </c>
      <c r="DA223" t="s">
        <v>104</v>
      </c>
      <c r="DD223" t="s">
        <v>93</v>
      </c>
      <c r="DQ223" t="s">
        <v>94</v>
      </c>
      <c r="DR223" t="s">
        <v>94</v>
      </c>
      <c r="DS223" t="s">
        <v>94</v>
      </c>
      <c r="DT223" t="s">
        <v>94</v>
      </c>
      <c r="DU223" t="s">
        <v>94</v>
      </c>
      <c r="DV223" t="s">
        <v>94</v>
      </c>
      <c r="DW223" t="s">
        <v>94</v>
      </c>
      <c r="DX223" s="2" t="s">
        <v>94</v>
      </c>
      <c r="DY223" t="s">
        <v>94</v>
      </c>
      <c r="DZ223" t="s">
        <v>94</v>
      </c>
      <c r="EA223" t="s">
        <v>94</v>
      </c>
      <c r="EB223" t="s">
        <v>94</v>
      </c>
      <c r="EC223" t="s">
        <v>94</v>
      </c>
      <c r="ED223" t="s">
        <v>94</v>
      </c>
      <c r="EE223" t="s">
        <v>89</v>
      </c>
      <c r="EF223" t="s">
        <v>425</v>
      </c>
      <c r="EG223" t="s">
        <v>105</v>
      </c>
      <c r="EJ223" t="s">
        <v>166</v>
      </c>
      <c r="EK223" t="b">
        <v>0</v>
      </c>
      <c r="EL223" t="b">
        <v>0</v>
      </c>
      <c r="EM223" t="b">
        <v>0</v>
      </c>
    </row>
    <row r="224" spans="3:146">
      <c r="C224" s="4">
        <v>1</v>
      </c>
      <c r="D224" s="5"/>
      <c r="E224" s="4">
        <v>1</v>
      </c>
      <c r="F224" s="4">
        <v>5</v>
      </c>
      <c r="G224" s="5" t="s">
        <v>3283</v>
      </c>
      <c r="H224" s="5" t="s">
        <v>3289</v>
      </c>
      <c r="I224" s="4" t="s">
        <v>164</v>
      </c>
      <c r="J224" s="4"/>
      <c r="K224" s="22" t="s">
        <v>3290</v>
      </c>
      <c r="L224" s="84" t="s">
        <v>2813</v>
      </c>
      <c r="M224" s="23" t="s">
        <v>164</v>
      </c>
      <c r="N224" s="23">
        <v>43766</v>
      </c>
      <c r="O224" s="24" t="s">
        <v>102</v>
      </c>
      <c r="P224" s="24" t="s">
        <v>181</v>
      </c>
      <c r="Q224" s="24">
        <v>1</v>
      </c>
      <c r="R224" s="24">
        <v>5</v>
      </c>
      <c r="S224" t="s">
        <v>319</v>
      </c>
      <c r="T224" t="s">
        <v>3291</v>
      </c>
      <c r="U224" t="s">
        <v>163</v>
      </c>
      <c r="V224">
        <v>43766.86986111111</v>
      </c>
      <c r="W224" t="s">
        <v>444</v>
      </c>
      <c r="X224">
        <v>43769.454467592594</v>
      </c>
      <c r="AB224" t="s">
        <v>9</v>
      </c>
      <c r="AC224" t="s">
        <v>3181</v>
      </c>
      <c r="AD224" t="s">
        <v>756</v>
      </c>
      <c r="AE224" t="s">
        <v>3292</v>
      </c>
      <c r="AF224" t="s">
        <v>3292</v>
      </c>
      <c r="AH224" t="s">
        <v>3182</v>
      </c>
      <c r="AI224" t="s">
        <v>3182</v>
      </c>
      <c r="AJ224" t="s">
        <v>3183</v>
      </c>
      <c r="AK224" t="s">
        <v>3184</v>
      </c>
      <c r="AL224" t="s">
        <v>3185</v>
      </c>
      <c r="AM224" t="s">
        <v>3186</v>
      </c>
      <c r="AO224" t="s">
        <v>3187</v>
      </c>
      <c r="AP224" t="s">
        <v>3188</v>
      </c>
      <c r="AS224">
        <v>0</v>
      </c>
      <c r="AT224" t="s">
        <v>3189</v>
      </c>
      <c r="AU224" t="s">
        <v>10</v>
      </c>
      <c r="AV224" t="s">
        <v>3190</v>
      </c>
      <c r="AW224" t="s">
        <v>3190</v>
      </c>
      <c r="AX224" t="s">
        <v>3191</v>
      </c>
      <c r="AY224" t="s">
        <v>3192</v>
      </c>
      <c r="BA224" t="s">
        <v>3193</v>
      </c>
      <c r="BB224" t="s">
        <v>766</v>
      </c>
      <c r="BC224" t="s">
        <v>765</v>
      </c>
      <c r="BD224">
        <v>400015</v>
      </c>
      <c r="BE224" t="s">
        <v>3293</v>
      </c>
      <c r="BG224" t="b">
        <v>0</v>
      </c>
      <c r="BH224" s="6" t="s">
        <v>3194</v>
      </c>
      <c r="BI224" t="s">
        <v>3195</v>
      </c>
      <c r="BJ224">
        <v>4453163191</v>
      </c>
      <c r="BK224" t="s">
        <v>162</v>
      </c>
      <c r="BL224" t="s">
        <v>161</v>
      </c>
      <c r="BM224" s="2"/>
      <c r="BO224" t="s">
        <v>89</v>
      </c>
      <c r="BP224">
        <v>39241000</v>
      </c>
      <c r="BR224" t="s">
        <v>180</v>
      </c>
      <c r="BS224" t="s">
        <v>103</v>
      </c>
      <c r="BU224">
        <v>0</v>
      </c>
      <c r="BV224">
        <v>76.260000000000005</v>
      </c>
      <c r="BW224">
        <v>0</v>
      </c>
      <c r="BX224">
        <v>0</v>
      </c>
      <c r="BY224">
        <v>0</v>
      </c>
      <c r="BZ224">
        <v>0</v>
      </c>
      <c r="CA224">
        <v>76.260000000000005</v>
      </c>
      <c r="CJ224" t="s">
        <v>1023</v>
      </c>
      <c r="CK224" t="s">
        <v>1509</v>
      </c>
      <c r="CL224">
        <v>43766.380601851852</v>
      </c>
      <c r="CO224" t="s">
        <v>11</v>
      </c>
      <c r="CP224">
        <v>544.74</v>
      </c>
      <c r="CQ224" t="s">
        <v>11</v>
      </c>
      <c r="CR224">
        <v>544.74</v>
      </c>
      <c r="CV224" t="s">
        <v>190</v>
      </c>
      <c r="CW224" t="s">
        <v>12</v>
      </c>
      <c r="CX224" t="s">
        <v>12</v>
      </c>
      <c r="CY224" t="s">
        <v>12</v>
      </c>
      <c r="DA224" t="s">
        <v>104</v>
      </c>
      <c r="DD224" t="s">
        <v>93</v>
      </c>
      <c r="DQ224" t="s">
        <v>94</v>
      </c>
      <c r="DR224" t="s">
        <v>94</v>
      </c>
      <c r="DS224" t="s">
        <v>94</v>
      </c>
      <c r="DT224" t="s">
        <v>94</v>
      </c>
      <c r="DU224" t="s">
        <v>94</v>
      </c>
      <c r="DV224" t="s">
        <v>94</v>
      </c>
      <c r="DW224" t="s">
        <v>94</v>
      </c>
      <c r="DX224" s="2" t="s">
        <v>94</v>
      </c>
      <c r="DY224" t="s">
        <v>94</v>
      </c>
      <c r="DZ224" t="s">
        <v>94</v>
      </c>
      <c r="EA224" t="s">
        <v>94</v>
      </c>
      <c r="EB224" t="s">
        <v>94</v>
      </c>
      <c r="EC224" t="s">
        <v>94</v>
      </c>
      <c r="ED224" t="s">
        <v>94</v>
      </c>
      <c r="EE224" t="s">
        <v>89</v>
      </c>
      <c r="EF224" t="s">
        <v>425</v>
      </c>
      <c r="EG224" t="s">
        <v>105</v>
      </c>
      <c r="EJ224" t="s">
        <v>166</v>
      </c>
      <c r="EK224" t="b">
        <v>0</v>
      </c>
      <c r="EL224" t="b">
        <v>0</v>
      </c>
      <c r="EM224" t="b">
        <v>0</v>
      </c>
    </row>
    <row r="225" spans="3:146">
      <c r="C225" s="4">
        <v>1</v>
      </c>
      <c r="D225" s="5"/>
      <c r="E225" s="4">
        <v>1</v>
      </c>
      <c r="F225" s="4">
        <v>3.6</v>
      </c>
      <c r="G225" s="5" t="s">
        <v>3294</v>
      </c>
      <c r="H225" s="4" t="s">
        <v>3079</v>
      </c>
      <c r="I225" s="4" t="s">
        <v>164</v>
      </c>
      <c r="J225" s="4"/>
      <c r="K225" s="22" t="s">
        <v>3196</v>
      </c>
      <c r="L225" s="84" t="s">
        <v>3197</v>
      </c>
      <c r="M225" s="23" t="s">
        <v>164</v>
      </c>
      <c r="N225" s="23">
        <v>43767</v>
      </c>
      <c r="O225" s="24" t="s">
        <v>102</v>
      </c>
      <c r="P225" s="24" t="s">
        <v>179</v>
      </c>
      <c r="Q225" s="24">
        <v>1</v>
      </c>
      <c r="R225" s="24">
        <v>3.6</v>
      </c>
      <c r="S225" t="s">
        <v>528</v>
      </c>
      <c r="T225" t="s">
        <v>3295</v>
      </c>
      <c r="U225" t="s">
        <v>163</v>
      </c>
      <c r="V225">
        <v>43767.868078703701</v>
      </c>
      <c r="W225" t="s">
        <v>444</v>
      </c>
      <c r="X225">
        <v>43769.459374999999</v>
      </c>
      <c r="AB225" t="s">
        <v>9</v>
      </c>
      <c r="AC225" t="s">
        <v>1255</v>
      </c>
      <c r="AD225" t="s">
        <v>3198</v>
      </c>
      <c r="AE225" t="s">
        <v>3296</v>
      </c>
      <c r="AF225" t="s">
        <v>3296</v>
      </c>
      <c r="AH225" t="s">
        <v>2470</v>
      </c>
      <c r="AI225" t="s">
        <v>2470</v>
      </c>
      <c r="AJ225" t="s">
        <v>1257</v>
      </c>
      <c r="AK225" t="s">
        <v>1258</v>
      </c>
      <c r="AL225" t="s">
        <v>3199</v>
      </c>
      <c r="AO225" t="s">
        <v>2472</v>
      </c>
      <c r="AP225" t="s">
        <v>1261</v>
      </c>
      <c r="AR225" t="s">
        <v>3297</v>
      </c>
      <c r="AS225">
        <v>63733245</v>
      </c>
      <c r="AT225" t="s">
        <v>3200</v>
      </c>
      <c r="AU225" t="s">
        <v>10</v>
      </c>
      <c r="AV225" t="s">
        <v>3201</v>
      </c>
      <c r="AW225" t="s">
        <v>3202</v>
      </c>
      <c r="AX225" t="s">
        <v>3203</v>
      </c>
      <c r="BA225" t="s">
        <v>194</v>
      </c>
      <c r="BB225" t="s">
        <v>272</v>
      </c>
      <c r="BD225">
        <v>610001</v>
      </c>
      <c r="BE225" t="s">
        <v>3298</v>
      </c>
      <c r="BF225" t="s">
        <v>3204</v>
      </c>
      <c r="BG225" t="b">
        <v>0</v>
      </c>
      <c r="BH225" s="6" t="s">
        <v>2478</v>
      </c>
      <c r="BI225" t="s">
        <v>3205</v>
      </c>
      <c r="BJ225">
        <v>4453163191</v>
      </c>
      <c r="BK225" t="s">
        <v>162</v>
      </c>
      <c r="BL225" t="s">
        <v>161</v>
      </c>
      <c r="BM225" s="2"/>
      <c r="BO225" t="s">
        <v>89</v>
      </c>
      <c r="BP225">
        <v>73269090</v>
      </c>
      <c r="BR225" t="s">
        <v>189</v>
      </c>
      <c r="BS225" t="s">
        <v>103</v>
      </c>
      <c r="BU225">
        <v>0</v>
      </c>
      <c r="BV225">
        <v>0</v>
      </c>
      <c r="BW225">
        <v>0</v>
      </c>
      <c r="BX225">
        <v>0</v>
      </c>
      <c r="BY225">
        <v>0</v>
      </c>
      <c r="BZ225">
        <v>0</v>
      </c>
      <c r="CA225">
        <v>0</v>
      </c>
      <c r="CJ225" t="s">
        <v>1023</v>
      </c>
      <c r="CK225" t="s">
        <v>1509</v>
      </c>
      <c r="CL225">
        <v>43767.583599537036</v>
      </c>
      <c r="CO225" t="s">
        <v>11</v>
      </c>
      <c r="CP225">
        <v>210.74</v>
      </c>
      <c r="CQ225" t="s">
        <v>11</v>
      </c>
      <c r="CR225">
        <v>210.74</v>
      </c>
      <c r="CW225" t="s">
        <v>12</v>
      </c>
      <c r="CX225" t="s">
        <v>12</v>
      </c>
      <c r="CY225" t="s">
        <v>12</v>
      </c>
      <c r="DA225" t="s">
        <v>104</v>
      </c>
      <c r="DQ225" t="s">
        <v>94</v>
      </c>
      <c r="DR225" t="s">
        <v>94</v>
      </c>
      <c r="DS225" t="s">
        <v>94</v>
      </c>
      <c r="DT225" t="s">
        <v>94</v>
      </c>
      <c r="DU225" t="s">
        <v>94</v>
      </c>
      <c r="DV225" t="s">
        <v>94</v>
      </c>
      <c r="DW225" t="s">
        <v>94</v>
      </c>
      <c r="DX225" s="2" t="s">
        <v>94</v>
      </c>
      <c r="DY225" t="s">
        <v>94</v>
      </c>
      <c r="DZ225" t="s">
        <v>94</v>
      </c>
      <c r="EA225" t="s">
        <v>94</v>
      </c>
      <c r="EB225" t="s">
        <v>94</v>
      </c>
      <c r="EC225" t="s">
        <v>94</v>
      </c>
      <c r="ED225" t="s">
        <v>94</v>
      </c>
      <c r="EE225" t="s">
        <v>89</v>
      </c>
      <c r="EF225" t="s">
        <v>425</v>
      </c>
      <c r="EG225" t="s">
        <v>105</v>
      </c>
      <c r="EJ225" t="s">
        <v>166</v>
      </c>
      <c r="EK225" t="b">
        <v>0</v>
      </c>
      <c r="EL225" t="b">
        <v>0</v>
      </c>
      <c r="EM225" t="b">
        <v>0</v>
      </c>
    </row>
    <row r="226" spans="3:146">
      <c r="C226" s="4">
        <v>1</v>
      </c>
      <c r="D226" s="5"/>
      <c r="E226" s="4">
        <v>1</v>
      </c>
      <c r="F226" s="4">
        <v>1.05</v>
      </c>
      <c r="G226" s="5" t="s">
        <v>3294</v>
      </c>
      <c r="H226" s="4" t="s">
        <v>3299</v>
      </c>
      <c r="I226" s="4" t="s">
        <v>164</v>
      </c>
      <c r="J226" s="4"/>
      <c r="K226" s="1" t="s">
        <v>3300</v>
      </c>
      <c r="L226" s="85" t="s">
        <v>3197</v>
      </c>
      <c r="M226" s="2" t="s">
        <v>164</v>
      </c>
      <c r="N226" s="2">
        <v>43767</v>
      </c>
      <c r="O226" t="s">
        <v>102</v>
      </c>
      <c r="P226" t="s">
        <v>179</v>
      </c>
      <c r="Q226">
        <v>1</v>
      </c>
      <c r="R226">
        <v>1.05</v>
      </c>
      <c r="S226" t="s">
        <v>528</v>
      </c>
      <c r="T226" t="s">
        <v>3067</v>
      </c>
      <c r="U226" t="s">
        <v>163</v>
      </c>
      <c r="V226">
        <v>43767.868148148147</v>
      </c>
      <c r="W226" t="s">
        <v>444</v>
      </c>
      <c r="X226">
        <v>43769.459374999999</v>
      </c>
      <c r="AB226" t="s">
        <v>9</v>
      </c>
      <c r="AC226" t="s">
        <v>3206</v>
      </c>
      <c r="AD226" t="s">
        <v>191</v>
      </c>
      <c r="AE226" t="s">
        <v>3301</v>
      </c>
      <c r="AF226" t="s">
        <v>3301</v>
      </c>
      <c r="AG226" t="s">
        <v>183</v>
      </c>
      <c r="AH226" t="s">
        <v>3207</v>
      </c>
      <c r="AI226" t="s">
        <v>3207</v>
      </c>
      <c r="AJ226" t="s">
        <v>508</v>
      </c>
      <c r="AK226" t="s">
        <v>509</v>
      </c>
      <c r="AL226" t="s">
        <v>3208</v>
      </c>
      <c r="AM226" t="s">
        <v>3209</v>
      </c>
      <c r="AO226" t="s">
        <v>3210</v>
      </c>
      <c r="AP226" t="s">
        <v>3211</v>
      </c>
      <c r="AR226" t="s">
        <v>3302</v>
      </c>
      <c r="AS226">
        <v>141316162</v>
      </c>
      <c r="AT226" t="s">
        <v>3212</v>
      </c>
      <c r="AU226" t="s">
        <v>10</v>
      </c>
      <c r="AV226" t="s">
        <v>3213</v>
      </c>
      <c r="AW226" t="s">
        <v>3213</v>
      </c>
      <c r="AX226" t="s">
        <v>3214</v>
      </c>
      <c r="AY226" t="s">
        <v>3215</v>
      </c>
      <c r="AZ226" t="s">
        <v>3216</v>
      </c>
      <c r="BA226" t="s">
        <v>371</v>
      </c>
      <c r="BB226" t="s">
        <v>192</v>
      </c>
      <c r="BC226" t="s">
        <v>188</v>
      </c>
      <c r="BD226">
        <v>523001</v>
      </c>
      <c r="BE226" t="s">
        <v>3303</v>
      </c>
      <c r="BF226" t="s">
        <v>3217</v>
      </c>
      <c r="BG226" t="b">
        <v>0</v>
      </c>
      <c r="BH226" s="6" t="s">
        <v>3218</v>
      </c>
      <c r="BI226" t="s">
        <v>3219</v>
      </c>
      <c r="BJ226">
        <v>4453163191</v>
      </c>
      <c r="BK226" t="s">
        <v>162</v>
      </c>
      <c r="BL226" t="s">
        <v>161</v>
      </c>
      <c r="BM226" s="2"/>
      <c r="BO226" t="s">
        <v>89</v>
      </c>
      <c r="BP226">
        <v>64051010</v>
      </c>
      <c r="BR226" t="s">
        <v>189</v>
      </c>
      <c r="BS226" t="s">
        <v>103</v>
      </c>
      <c r="BU226">
        <v>0</v>
      </c>
      <c r="BV226">
        <v>0</v>
      </c>
      <c r="BW226">
        <v>0</v>
      </c>
      <c r="BX226">
        <v>0</v>
      </c>
      <c r="BY226">
        <v>0</v>
      </c>
      <c r="BZ226">
        <v>0</v>
      </c>
      <c r="CA226">
        <v>0</v>
      </c>
      <c r="CJ226" t="s">
        <v>1023</v>
      </c>
      <c r="CK226" t="s">
        <v>1509</v>
      </c>
      <c r="CL226">
        <v>43767.564641203702</v>
      </c>
      <c r="CO226" t="s">
        <v>11</v>
      </c>
      <c r="CP226">
        <v>234.16</v>
      </c>
      <c r="CQ226" t="s">
        <v>11</v>
      </c>
      <c r="CR226">
        <v>234.16</v>
      </c>
      <c r="CV226" t="s">
        <v>190</v>
      </c>
      <c r="CW226" t="s">
        <v>12</v>
      </c>
      <c r="CX226" t="s">
        <v>12</v>
      </c>
      <c r="CY226" t="s">
        <v>12</v>
      </c>
      <c r="DA226" t="s">
        <v>104</v>
      </c>
      <c r="DD226" t="s">
        <v>93</v>
      </c>
      <c r="DQ226" t="s">
        <v>94</v>
      </c>
      <c r="DR226" t="s">
        <v>94</v>
      </c>
      <c r="DS226" t="s">
        <v>94</v>
      </c>
      <c r="DT226" t="s">
        <v>94</v>
      </c>
      <c r="DU226" t="s">
        <v>94</v>
      </c>
      <c r="DV226" t="s">
        <v>94</v>
      </c>
      <c r="DW226" t="s">
        <v>94</v>
      </c>
      <c r="DX226" s="2" t="s">
        <v>94</v>
      </c>
      <c r="DY226" t="s">
        <v>94</v>
      </c>
      <c r="DZ226" t="s">
        <v>94</v>
      </c>
      <c r="EA226" t="s">
        <v>94</v>
      </c>
      <c r="EB226" t="s">
        <v>94</v>
      </c>
      <c r="EC226" t="s">
        <v>94</v>
      </c>
      <c r="ED226" t="s">
        <v>94</v>
      </c>
      <c r="EE226" t="s">
        <v>89</v>
      </c>
      <c r="EF226" t="s">
        <v>425</v>
      </c>
      <c r="EG226" t="s">
        <v>105</v>
      </c>
      <c r="EJ226" t="s">
        <v>166</v>
      </c>
      <c r="EK226" t="b">
        <v>0</v>
      </c>
      <c r="EL226" t="b">
        <v>0</v>
      </c>
      <c r="EM226" t="b">
        <v>0</v>
      </c>
    </row>
    <row r="227" spans="3:146" ht="15">
      <c r="C227" s="82">
        <v>1</v>
      </c>
      <c r="D227" s="5"/>
      <c r="E227" s="4">
        <v>1</v>
      </c>
      <c r="F227" s="5">
        <v>1.5</v>
      </c>
      <c r="G227" s="5" t="s">
        <v>3304</v>
      </c>
      <c r="H227" s="4" t="s">
        <v>3284</v>
      </c>
      <c r="I227" s="81" t="s">
        <v>164</v>
      </c>
      <c r="J227" s="21"/>
      <c r="K227" s="22" t="s">
        <v>3170</v>
      </c>
      <c r="L227" s="84" t="s">
        <v>2813</v>
      </c>
      <c r="M227" s="23" t="s">
        <v>164</v>
      </c>
      <c r="N227" s="23">
        <v>43766</v>
      </c>
      <c r="O227" s="24" t="s">
        <v>102</v>
      </c>
      <c r="P227" s="24" t="s">
        <v>181</v>
      </c>
      <c r="Q227" s="24">
        <v>1</v>
      </c>
      <c r="R227" s="24">
        <v>1.5</v>
      </c>
      <c r="S227" t="s">
        <v>319</v>
      </c>
      <c r="T227" t="s">
        <v>3285</v>
      </c>
      <c r="U227" s="2" t="s">
        <v>163</v>
      </c>
      <c r="V227">
        <v>43766.869826388887</v>
      </c>
      <c r="W227" s="2" t="s">
        <v>444</v>
      </c>
      <c r="X227">
        <v>43769.454467592594</v>
      </c>
      <c r="AB227" t="s">
        <v>9</v>
      </c>
      <c r="AC227" t="s">
        <v>1347</v>
      </c>
      <c r="AD227" t="s">
        <v>191</v>
      </c>
      <c r="AE227" t="s">
        <v>3286</v>
      </c>
      <c r="AF227" t="s">
        <v>3286</v>
      </c>
      <c r="AG227" t="s">
        <v>183</v>
      </c>
      <c r="AH227" t="s">
        <v>3171</v>
      </c>
      <c r="AI227" t="s">
        <v>3171</v>
      </c>
      <c r="AJ227" t="s">
        <v>369</v>
      </c>
      <c r="AK227" t="s">
        <v>370</v>
      </c>
      <c r="AL227" t="s">
        <v>3172</v>
      </c>
      <c r="AO227" t="s">
        <v>3173</v>
      </c>
      <c r="AP227" t="s">
        <v>1351</v>
      </c>
      <c r="AQ227" t="s">
        <v>996</v>
      </c>
      <c r="AR227" t="s">
        <v>3287</v>
      </c>
      <c r="AS227">
        <v>6147872311</v>
      </c>
      <c r="AT227" t="s">
        <v>3174</v>
      </c>
      <c r="AU227" t="s">
        <v>10</v>
      </c>
      <c r="AV227" t="s">
        <v>3175</v>
      </c>
      <c r="AW227" t="s">
        <v>3175</v>
      </c>
      <c r="AX227" t="s">
        <v>3176</v>
      </c>
      <c r="AY227" s="2" t="s">
        <v>3177</v>
      </c>
      <c r="BA227" t="s">
        <v>726</v>
      </c>
      <c r="BB227" t="s">
        <v>192</v>
      </c>
      <c r="BC227" t="s">
        <v>188</v>
      </c>
      <c r="BD227">
        <v>523570</v>
      </c>
      <c r="BE227" t="s">
        <v>3288</v>
      </c>
      <c r="BF227" t="s">
        <v>3178</v>
      </c>
      <c r="BG227" t="b">
        <v>0</v>
      </c>
      <c r="BH227" s="6" t="s">
        <v>3179</v>
      </c>
      <c r="BI227" t="s">
        <v>3180</v>
      </c>
      <c r="BJ227">
        <v>4453163191</v>
      </c>
      <c r="BK227" t="s">
        <v>162</v>
      </c>
      <c r="BL227" t="s">
        <v>161</v>
      </c>
      <c r="BM227" s="2"/>
      <c r="BO227" t="s">
        <v>89</v>
      </c>
      <c r="BP227">
        <v>3926909090</v>
      </c>
      <c r="BR227" t="s">
        <v>189</v>
      </c>
      <c r="BS227" t="s">
        <v>103</v>
      </c>
      <c r="BU227">
        <v>318.27999999999997</v>
      </c>
      <c r="BV227">
        <v>455.14</v>
      </c>
      <c r="BW227">
        <v>0</v>
      </c>
      <c r="BX227">
        <v>0</v>
      </c>
      <c r="BY227">
        <v>0</v>
      </c>
      <c r="BZ227">
        <v>0</v>
      </c>
      <c r="CA227">
        <v>773.42</v>
      </c>
      <c r="CF227" s="2"/>
      <c r="CH227" s="2"/>
      <c r="CJ227" t="s">
        <v>1023</v>
      </c>
      <c r="CK227" t="s">
        <v>1509</v>
      </c>
      <c r="CL227">
        <v>43766.380578703705</v>
      </c>
      <c r="CO227" t="s">
        <v>11</v>
      </c>
      <c r="CP227">
        <v>3183.57</v>
      </c>
      <c r="CQ227" t="s">
        <v>11</v>
      </c>
      <c r="CR227">
        <v>3183.57</v>
      </c>
      <c r="CV227" t="s">
        <v>190</v>
      </c>
      <c r="CW227" t="s">
        <v>12</v>
      </c>
      <c r="CX227" t="s">
        <v>12</v>
      </c>
      <c r="CY227" t="s">
        <v>12</v>
      </c>
      <c r="DA227" t="s">
        <v>104</v>
      </c>
      <c r="DD227" t="s">
        <v>93</v>
      </c>
      <c r="DQ227" t="s">
        <v>94</v>
      </c>
      <c r="DR227" t="s">
        <v>94</v>
      </c>
      <c r="DS227" t="s">
        <v>94</v>
      </c>
      <c r="DT227" t="s">
        <v>94</v>
      </c>
      <c r="DU227" t="s">
        <v>94</v>
      </c>
      <c r="DV227" t="s">
        <v>94</v>
      </c>
      <c r="DW227" t="s">
        <v>94</v>
      </c>
      <c r="DX227" s="2" t="s">
        <v>94</v>
      </c>
      <c r="DY227" t="s">
        <v>94</v>
      </c>
      <c r="DZ227" t="s">
        <v>94</v>
      </c>
      <c r="EA227" t="s">
        <v>94</v>
      </c>
      <c r="EB227" t="s">
        <v>94</v>
      </c>
      <c r="EC227" t="s">
        <v>94</v>
      </c>
      <c r="ED227" t="s">
        <v>94</v>
      </c>
      <c r="EE227" t="s">
        <v>89</v>
      </c>
      <c r="EF227" t="s">
        <v>425</v>
      </c>
      <c r="EG227" t="s">
        <v>105</v>
      </c>
      <c r="EJ227" t="s">
        <v>166</v>
      </c>
      <c r="EK227" t="b">
        <v>0</v>
      </c>
      <c r="EL227" t="b">
        <v>0</v>
      </c>
      <c r="EM227" t="b">
        <v>0</v>
      </c>
    </row>
    <row r="228" spans="3:146">
      <c r="C228" s="4">
        <v>1</v>
      </c>
      <c r="D228" s="4"/>
      <c r="E228" s="4">
        <v>1</v>
      </c>
      <c r="F228" s="4">
        <v>5</v>
      </c>
      <c r="G228" s="5" t="s">
        <v>3304</v>
      </c>
      <c r="H228" s="4" t="s">
        <v>3289</v>
      </c>
      <c r="I228" s="4" t="s">
        <v>164</v>
      </c>
      <c r="J228" s="5"/>
      <c r="K228" s="22" t="s">
        <v>3290</v>
      </c>
      <c r="L228" s="84" t="s">
        <v>2813</v>
      </c>
      <c r="M228" s="23" t="s">
        <v>164</v>
      </c>
      <c r="N228" s="23">
        <v>43766</v>
      </c>
      <c r="O228" s="24" t="s">
        <v>102</v>
      </c>
      <c r="P228" s="24" t="s">
        <v>181</v>
      </c>
      <c r="Q228" s="24">
        <v>1</v>
      </c>
      <c r="R228" s="24">
        <v>5</v>
      </c>
      <c r="S228" t="s">
        <v>319</v>
      </c>
      <c r="T228" t="s">
        <v>3291</v>
      </c>
      <c r="U228" s="2" t="s">
        <v>163</v>
      </c>
      <c r="V228">
        <v>43766.86986111111</v>
      </c>
      <c r="W228" s="2" t="s">
        <v>444</v>
      </c>
      <c r="X228">
        <v>43769.454467592594</v>
      </c>
      <c r="AB228" t="s">
        <v>9</v>
      </c>
      <c r="AC228" t="s">
        <v>3181</v>
      </c>
      <c r="AD228" t="s">
        <v>756</v>
      </c>
      <c r="AE228" t="s">
        <v>3292</v>
      </c>
      <c r="AF228" t="s">
        <v>3292</v>
      </c>
      <c r="AH228" t="s">
        <v>3182</v>
      </c>
      <c r="AI228" t="s">
        <v>3182</v>
      </c>
      <c r="AJ228" t="s">
        <v>3183</v>
      </c>
      <c r="AK228" t="s">
        <v>3184</v>
      </c>
      <c r="AL228" t="s">
        <v>3185</v>
      </c>
      <c r="AM228" t="s">
        <v>3186</v>
      </c>
      <c r="AO228" t="s">
        <v>3187</v>
      </c>
      <c r="AP228" t="s">
        <v>3188</v>
      </c>
      <c r="AS228">
        <v>0</v>
      </c>
      <c r="AT228" t="s">
        <v>3189</v>
      </c>
      <c r="AU228" t="s">
        <v>10</v>
      </c>
      <c r="AV228" t="s">
        <v>3190</v>
      </c>
      <c r="AW228" t="s">
        <v>3190</v>
      </c>
      <c r="AX228" t="s">
        <v>3191</v>
      </c>
      <c r="AY228" t="s">
        <v>3192</v>
      </c>
      <c r="BA228" t="s">
        <v>3193</v>
      </c>
      <c r="BB228" t="s">
        <v>766</v>
      </c>
      <c r="BC228" t="s">
        <v>765</v>
      </c>
      <c r="BD228">
        <v>400015</v>
      </c>
      <c r="BE228" t="s">
        <v>3293</v>
      </c>
      <c r="BG228" t="b">
        <v>0</v>
      </c>
      <c r="BH228" s="6" t="s">
        <v>3194</v>
      </c>
      <c r="BI228" t="s">
        <v>3195</v>
      </c>
      <c r="BJ228">
        <v>4453163191</v>
      </c>
      <c r="BK228" t="s">
        <v>162</v>
      </c>
      <c r="BL228" t="s">
        <v>161</v>
      </c>
      <c r="BM228" s="2"/>
      <c r="BO228" t="s">
        <v>89</v>
      </c>
      <c r="BP228">
        <v>39241000</v>
      </c>
      <c r="BR228" t="s">
        <v>180</v>
      </c>
      <c r="BS228" t="s">
        <v>103</v>
      </c>
      <c r="BU228">
        <v>0</v>
      </c>
      <c r="BV228">
        <v>76.260000000000005</v>
      </c>
      <c r="BW228">
        <v>0</v>
      </c>
      <c r="BX228">
        <v>0</v>
      </c>
      <c r="BY228">
        <v>0</v>
      </c>
      <c r="BZ228">
        <v>0</v>
      </c>
      <c r="CA228">
        <v>76.260000000000005</v>
      </c>
      <c r="CF228" s="2"/>
      <c r="CH228" s="2"/>
      <c r="CJ228" t="s">
        <v>1023</v>
      </c>
      <c r="CK228" t="s">
        <v>1509</v>
      </c>
      <c r="CL228">
        <v>43766.380601851852</v>
      </c>
      <c r="CO228" t="s">
        <v>11</v>
      </c>
      <c r="CP228">
        <v>544.74</v>
      </c>
      <c r="CQ228" t="s">
        <v>11</v>
      </c>
      <c r="CR228">
        <v>544.74</v>
      </c>
      <c r="CV228" t="s">
        <v>190</v>
      </c>
      <c r="CW228" t="s">
        <v>12</v>
      </c>
      <c r="CX228" t="s">
        <v>12</v>
      </c>
      <c r="CY228" t="s">
        <v>12</v>
      </c>
      <c r="DA228" t="s">
        <v>104</v>
      </c>
      <c r="DD228" t="s">
        <v>93</v>
      </c>
      <c r="DQ228" t="s">
        <v>94</v>
      </c>
      <c r="DR228" t="s">
        <v>94</v>
      </c>
      <c r="DS228" t="s">
        <v>94</v>
      </c>
      <c r="DT228" t="s">
        <v>94</v>
      </c>
      <c r="DU228" t="s">
        <v>94</v>
      </c>
      <c r="DV228" t="s">
        <v>94</v>
      </c>
      <c r="DW228" t="s">
        <v>94</v>
      </c>
      <c r="DX228" s="2" t="s">
        <v>94</v>
      </c>
      <c r="DY228" t="s">
        <v>94</v>
      </c>
      <c r="DZ228" t="s">
        <v>94</v>
      </c>
      <c r="EA228" t="s">
        <v>94</v>
      </c>
      <c r="EB228" t="s">
        <v>94</v>
      </c>
      <c r="EC228" t="s">
        <v>94</v>
      </c>
      <c r="ED228" t="s">
        <v>94</v>
      </c>
      <c r="EE228" t="s">
        <v>89</v>
      </c>
      <c r="EF228" t="s">
        <v>425</v>
      </c>
      <c r="EG228" t="s">
        <v>105</v>
      </c>
      <c r="EJ228" t="s">
        <v>166</v>
      </c>
      <c r="EK228" t="b">
        <v>0</v>
      </c>
      <c r="EL228" t="b">
        <v>0</v>
      </c>
      <c r="EM228" t="b">
        <v>0</v>
      </c>
    </row>
    <row r="229" spans="3:146" ht="15">
      <c r="C229" s="82">
        <v>1</v>
      </c>
      <c r="D229" s="5"/>
      <c r="E229" s="4">
        <v>1</v>
      </c>
      <c r="F229" s="5">
        <v>1.5</v>
      </c>
      <c r="G229" s="5" t="s">
        <v>3305</v>
      </c>
      <c r="H229" s="4" t="s">
        <v>3284</v>
      </c>
      <c r="I229" s="81" t="s">
        <v>164</v>
      </c>
      <c r="J229" s="21"/>
      <c r="K229" s="22" t="s">
        <v>3170</v>
      </c>
      <c r="L229" s="84" t="s">
        <v>2813</v>
      </c>
      <c r="M229" s="23" t="s">
        <v>164</v>
      </c>
      <c r="N229" s="23">
        <v>43766</v>
      </c>
      <c r="O229" s="24" t="s">
        <v>102</v>
      </c>
      <c r="P229" s="24" t="s">
        <v>181</v>
      </c>
      <c r="Q229" s="24">
        <v>1</v>
      </c>
      <c r="R229" s="24">
        <v>1.5</v>
      </c>
      <c r="S229" t="s">
        <v>319</v>
      </c>
      <c r="T229" t="s">
        <v>3285</v>
      </c>
      <c r="U229" s="2" t="s">
        <v>163</v>
      </c>
      <c r="V229">
        <v>43766.869826388887</v>
      </c>
      <c r="W229" s="2" t="s">
        <v>444</v>
      </c>
      <c r="X229">
        <v>43769.454467592594</v>
      </c>
      <c r="AB229" t="s">
        <v>9</v>
      </c>
      <c r="AC229" t="s">
        <v>1347</v>
      </c>
      <c r="AD229" t="s">
        <v>191</v>
      </c>
      <c r="AE229" t="s">
        <v>3286</v>
      </c>
      <c r="AF229" t="s">
        <v>3286</v>
      </c>
      <c r="AG229" t="s">
        <v>183</v>
      </c>
      <c r="AH229" t="s">
        <v>3171</v>
      </c>
      <c r="AI229" t="s">
        <v>3171</v>
      </c>
      <c r="AJ229" t="s">
        <v>369</v>
      </c>
      <c r="AK229" t="s">
        <v>370</v>
      </c>
      <c r="AL229" t="s">
        <v>3172</v>
      </c>
      <c r="AO229" t="s">
        <v>3173</v>
      </c>
      <c r="AP229" t="s">
        <v>1351</v>
      </c>
      <c r="AQ229" t="s">
        <v>996</v>
      </c>
      <c r="AR229" t="s">
        <v>3287</v>
      </c>
      <c r="AS229">
        <v>6147872311</v>
      </c>
      <c r="AT229" t="s">
        <v>3174</v>
      </c>
      <c r="AU229" t="s">
        <v>10</v>
      </c>
      <c r="AV229" t="s">
        <v>3175</v>
      </c>
      <c r="AW229" t="s">
        <v>3175</v>
      </c>
      <c r="AX229" t="s">
        <v>3176</v>
      </c>
      <c r="AY229" s="2" t="s">
        <v>3177</v>
      </c>
      <c r="BA229" t="s">
        <v>726</v>
      </c>
      <c r="BB229" t="s">
        <v>192</v>
      </c>
      <c r="BC229" t="s">
        <v>188</v>
      </c>
      <c r="BD229">
        <v>523570</v>
      </c>
      <c r="BE229" t="s">
        <v>3288</v>
      </c>
      <c r="BF229" t="s">
        <v>3178</v>
      </c>
      <c r="BG229" t="b">
        <v>0</v>
      </c>
      <c r="BH229" s="6" t="s">
        <v>3179</v>
      </c>
      <c r="BI229" t="s">
        <v>3180</v>
      </c>
      <c r="BJ229">
        <v>4453163191</v>
      </c>
      <c r="BK229" t="s">
        <v>162</v>
      </c>
      <c r="BL229" t="s">
        <v>161</v>
      </c>
      <c r="BM229" s="2"/>
      <c r="BO229" t="s">
        <v>89</v>
      </c>
      <c r="BP229">
        <v>3926909090</v>
      </c>
      <c r="BR229" t="s">
        <v>189</v>
      </c>
      <c r="BS229" t="s">
        <v>103</v>
      </c>
      <c r="BU229">
        <v>318.27999999999997</v>
      </c>
      <c r="BV229">
        <v>455.14</v>
      </c>
      <c r="BW229">
        <v>0</v>
      </c>
      <c r="BX229">
        <v>0</v>
      </c>
      <c r="BY229">
        <v>0</v>
      </c>
      <c r="BZ229">
        <v>0</v>
      </c>
      <c r="CA229">
        <v>773.42</v>
      </c>
      <c r="CF229" s="2"/>
      <c r="CH229" s="2"/>
      <c r="CJ229" t="s">
        <v>1023</v>
      </c>
      <c r="CK229" t="s">
        <v>1509</v>
      </c>
      <c r="CL229">
        <v>43766.380578703705</v>
      </c>
      <c r="CO229" t="s">
        <v>11</v>
      </c>
      <c r="CP229">
        <v>3183.57</v>
      </c>
      <c r="CQ229" t="s">
        <v>11</v>
      </c>
      <c r="CR229">
        <v>3183.57</v>
      </c>
      <c r="CV229" t="s">
        <v>190</v>
      </c>
      <c r="CW229" t="s">
        <v>12</v>
      </c>
      <c r="CX229" t="s">
        <v>12</v>
      </c>
      <c r="CY229" t="s">
        <v>12</v>
      </c>
      <c r="DA229" t="s">
        <v>104</v>
      </c>
      <c r="DD229" t="s">
        <v>93</v>
      </c>
      <c r="DQ229" t="s">
        <v>94</v>
      </c>
      <c r="DR229" t="s">
        <v>94</v>
      </c>
      <c r="DS229" t="s">
        <v>94</v>
      </c>
      <c r="DT229" t="s">
        <v>94</v>
      </c>
      <c r="DU229" t="s">
        <v>94</v>
      </c>
      <c r="DV229" t="s">
        <v>94</v>
      </c>
      <c r="DW229" t="s">
        <v>94</v>
      </c>
      <c r="DX229" s="2" t="s">
        <v>94</v>
      </c>
      <c r="DY229" t="s">
        <v>94</v>
      </c>
      <c r="DZ229" t="s">
        <v>94</v>
      </c>
      <c r="EA229" t="s">
        <v>94</v>
      </c>
      <c r="EB229" t="s">
        <v>94</v>
      </c>
      <c r="EC229" t="s">
        <v>94</v>
      </c>
      <c r="ED229" t="s">
        <v>94</v>
      </c>
      <c r="EE229" t="s">
        <v>89</v>
      </c>
      <c r="EF229" t="s">
        <v>425</v>
      </c>
      <c r="EG229" t="s">
        <v>105</v>
      </c>
      <c r="EJ229" t="s">
        <v>166</v>
      </c>
      <c r="EK229" t="b">
        <v>0</v>
      </c>
      <c r="EL229" t="b">
        <v>0</v>
      </c>
      <c r="EM229" t="b">
        <v>0</v>
      </c>
    </row>
    <row r="230" spans="3:146">
      <c r="C230" s="4">
        <v>1</v>
      </c>
      <c r="D230" s="4"/>
      <c r="E230" s="4">
        <v>1</v>
      </c>
      <c r="F230" s="4">
        <v>5</v>
      </c>
      <c r="G230" s="5" t="s">
        <v>3305</v>
      </c>
      <c r="H230" s="4" t="s">
        <v>3289</v>
      </c>
      <c r="I230" s="4" t="s">
        <v>164</v>
      </c>
      <c r="J230" s="5"/>
      <c r="K230" s="22" t="s">
        <v>3290</v>
      </c>
      <c r="L230" s="84" t="s">
        <v>2813</v>
      </c>
      <c r="M230" s="23" t="s">
        <v>164</v>
      </c>
      <c r="N230" s="23">
        <v>43766</v>
      </c>
      <c r="O230" s="24" t="s">
        <v>102</v>
      </c>
      <c r="P230" s="24" t="s">
        <v>181</v>
      </c>
      <c r="Q230" s="24">
        <v>1</v>
      </c>
      <c r="R230" s="24">
        <v>5</v>
      </c>
      <c r="S230" t="s">
        <v>319</v>
      </c>
      <c r="T230" t="s">
        <v>3291</v>
      </c>
      <c r="U230" s="2" t="s">
        <v>163</v>
      </c>
      <c r="V230">
        <v>43766.86986111111</v>
      </c>
      <c r="W230" s="2" t="s">
        <v>444</v>
      </c>
      <c r="X230">
        <v>43769.454467592594</v>
      </c>
      <c r="AB230" t="s">
        <v>9</v>
      </c>
      <c r="AC230" t="s">
        <v>3181</v>
      </c>
      <c r="AD230" t="s">
        <v>756</v>
      </c>
      <c r="AE230" t="s">
        <v>3292</v>
      </c>
      <c r="AF230" t="s">
        <v>3292</v>
      </c>
      <c r="AH230" t="s">
        <v>3182</v>
      </c>
      <c r="AI230" t="s">
        <v>3182</v>
      </c>
      <c r="AJ230" t="s">
        <v>3183</v>
      </c>
      <c r="AK230" t="s">
        <v>3184</v>
      </c>
      <c r="AL230" t="s">
        <v>3185</v>
      </c>
      <c r="AM230" t="s">
        <v>3186</v>
      </c>
      <c r="AO230" t="s">
        <v>3187</v>
      </c>
      <c r="AP230" t="s">
        <v>3188</v>
      </c>
      <c r="AS230">
        <v>0</v>
      </c>
      <c r="AT230" t="s">
        <v>3189</v>
      </c>
      <c r="AU230" t="s">
        <v>10</v>
      </c>
      <c r="AV230" t="s">
        <v>3190</v>
      </c>
      <c r="AW230" t="s">
        <v>3190</v>
      </c>
      <c r="AX230" t="s">
        <v>3191</v>
      </c>
      <c r="AY230" t="s">
        <v>3192</v>
      </c>
      <c r="BA230" t="s">
        <v>3193</v>
      </c>
      <c r="BB230" t="s">
        <v>766</v>
      </c>
      <c r="BC230" t="s">
        <v>765</v>
      </c>
      <c r="BD230">
        <v>400015</v>
      </c>
      <c r="BE230" t="s">
        <v>3293</v>
      </c>
      <c r="BG230" t="b">
        <v>0</v>
      </c>
      <c r="BH230" s="6" t="s">
        <v>3194</v>
      </c>
      <c r="BI230" t="s">
        <v>3195</v>
      </c>
      <c r="BJ230">
        <v>4453163191</v>
      </c>
      <c r="BK230" t="s">
        <v>162</v>
      </c>
      <c r="BL230" t="s">
        <v>161</v>
      </c>
      <c r="BM230" s="2"/>
      <c r="BO230" t="s">
        <v>89</v>
      </c>
      <c r="BP230">
        <v>39241000</v>
      </c>
      <c r="BR230" t="s">
        <v>180</v>
      </c>
      <c r="BS230" t="s">
        <v>103</v>
      </c>
      <c r="BU230">
        <v>0</v>
      </c>
      <c r="BV230">
        <v>76.260000000000005</v>
      </c>
      <c r="BW230">
        <v>0</v>
      </c>
      <c r="BX230">
        <v>0</v>
      </c>
      <c r="BY230">
        <v>0</v>
      </c>
      <c r="BZ230">
        <v>0</v>
      </c>
      <c r="CA230">
        <v>76.260000000000005</v>
      </c>
      <c r="CF230" s="2"/>
      <c r="CH230" s="2"/>
      <c r="CJ230" t="s">
        <v>1023</v>
      </c>
      <c r="CK230" t="s">
        <v>1509</v>
      </c>
      <c r="CL230">
        <v>43766.380601851852</v>
      </c>
      <c r="CO230" t="s">
        <v>11</v>
      </c>
      <c r="CP230">
        <v>544.74</v>
      </c>
      <c r="CQ230" t="s">
        <v>11</v>
      </c>
      <c r="CR230">
        <v>544.74</v>
      </c>
      <c r="CV230" t="s">
        <v>190</v>
      </c>
      <c r="CW230" t="s">
        <v>12</v>
      </c>
      <c r="CX230" t="s">
        <v>12</v>
      </c>
      <c r="CY230" t="s">
        <v>12</v>
      </c>
      <c r="DA230" t="s">
        <v>104</v>
      </c>
      <c r="DD230" t="s">
        <v>93</v>
      </c>
      <c r="DQ230" t="s">
        <v>94</v>
      </c>
      <c r="DR230" t="s">
        <v>94</v>
      </c>
      <c r="DS230" t="s">
        <v>94</v>
      </c>
      <c r="DT230" t="s">
        <v>94</v>
      </c>
      <c r="DU230" t="s">
        <v>94</v>
      </c>
      <c r="DV230" t="s">
        <v>94</v>
      </c>
      <c r="DW230" t="s">
        <v>94</v>
      </c>
      <c r="DX230" s="2" t="s">
        <v>94</v>
      </c>
      <c r="DY230" t="s">
        <v>94</v>
      </c>
      <c r="DZ230" t="s">
        <v>94</v>
      </c>
      <c r="EA230" t="s">
        <v>94</v>
      </c>
      <c r="EB230" t="s">
        <v>94</v>
      </c>
      <c r="EC230" t="s">
        <v>94</v>
      </c>
      <c r="ED230" t="s">
        <v>94</v>
      </c>
      <c r="EE230" t="s">
        <v>89</v>
      </c>
      <c r="EF230" t="s">
        <v>425</v>
      </c>
      <c r="EG230" t="s">
        <v>105</v>
      </c>
      <c r="EJ230" t="s">
        <v>166</v>
      </c>
      <c r="EK230" t="b">
        <v>0</v>
      </c>
      <c r="EL230" t="b">
        <v>0</v>
      </c>
      <c r="EM230" t="b">
        <v>0</v>
      </c>
    </row>
    <row r="231" spans="3:146" ht="15">
      <c r="C231" s="82">
        <v>3</v>
      </c>
      <c r="D231" s="5"/>
      <c r="E231" s="4">
        <v>1</v>
      </c>
      <c r="F231" s="5">
        <v>3.6</v>
      </c>
      <c r="G231" s="5" t="s">
        <v>3306</v>
      </c>
      <c r="H231" s="4" t="s">
        <v>3079</v>
      </c>
      <c r="I231" s="81" t="s">
        <v>164</v>
      </c>
      <c r="J231" s="21"/>
      <c r="K231" s="22" t="s">
        <v>3196</v>
      </c>
      <c r="L231" s="84" t="s">
        <v>3197</v>
      </c>
      <c r="M231" s="23" t="s">
        <v>164</v>
      </c>
      <c r="N231" s="23">
        <v>43767</v>
      </c>
      <c r="O231" s="24" t="s">
        <v>102</v>
      </c>
      <c r="P231" s="24" t="s">
        <v>179</v>
      </c>
      <c r="Q231" s="24">
        <v>1</v>
      </c>
      <c r="R231" s="24">
        <v>3.6</v>
      </c>
      <c r="S231" t="s">
        <v>528</v>
      </c>
      <c r="T231" t="s">
        <v>3295</v>
      </c>
      <c r="U231" s="2" t="s">
        <v>163</v>
      </c>
      <c r="V231">
        <v>43767.868078703701</v>
      </c>
      <c r="W231" s="2" t="s">
        <v>444</v>
      </c>
      <c r="X231">
        <v>43769.459374999999</v>
      </c>
      <c r="AB231" t="s">
        <v>9</v>
      </c>
      <c r="AC231" t="s">
        <v>1255</v>
      </c>
      <c r="AD231" t="s">
        <v>3198</v>
      </c>
      <c r="AE231" t="s">
        <v>3296</v>
      </c>
      <c r="AF231" t="s">
        <v>3296</v>
      </c>
      <c r="AH231" t="s">
        <v>2470</v>
      </c>
      <c r="AI231" t="s">
        <v>2470</v>
      </c>
      <c r="AJ231" t="s">
        <v>1257</v>
      </c>
      <c r="AK231" t="s">
        <v>1258</v>
      </c>
      <c r="AL231" t="s">
        <v>3199</v>
      </c>
      <c r="AO231" t="s">
        <v>2472</v>
      </c>
      <c r="AP231" t="s">
        <v>1261</v>
      </c>
      <c r="AR231" t="s">
        <v>3297</v>
      </c>
      <c r="AS231">
        <v>63733245</v>
      </c>
      <c r="AT231" t="s">
        <v>3200</v>
      </c>
      <c r="AU231" t="s">
        <v>10</v>
      </c>
      <c r="AV231" t="s">
        <v>3201</v>
      </c>
      <c r="AW231" t="s">
        <v>3202</v>
      </c>
      <c r="AX231" t="s">
        <v>3203</v>
      </c>
      <c r="AY231" s="2"/>
      <c r="BA231" t="s">
        <v>194</v>
      </c>
      <c r="BB231" t="s">
        <v>272</v>
      </c>
      <c r="BD231">
        <v>610001</v>
      </c>
      <c r="BE231" t="s">
        <v>3298</v>
      </c>
      <c r="BF231" t="s">
        <v>3204</v>
      </c>
      <c r="BG231" t="b">
        <v>0</v>
      </c>
      <c r="BH231" s="6" t="s">
        <v>2478</v>
      </c>
      <c r="BI231" t="s">
        <v>3205</v>
      </c>
      <c r="BJ231">
        <v>4453163191</v>
      </c>
      <c r="BK231" t="s">
        <v>162</v>
      </c>
      <c r="BL231" t="s">
        <v>161</v>
      </c>
      <c r="BM231" s="2"/>
      <c r="BO231" t="s">
        <v>89</v>
      </c>
      <c r="BP231">
        <v>73269090</v>
      </c>
      <c r="BR231" t="s">
        <v>189</v>
      </c>
      <c r="BS231" t="s">
        <v>103</v>
      </c>
      <c r="BU231">
        <v>0</v>
      </c>
      <c r="BV231">
        <v>0</v>
      </c>
      <c r="BW231">
        <v>0</v>
      </c>
      <c r="BX231">
        <v>0</v>
      </c>
      <c r="BY231">
        <v>0</v>
      </c>
      <c r="BZ231">
        <v>0</v>
      </c>
      <c r="CA231">
        <v>0</v>
      </c>
      <c r="CF231" s="2"/>
      <c r="CH231" s="2"/>
      <c r="CJ231" t="s">
        <v>1023</v>
      </c>
      <c r="CK231" t="s">
        <v>1509</v>
      </c>
      <c r="CL231">
        <v>43767.583599537036</v>
      </c>
      <c r="CO231" t="s">
        <v>11</v>
      </c>
      <c r="CP231">
        <v>210.74</v>
      </c>
      <c r="CQ231" t="s">
        <v>11</v>
      </c>
      <c r="CR231">
        <v>210.74</v>
      </c>
      <c r="CW231" t="s">
        <v>12</v>
      </c>
      <c r="CX231" t="s">
        <v>12</v>
      </c>
      <c r="CY231" t="s">
        <v>12</v>
      </c>
      <c r="DA231" t="s">
        <v>104</v>
      </c>
      <c r="DQ231" t="s">
        <v>94</v>
      </c>
      <c r="DR231" t="s">
        <v>94</v>
      </c>
      <c r="DS231" t="s">
        <v>94</v>
      </c>
      <c r="DT231" t="s">
        <v>94</v>
      </c>
      <c r="DU231" t="s">
        <v>94</v>
      </c>
      <c r="DV231" t="s">
        <v>94</v>
      </c>
      <c r="DW231" t="s">
        <v>94</v>
      </c>
      <c r="DX231" s="2" t="s">
        <v>94</v>
      </c>
      <c r="DY231" t="s">
        <v>94</v>
      </c>
      <c r="DZ231" t="s">
        <v>94</v>
      </c>
      <c r="EA231" t="s">
        <v>94</v>
      </c>
      <c r="EB231" t="s">
        <v>94</v>
      </c>
      <c r="EC231" t="s">
        <v>94</v>
      </c>
      <c r="ED231" t="s">
        <v>94</v>
      </c>
      <c r="EE231" t="s">
        <v>89</v>
      </c>
      <c r="EF231" t="s">
        <v>425</v>
      </c>
      <c r="EG231" t="s">
        <v>105</v>
      </c>
      <c r="EJ231" t="s">
        <v>166</v>
      </c>
      <c r="EK231" t="b">
        <v>0</v>
      </c>
      <c r="EL231" t="b">
        <v>0</v>
      </c>
      <c r="EM231" t="b">
        <v>0</v>
      </c>
    </row>
    <row r="232" spans="3:146">
      <c r="C232" s="4">
        <v>3</v>
      </c>
      <c r="D232" s="4"/>
      <c r="E232" s="4">
        <v>1</v>
      </c>
      <c r="F232" s="4">
        <v>1.05</v>
      </c>
      <c r="G232" s="5" t="s">
        <v>3306</v>
      </c>
      <c r="H232" s="4" t="s">
        <v>3299</v>
      </c>
      <c r="I232" s="4" t="s">
        <v>164</v>
      </c>
      <c r="J232" s="5"/>
      <c r="K232" s="22" t="s">
        <v>3300</v>
      </c>
      <c r="L232" s="84" t="s">
        <v>3197</v>
      </c>
      <c r="M232" s="23" t="s">
        <v>164</v>
      </c>
      <c r="N232" s="23">
        <v>43767</v>
      </c>
      <c r="O232" s="24" t="s">
        <v>102</v>
      </c>
      <c r="P232" s="24" t="s">
        <v>179</v>
      </c>
      <c r="Q232" s="24">
        <v>1</v>
      </c>
      <c r="R232" s="24">
        <v>1.05</v>
      </c>
      <c r="S232" t="s">
        <v>528</v>
      </c>
      <c r="T232" t="s">
        <v>3067</v>
      </c>
      <c r="U232" s="2" t="s">
        <v>163</v>
      </c>
      <c r="V232">
        <v>43767.868148148147</v>
      </c>
      <c r="W232" s="2" t="s">
        <v>444</v>
      </c>
      <c r="X232">
        <v>43769.459374999999</v>
      </c>
      <c r="AB232" t="s">
        <v>9</v>
      </c>
      <c r="AC232" t="s">
        <v>3206</v>
      </c>
      <c r="AD232" t="s">
        <v>191</v>
      </c>
      <c r="AE232" t="s">
        <v>3301</v>
      </c>
      <c r="AF232" t="s">
        <v>3301</v>
      </c>
      <c r="AG232" t="s">
        <v>183</v>
      </c>
      <c r="AH232" t="s">
        <v>3207</v>
      </c>
      <c r="AI232" t="s">
        <v>3207</v>
      </c>
      <c r="AJ232" t="s">
        <v>508</v>
      </c>
      <c r="AK232" t="s">
        <v>509</v>
      </c>
      <c r="AL232" t="s">
        <v>3208</v>
      </c>
      <c r="AM232" t="s">
        <v>3209</v>
      </c>
      <c r="AO232" t="s">
        <v>3210</v>
      </c>
      <c r="AP232" t="s">
        <v>3211</v>
      </c>
      <c r="AR232" t="s">
        <v>3302</v>
      </c>
      <c r="AS232">
        <v>141316162</v>
      </c>
      <c r="AT232" t="s">
        <v>3212</v>
      </c>
      <c r="AU232" t="s">
        <v>10</v>
      </c>
      <c r="AV232" t="s">
        <v>3213</v>
      </c>
      <c r="AW232" t="s">
        <v>3213</v>
      </c>
      <c r="AX232" t="s">
        <v>3214</v>
      </c>
      <c r="AY232" t="s">
        <v>3215</v>
      </c>
      <c r="AZ232" t="s">
        <v>3216</v>
      </c>
      <c r="BA232" t="s">
        <v>371</v>
      </c>
      <c r="BB232" t="s">
        <v>192</v>
      </c>
      <c r="BC232" t="s">
        <v>188</v>
      </c>
      <c r="BD232">
        <v>523001</v>
      </c>
      <c r="BE232" t="s">
        <v>3303</v>
      </c>
      <c r="BF232" t="s">
        <v>3217</v>
      </c>
      <c r="BG232" t="b">
        <v>0</v>
      </c>
      <c r="BH232" s="6" t="s">
        <v>3218</v>
      </c>
      <c r="BI232" t="s">
        <v>3219</v>
      </c>
      <c r="BJ232">
        <v>4453163191</v>
      </c>
      <c r="BK232" t="s">
        <v>162</v>
      </c>
      <c r="BL232" t="s">
        <v>161</v>
      </c>
      <c r="BM232" s="2"/>
      <c r="BO232" t="s">
        <v>89</v>
      </c>
      <c r="BP232">
        <v>64051010</v>
      </c>
      <c r="BR232" t="s">
        <v>189</v>
      </c>
      <c r="BS232" t="s">
        <v>103</v>
      </c>
      <c r="BU232">
        <v>0</v>
      </c>
      <c r="BV232">
        <v>0</v>
      </c>
      <c r="BW232">
        <v>0</v>
      </c>
      <c r="BX232">
        <v>0</v>
      </c>
      <c r="BY232">
        <v>0</v>
      </c>
      <c r="BZ232">
        <v>0</v>
      </c>
      <c r="CA232">
        <v>0</v>
      </c>
      <c r="CF232" s="2"/>
      <c r="CH232" s="2"/>
      <c r="CJ232" t="s">
        <v>1023</v>
      </c>
      <c r="CK232" t="s">
        <v>1509</v>
      </c>
      <c r="CL232">
        <v>43767.564641203702</v>
      </c>
      <c r="CO232" t="s">
        <v>11</v>
      </c>
      <c r="CP232">
        <v>234.16</v>
      </c>
      <c r="CQ232" t="s">
        <v>11</v>
      </c>
      <c r="CR232">
        <v>234.16</v>
      </c>
      <c r="CV232" t="s">
        <v>190</v>
      </c>
      <c r="CW232" t="s">
        <v>12</v>
      </c>
      <c r="CX232" t="s">
        <v>12</v>
      </c>
      <c r="CY232" t="s">
        <v>12</v>
      </c>
      <c r="DA232" t="s">
        <v>104</v>
      </c>
      <c r="DD232" t="s">
        <v>93</v>
      </c>
      <c r="DQ232" t="s">
        <v>94</v>
      </c>
      <c r="DR232" t="s">
        <v>94</v>
      </c>
      <c r="DS232" t="s">
        <v>94</v>
      </c>
      <c r="DT232" t="s">
        <v>94</v>
      </c>
      <c r="DU232" t="s">
        <v>94</v>
      </c>
      <c r="DV232" t="s">
        <v>94</v>
      </c>
      <c r="DW232" t="s">
        <v>94</v>
      </c>
      <c r="DX232" s="2" t="s">
        <v>94</v>
      </c>
      <c r="DY232" t="s">
        <v>94</v>
      </c>
      <c r="DZ232" t="s">
        <v>94</v>
      </c>
      <c r="EA232" t="s">
        <v>94</v>
      </c>
      <c r="EB232" t="s">
        <v>94</v>
      </c>
      <c r="EC232" t="s">
        <v>94</v>
      </c>
      <c r="ED232" t="s">
        <v>94</v>
      </c>
      <c r="EE232" t="s">
        <v>89</v>
      </c>
      <c r="EF232" t="s">
        <v>425</v>
      </c>
      <c r="EG232" t="s">
        <v>105</v>
      </c>
      <c r="EJ232" t="s">
        <v>166</v>
      </c>
      <c r="EK232" t="b">
        <v>0</v>
      </c>
      <c r="EL232" t="b">
        <v>0</v>
      </c>
      <c r="EM232" t="b">
        <v>0</v>
      </c>
    </row>
    <row r="233" spans="3:146" ht="15">
      <c r="C233" s="82">
        <v>12</v>
      </c>
      <c r="D233" s="5"/>
      <c r="E233" s="4">
        <v>1</v>
      </c>
      <c r="F233" s="5">
        <v>0.02</v>
      </c>
      <c r="G233" s="5" t="s">
        <v>3307</v>
      </c>
      <c r="H233" s="4" t="s">
        <v>3268</v>
      </c>
      <c r="I233" s="81" t="s">
        <v>164</v>
      </c>
      <c r="J233" s="21"/>
      <c r="K233" s="22" t="s">
        <v>3264</v>
      </c>
      <c r="L233" s="84" t="s">
        <v>3044</v>
      </c>
      <c r="M233" s="23" t="s">
        <v>164</v>
      </c>
      <c r="N233" s="23">
        <v>43768</v>
      </c>
      <c r="O233" s="24" t="s">
        <v>102</v>
      </c>
      <c r="P233" s="24" t="s">
        <v>181</v>
      </c>
      <c r="Q233" s="24">
        <v>1</v>
      </c>
      <c r="R233" s="24">
        <v>0.02</v>
      </c>
      <c r="S233" t="s">
        <v>11</v>
      </c>
      <c r="T233" t="s">
        <v>3269</v>
      </c>
      <c r="U233" s="2" t="s">
        <v>163</v>
      </c>
      <c r="V233">
        <v>43768.844606481478</v>
      </c>
      <c r="W233" s="2" t="s">
        <v>444</v>
      </c>
      <c r="X233">
        <v>43768.912083333336</v>
      </c>
      <c r="AB233" t="s">
        <v>9</v>
      </c>
      <c r="AC233" t="s">
        <v>755</v>
      </c>
      <c r="AD233" t="s">
        <v>209</v>
      </c>
      <c r="AE233" t="s">
        <v>3270</v>
      </c>
      <c r="AF233" t="s">
        <v>3270</v>
      </c>
      <c r="AG233" t="s">
        <v>183</v>
      </c>
      <c r="AH233" t="s">
        <v>3220</v>
      </c>
      <c r="AI233" t="s">
        <v>3220</v>
      </c>
      <c r="AJ233" t="s">
        <v>584</v>
      </c>
      <c r="AK233" t="s">
        <v>585</v>
      </c>
      <c r="AL233" t="s">
        <v>3221</v>
      </c>
      <c r="AO233" t="s">
        <v>3222</v>
      </c>
      <c r="AP233" t="s">
        <v>759</v>
      </c>
      <c r="AR233" t="s">
        <v>3223</v>
      </c>
      <c r="AS233">
        <v>-420416837846</v>
      </c>
      <c r="AT233" t="s">
        <v>3224</v>
      </c>
      <c r="AU233" t="s">
        <v>10</v>
      </c>
      <c r="AV233" t="s">
        <v>3225</v>
      </c>
      <c r="AW233" t="s">
        <v>3225</v>
      </c>
      <c r="AX233" t="s">
        <v>3226</v>
      </c>
      <c r="AY233" s="2" t="s">
        <v>3227</v>
      </c>
      <c r="AZ233" t="s">
        <v>3228</v>
      </c>
      <c r="BA233" t="s">
        <v>299</v>
      </c>
      <c r="BB233" t="s">
        <v>300</v>
      </c>
      <c r="BC233" t="s">
        <v>188</v>
      </c>
      <c r="BD233">
        <v>511453</v>
      </c>
      <c r="BE233" t="s">
        <v>3271</v>
      </c>
      <c r="BF233" t="s">
        <v>3229</v>
      </c>
      <c r="BG233" t="b">
        <v>0</v>
      </c>
      <c r="BH233" s="6" t="s">
        <v>3230</v>
      </c>
      <c r="BI233" t="s">
        <v>3231</v>
      </c>
      <c r="BJ233">
        <v>4453163191</v>
      </c>
      <c r="BK233" t="s">
        <v>162</v>
      </c>
      <c r="BL233" t="s">
        <v>161</v>
      </c>
      <c r="BM233" s="2"/>
      <c r="BO233" t="s">
        <v>89</v>
      </c>
      <c r="BP233">
        <v>72189900</v>
      </c>
      <c r="BR233" t="s">
        <v>180</v>
      </c>
      <c r="BS233" t="s">
        <v>103</v>
      </c>
      <c r="BU233">
        <v>0</v>
      </c>
      <c r="BV233">
        <v>64.44</v>
      </c>
      <c r="BW233">
        <v>0</v>
      </c>
      <c r="BX233">
        <v>0</v>
      </c>
      <c r="BY233">
        <v>0</v>
      </c>
      <c r="BZ233">
        <v>0</v>
      </c>
      <c r="CA233">
        <v>64.44</v>
      </c>
      <c r="CF233" s="2"/>
      <c r="CH233" s="2"/>
      <c r="CJ233">
        <v>5.3142019950156698E+17</v>
      </c>
      <c r="CK233" t="s">
        <v>2261</v>
      </c>
      <c r="CL233">
        <v>43768.395462962966</v>
      </c>
      <c r="CO233" t="s">
        <v>11</v>
      </c>
      <c r="CP233">
        <v>486</v>
      </c>
      <c r="CQ233" t="s">
        <v>11</v>
      </c>
      <c r="CR233">
        <v>486</v>
      </c>
      <c r="CV233" t="s">
        <v>190</v>
      </c>
      <c r="CW233" t="s">
        <v>12</v>
      </c>
      <c r="CX233" t="s">
        <v>12</v>
      </c>
      <c r="CY233" t="s">
        <v>12</v>
      </c>
      <c r="DA233" t="s">
        <v>104</v>
      </c>
      <c r="DD233" t="s">
        <v>93</v>
      </c>
      <c r="DQ233" t="s">
        <v>94</v>
      </c>
      <c r="DR233" t="s">
        <v>94</v>
      </c>
      <c r="DS233" t="s">
        <v>94</v>
      </c>
      <c r="DT233" t="s">
        <v>94</v>
      </c>
      <c r="DU233" t="s">
        <v>94</v>
      </c>
      <c r="DV233" t="s">
        <v>94</v>
      </c>
      <c r="DW233" t="s">
        <v>94</v>
      </c>
      <c r="DX233" s="2" t="s">
        <v>94</v>
      </c>
      <c r="DY233" t="s">
        <v>94</v>
      </c>
      <c r="DZ233" t="s">
        <v>94</v>
      </c>
      <c r="EA233" t="s">
        <v>94</v>
      </c>
      <c r="EB233" t="s">
        <v>94</v>
      </c>
      <c r="EC233" t="s">
        <v>94</v>
      </c>
      <c r="ED233" t="s">
        <v>94</v>
      </c>
      <c r="EE233" t="s">
        <v>89</v>
      </c>
      <c r="EF233" t="s">
        <v>94</v>
      </c>
      <c r="EG233" t="s">
        <v>543</v>
      </c>
      <c r="EJ233" t="s">
        <v>166</v>
      </c>
      <c r="EK233" t="b">
        <v>0</v>
      </c>
      <c r="EL233" t="b">
        <v>0</v>
      </c>
      <c r="EM233" t="b">
        <v>0</v>
      </c>
    </row>
    <row r="234" spans="3:146">
      <c r="C234" s="4">
        <v>12</v>
      </c>
      <c r="D234" s="4"/>
      <c r="E234" s="4">
        <v>1</v>
      </c>
      <c r="F234" s="4">
        <v>1.85</v>
      </c>
      <c r="G234" s="5" t="s">
        <v>3307</v>
      </c>
      <c r="H234" s="4" t="s">
        <v>3272</v>
      </c>
      <c r="I234" s="4" t="s">
        <v>164</v>
      </c>
      <c r="J234" s="5"/>
      <c r="K234" s="22" t="s">
        <v>3273</v>
      </c>
      <c r="L234" s="84" t="s">
        <v>3044</v>
      </c>
      <c r="M234" s="23" t="s">
        <v>164</v>
      </c>
      <c r="N234" s="23">
        <v>43768</v>
      </c>
      <c r="O234" s="24" t="s">
        <v>102</v>
      </c>
      <c r="P234" s="24" t="s">
        <v>181</v>
      </c>
      <c r="Q234" s="24">
        <v>1</v>
      </c>
      <c r="R234" s="24">
        <v>1.85</v>
      </c>
      <c r="S234" t="s">
        <v>319</v>
      </c>
      <c r="T234" t="s">
        <v>3274</v>
      </c>
      <c r="U234" s="2" t="s">
        <v>163</v>
      </c>
      <c r="V234">
        <v>43768.844525462962</v>
      </c>
      <c r="W234" s="2" t="s">
        <v>444</v>
      </c>
      <c r="X234">
        <v>43771.42019675926</v>
      </c>
      <c r="AB234" t="s">
        <v>9</v>
      </c>
      <c r="AC234" t="s">
        <v>3232</v>
      </c>
      <c r="AD234" t="s">
        <v>182</v>
      </c>
      <c r="AE234" t="s">
        <v>3275</v>
      </c>
      <c r="AF234" t="s">
        <v>3275</v>
      </c>
      <c r="AG234" t="s">
        <v>183</v>
      </c>
      <c r="AH234" t="s">
        <v>3233</v>
      </c>
      <c r="AI234" t="s">
        <v>3233</v>
      </c>
      <c r="AJ234" t="s">
        <v>3234</v>
      </c>
      <c r="AK234" t="s">
        <v>3235</v>
      </c>
      <c r="AL234" t="s">
        <v>3236</v>
      </c>
      <c r="AO234" t="s">
        <v>3237</v>
      </c>
      <c r="AP234" t="s">
        <v>3238</v>
      </c>
      <c r="AR234" t="s">
        <v>3276</v>
      </c>
      <c r="AS234">
        <v>400421448</v>
      </c>
      <c r="AT234" t="s">
        <v>3239</v>
      </c>
      <c r="AU234" t="s">
        <v>10</v>
      </c>
      <c r="AV234" t="s">
        <v>3240</v>
      </c>
      <c r="AW234" t="s">
        <v>3240</v>
      </c>
      <c r="AX234" t="s">
        <v>3241</v>
      </c>
      <c r="AY234" t="s">
        <v>3242</v>
      </c>
      <c r="AZ234" t="s">
        <v>3243</v>
      </c>
      <c r="BA234" t="s">
        <v>186</v>
      </c>
      <c r="BB234" t="s">
        <v>187</v>
      </c>
      <c r="BC234" t="s">
        <v>188</v>
      </c>
      <c r="BD234">
        <v>518106</v>
      </c>
      <c r="BE234" t="s">
        <v>3244</v>
      </c>
      <c r="BF234" t="s">
        <v>3245</v>
      </c>
      <c r="BG234" t="b">
        <v>0</v>
      </c>
      <c r="BH234" s="6" t="s">
        <v>3246</v>
      </c>
      <c r="BI234" t="s">
        <v>3247</v>
      </c>
      <c r="BJ234">
        <v>4453163191</v>
      </c>
      <c r="BK234" t="s">
        <v>162</v>
      </c>
      <c r="BL234" t="s">
        <v>161</v>
      </c>
      <c r="BM234" s="2"/>
      <c r="BO234" t="s">
        <v>89</v>
      </c>
      <c r="BP234">
        <v>85312000</v>
      </c>
      <c r="BR234" t="s">
        <v>180</v>
      </c>
      <c r="BS234" t="s">
        <v>103</v>
      </c>
      <c r="BU234">
        <v>0</v>
      </c>
      <c r="BV234">
        <v>96.54</v>
      </c>
      <c r="BW234">
        <v>0</v>
      </c>
      <c r="BX234">
        <v>0</v>
      </c>
      <c r="BY234">
        <v>0</v>
      </c>
      <c r="BZ234">
        <v>0</v>
      </c>
      <c r="CA234">
        <v>96.54</v>
      </c>
      <c r="CF234" s="2"/>
      <c r="CH234" s="2"/>
      <c r="CJ234">
        <v>5.3142019950156698E+17</v>
      </c>
      <c r="CK234" t="s">
        <v>2261</v>
      </c>
      <c r="CL234">
        <v>43768.379027777781</v>
      </c>
      <c r="CO234" t="s">
        <v>11</v>
      </c>
      <c r="CP234">
        <v>742.83</v>
      </c>
      <c r="CQ234" t="s">
        <v>11</v>
      </c>
      <c r="CR234">
        <v>742.83</v>
      </c>
      <c r="CV234" t="s">
        <v>190</v>
      </c>
      <c r="CW234" t="s">
        <v>12</v>
      </c>
      <c r="CX234" t="s">
        <v>12</v>
      </c>
      <c r="CY234" t="s">
        <v>12</v>
      </c>
      <c r="DA234" t="s">
        <v>104</v>
      </c>
      <c r="DD234" t="s">
        <v>93</v>
      </c>
      <c r="DQ234" t="s">
        <v>94</v>
      </c>
      <c r="DR234" t="s">
        <v>94</v>
      </c>
      <c r="DS234" t="s">
        <v>94</v>
      </c>
      <c r="DT234" t="s">
        <v>94</v>
      </c>
      <c r="DU234" t="s">
        <v>94</v>
      </c>
      <c r="DV234" t="s">
        <v>94</v>
      </c>
      <c r="DW234" t="s">
        <v>94</v>
      </c>
      <c r="DX234" s="2" t="s">
        <v>94</v>
      </c>
      <c r="DY234" t="s">
        <v>94</v>
      </c>
      <c r="DZ234" t="s">
        <v>94</v>
      </c>
      <c r="EA234" t="s">
        <v>94</v>
      </c>
      <c r="EB234" t="s">
        <v>94</v>
      </c>
      <c r="EC234" t="s">
        <v>94</v>
      </c>
      <c r="ED234" t="s">
        <v>94</v>
      </c>
      <c r="EE234" t="s">
        <v>89</v>
      </c>
      <c r="EF234" t="s">
        <v>425</v>
      </c>
      <c r="EG234" t="s">
        <v>105</v>
      </c>
      <c r="EJ234" t="s">
        <v>166</v>
      </c>
      <c r="EK234" t="b">
        <v>0</v>
      </c>
      <c r="EL234" t="b">
        <v>0</v>
      </c>
      <c r="EM234" t="b">
        <v>0</v>
      </c>
      <c r="EO234" t="s">
        <v>177</v>
      </c>
      <c r="EP234" t="s">
        <v>3308</v>
      </c>
    </row>
    <row r="235" spans="3:146">
      <c r="C235" s="4">
        <v>12</v>
      </c>
      <c r="D235" s="5"/>
      <c r="E235" s="5">
        <v>5</v>
      </c>
      <c r="F235" s="4">
        <v>38.200000000000003</v>
      </c>
      <c r="G235" s="5" t="s">
        <v>3307</v>
      </c>
      <c r="H235" s="4" t="s">
        <v>3278</v>
      </c>
      <c r="I235" s="4" t="s">
        <v>164</v>
      </c>
      <c r="J235" s="4"/>
      <c r="K235" s="22" t="s">
        <v>3279</v>
      </c>
      <c r="L235" s="84" t="s">
        <v>3044</v>
      </c>
      <c r="M235" s="23" t="s">
        <v>164</v>
      </c>
      <c r="N235" s="23">
        <v>43768</v>
      </c>
      <c r="O235" s="24" t="s">
        <v>102</v>
      </c>
      <c r="P235" s="24" t="s">
        <v>480</v>
      </c>
      <c r="Q235" s="24">
        <v>5</v>
      </c>
      <c r="R235" s="24">
        <v>38.200000000000003</v>
      </c>
      <c r="S235" t="s">
        <v>528</v>
      </c>
      <c r="T235" t="s">
        <v>3280</v>
      </c>
      <c r="U235" s="2"/>
      <c r="W235" s="2"/>
      <c r="AB235" t="s">
        <v>9</v>
      </c>
      <c r="AC235" t="s">
        <v>1667</v>
      </c>
      <c r="AD235" t="s">
        <v>182</v>
      </c>
      <c r="AE235" t="s">
        <v>183</v>
      </c>
      <c r="AF235" t="s">
        <v>183</v>
      </c>
      <c r="AG235" t="s">
        <v>3281</v>
      </c>
      <c r="AH235" t="s">
        <v>1668</v>
      </c>
      <c r="AI235" t="s">
        <v>1668</v>
      </c>
      <c r="AJ235" t="s">
        <v>508</v>
      </c>
      <c r="AK235" t="s">
        <v>509</v>
      </c>
      <c r="AL235" t="s">
        <v>1669</v>
      </c>
      <c r="AM235" t="s">
        <v>1670</v>
      </c>
      <c r="AN235" t="s">
        <v>3248</v>
      </c>
      <c r="AO235" t="s">
        <v>1671</v>
      </c>
      <c r="AP235" t="s">
        <v>1672</v>
      </c>
      <c r="AR235" t="s">
        <v>3282</v>
      </c>
      <c r="AS235">
        <v>330231595863</v>
      </c>
      <c r="AT235" t="s">
        <v>1673</v>
      </c>
      <c r="AU235" t="s">
        <v>10</v>
      </c>
      <c r="AV235" t="s">
        <v>1675</v>
      </c>
      <c r="AW235" t="s">
        <v>1675</v>
      </c>
      <c r="AX235" t="s">
        <v>1676</v>
      </c>
      <c r="AY235" t="s">
        <v>1677</v>
      </c>
      <c r="AZ235" t="s">
        <v>194</v>
      </c>
      <c r="BA235" t="s">
        <v>1678</v>
      </c>
      <c r="BB235" t="s">
        <v>272</v>
      </c>
      <c r="BC235" t="s">
        <v>188</v>
      </c>
      <c r="BD235">
        <v>518001</v>
      </c>
      <c r="BE235" t="s">
        <v>1679</v>
      </c>
      <c r="BF235" t="s">
        <v>1680</v>
      </c>
      <c r="BG235" t="b">
        <v>0</v>
      </c>
      <c r="BH235" s="6" t="s">
        <v>3249</v>
      </c>
      <c r="BI235" t="s">
        <v>3250</v>
      </c>
      <c r="BJ235">
        <v>4453163191</v>
      </c>
      <c r="BK235" t="s">
        <v>162</v>
      </c>
      <c r="BL235" t="s">
        <v>161</v>
      </c>
      <c r="BM235" s="2"/>
      <c r="BR235" t="s">
        <v>189</v>
      </c>
      <c r="BS235" t="s">
        <v>103</v>
      </c>
      <c r="BU235">
        <v>0</v>
      </c>
      <c r="BV235">
        <v>0</v>
      </c>
      <c r="BW235">
        <v>0</v>
      </c>
      <c r="BX235">
        <v>0</v>
      </c>
      <c r="BY235">
        <v>0</v>
      </c>
      <c r="BZ235">
        <v>0</v>
      </c>
      <c r="CA235">
        <v>0</v>
      </c>
      <c r="CF235" s="2"/>
      <c r="CH235" s="2"/>
      <c r="CK235" t="s">
        <v>2261</v>
      </c>
      <c r="CL235">
        <v>43768.565208333333</v>
      </c>
      <c r="CO235" t="s">
        <v>11</v>
      </c>
      <c r="CP235">
        <v>752167.38</v>
      </c>
      <c r="CQ235" t="s">
        <v>11</v>
      </c>
      <c r="CR235">
        <v>752167.38</v>
      </c>
      <c r="CV235" t="s">
        <v>525</v>
      </c>
      <c r="CW235" t="s">
        <v>12</v>
      </c>
      <c r="CX235" t="s">
        <v>12</v>
      </c>
      <c r="CY235" t="s">
        <v>12</v>
      </c>
      <c r="DA235" t="s">
        <v>104</v>
      </c>
      <c r="DD235" t="s">
        <v>93</v>
      </c>
      <c r="DQ235" t="s">
        <v>94</v>
      </c>
      <c r="DR235" t="s">
        <v>94</v>
      </c>
      <c r="DS235" t="s">
        <v>94</v>
      </c>
      <c r="DT235" t="s">
        <v>94</v>
      </c>
      <c r="DU235" t="s">
        <v>94</v>
      </c>
      <c r="DV235" t="s">
        <v>94</v>
      </c>
      <c r="DW235" t="s">
        <v>94</v>
      </c>
      <c r="DX235" s="2" t="s">
        <v>94</v>
      </c>
      <c r="DY235" t="s">
        <v>94</v>
      </c>
      <c r="DZ235" t="s">
        <v>94</v>
      </c>
      <c r="EA235" t="s">
        <v>94</v>
      </c>
      <c r="EB235" t="s">
        <v>94</v>
      </c>
      <c r="EC235" t="s">
        <v>94</v>
      </c>
      <c r="ED235" t="s">
        <v>94</v>
      </c>
      <c r="EE235" t="s">
        <v>89</v>
      </c>
      <c r="EF235" t="s">
        <v>94</v>
      </c>
      <c r="EG235" t="s">
        <v>105</v>
      </c>
      <c r="EJ235" t="s">
        <v>166</v>
      </c>
      <c r="EK235" t="b">
        <v>0</v>
      </c>
      <c r="EL235" t="b">
        <v>0</v>
      </c>
      <c r="EM235" t="b">
        <v>0</v>
      </c>
      <c r="EO235" t="s">
        <v>177</v>
      </c>
      <c r="EP235" t="s">
        <v>3308</v>
      </c>
    </row>
    <row r="236" spans="3:146" ht="15">
      <c r="C236" s="82">
        <v>23</v>
      </c>
      <c r="D236" s="5"/>
      <c r="E236" s="4">
        <v>3</v>
      </c>
      <c r="F236" s="5">
        <v>34.950000000000003</v>
      </c>
      <c r="G236" s="5" t="s">
        <v>3309</v>
      </c>
      <c r="H236" s="4" t="s">
        <v>3310</v>
      </c>
      <c r="I236" s="81" t="s">
        <v>926</v>
      </c>
      <c r="J236" s="21"/>
      <c r="K236" s="22" t="s">
        <v>3132</v>
      </c>
      <c r="L236" s="84" t="s">
        <v>3133</v>
      </c>
      <c r="M236" s="23" t="s">
        <v>926</v>
      </c>
      <c r="N236" s="23">
        <v>43770</v>
      </c>
      <c r="O236" s="24" t="s">
        <v>102</v>
      </c>
      <c r="P236" s="24" t="s">
        <v>181</v>
      </c>
      <c r="Q236" s="24">
        <v>3</v>
      </c>
      <c r="R236" s="24">
        <v>34.950000000000003</v>
      </c>
      <c r="S236" t="s">
        <v>11</v>
      </c>
      <c r="T236">
        <v>2125</v>
      </c>
      <c r="U236" s="2" t="s">
        <v>163</v>
      </c>
      <c r="V236">
        <v>43770.454513888886</v>
      </c>
      <c r="W236" s="2" t="s">
        <v>444</v>
      </c>
      <c r="X236">
        <v>43770.469328703701</v>
      </c>
      <c r="AB236" t="s">
        <v>9</v>
      </c>
      <c r="AC236" t="s">
        <v>3134</v>
      </c>
      <c r="AD236" t="s">
        <v>182</v>
      </c>
      <c r="AE236" t="s">
        <v>183</v>
      </c>
      <c r="AF236" t="s">
        <v>183</v>
      </c>
      <c r="AG236" t="s">
        <v>3311</v>
      </c>
      <c r="AH236" t="s">
        <v>3135</v>
      </c>
      <c r="AI236" t="s">
        <v>3136</v>
      </c>
      <c r="AJ236" t="s">
        <v>3000</v>
      </c>
      <c r="AK236" t="s">
        <v>3001</v>
      </c>
      <c r="AL236" t="s">
        <v>3137</v>
      </c>
      <c r="AM236" t="s">
        <v>3138</v>
      </c>
      <c r="AN236" t="s">
        <v>3139</v>
      </c>
      <c r="AO236" t="s">
        <v>3140</v>
      </c>
      <c r="AP236" t="s">
        <v>3141</v>
      </c>
      <c r="AQ236" t="s">
        <v>3142</v>
      </c>
      <c r="AR236" t="s">
        <v>3143</v>
      </c>
      <c r="AS236">
        <v>-351214440208</v>
      </c>
      <c r="AT236" t="s">
        <v>3144</v>
      </c>
      <c r="AU236" t="s">
        <v>10</v>
      </c>
      <c r="AV236" t="s">
        <v>3145</v>
      </c>
      <c r="AW236" t="s">
        <v>3146</v>
      </c>
      <c r="AX236" t="s">
        <v>3147</v>
      </c>
      <c r="AY236" s="2" t="s">
        <v>3148</v>
      </c>
      <c r="BA236" t="s">
        <v>186</v>
      </c>
      <c r="BB236" t="s">
        <v>187</v>
      </c>
      <c r="BC236" t="s">
        <v>188</v>
      </c>
      <c r="BD236">
        <v>518105</v>
      </c>
      <c r="BE236" t="s">
        <v>3149</v>
      </c>
      <c r="BF236" t="s">
        <v>3150</v>
      </c>
      <c r="BG236" t="b">
        <v>0</v>
      </c>
      <c r="BH236" s="6" t="s">
        <v>3151</v>
      </c>
      <c r="BI236" t="s">
        <v>3152</v>
      </c>
      <c r="BJ236">
        <v>4453163191</v>
      </c>
      <c r="BK236" t="s">
        <v>162</v>
      </c>
      <c r="BL236" t="s">
        <v>161</v>
      </c>
      <c r="BM236" s="2"/>
      <c r="BN236">
        <v>9.1440300699076403E+17</v>
      </c>
      <c r="BO236" t="s">
        <v>89</v>
      </c>
      <c r="BP236">
        <v>85235210</v>
      </c>
      <c r="BR236" t="s">
        <v>189</v>
      </c>
      <c r="BS236" t="s">
        <v>103</v>
      </c>
      <c r="BU236">
        <v>0</v>
      </c>
      <c r="BV236">
        <v>191.25</v>
      </c>
      <c r="BW236">
        <v>0</v>
      </c>
      <c r="BX236">
        <v>0</v>
      </c>
      <c r="BY236">
        <v>0</v>
      </c>
      <c r="BZ236">
        <v>0</v>
      </c>
      <c r="CA236">
        <v>191.25</v>
      </c>
      <c r="CF236" s="2"/>
      <c r="CH236" s="2"/>
      <c r="CJ236">
        <v>5.3142019950158003E+17</v>
      </c>
      <c r="CK236" t="s">
        <v>2710</v>
      </c>
      <c r="CL236">
        <v>43764.375972222224</v>
      </c>
      <c r="CO236" t="s">
        <v>11</v>
      </c>
      <c r="CP236">
        <v>2125</v>
      </c>
      <c r="CQ236" t="s">
        <v>11</v>
      </c>
      <c r="CR236">
        <v>2125</v>
      </c>
      <c r="CV236" t="s">
        <v>525</v>
      </c>
      <c r="CW236" t="s">
        <v>12</v>
      </c>
      <c r="CX236" t="s">
        <v>12</v>
      </c>
      <c r="CY236" t="s">
        <v>12</v>
      </c>
      <c r="DA236" t="s">
        <v>104</v>
      </c>
      <c r="DD236" t="s">
        <v>93</v>
      </c>
      <c r="DQ236" t="s">
        <v>94</v>
      </c>
      <c r="DR236" t="s">
        <v>94</v>
      </c>
      <c r="DS236" t="s">
        <v>94</v>
      </c>
      <c r="DT236" t="s">
        <v>94</v>
      </c>
      <c r="DU236" t="s">
        <v>94</v>
      </c>
      <c r="DV236" t="s">
        <v>94</v>
      </c>
      <c r="DW236" t="s">
        <v>94</v>
      </c>
      <c r="DX236" s="2" t="s">
        <v>94</v>
      </c>
      <c r="DY236" t="s">
        <v>94</v>
      </c>
      <c r="DZ236" t="s">
        <v>94</v>
      </c>
      <c r="EA236" t="s">
        <v>94</v>
      </c>
      <c r="EB236" t="s">
        <v>94</v>
      </c>
      <c r="EC236" t="s">
        <v>94</v>
      </c>
      <c r="ED236" t="s">
        <v>94</v>
      </c>
      <c r="EE236" t="s">
        <v>89</v>
      </c>
      <c r="EF236" t="s">
        <v>94</v>
      </c>
      <c r="EG236" t="s">
        <v>105</v>
      </c>
      <c r="EJ236" t="s">
        <v>526</v>
      </c>
      <c r="EK236" t="b">
        <v>0</v>
      </c>
      <c r="EL236" t="b">
        <v>0</v>
      </c>
      <c r="EM236" t="b">
        <v>0</v>
      </c>
    </row>
    <row r="237" spans="3:146" ht="15">
      <c r="C237" s="82">
        <v>23</v>
      </c>
      <c r="D237" s="5"/>
      <c r="E237" s="4">
        <v>3</v>
      </c>
      <c r="F237" s="5">
        <v>34.950000000000003</v>
      </c>
      <c r="G237" s="5" t="s">
        <v>3313</v>
      </c>
      <c r="H237" s="4" t="s">
        <v>3310</v>
      </c>
      <c r="I237" s="81" t="s">
        <v>920</v>
      </c>
      <c r="J237" s="21"/>
      <c r="K237" s="22" t="s">
        <v>3132</v>
      </c>
      <c r="L237" s="84" t="s">
        <v>3312</v>
      </c>
      <c r="M237" s="23" t="s">
        <v>920</v>
      </c>
      <c r="N237" s="23">
        <v>43770</v>
      </c>
      <c r="O237" s="24" t="s">
        <v>102</v>
      </c>
      <c r="P237" s="24" t="s">
        <v>181</v>
      </c>
      <c r="Q237" s="24">
        <v>3</v>
      </c>
      <c r="R237" s="24">
        <v>34.950000000000003</v>
      </c>
      <c r="S237" t="s">
        <v>11</v>
      </c>
      <c r="T237">
        <v>2125</v>
      </c>
      <c r="U237" s="2" t="s">
        <v>163</v>
      </c>
      <c r="V237">
        <v>43770.454513888886</v>
      </c>
      <c r="W237" s="2" t="s">
        <v>444</v>
      </c>
      <c r="X237">
        <v>43770.469328703701</v>
      </c>
      <c r="AB237" t="s">
        <v>9</v>
      </c>
      <c r="AC237" t="s">
        <v>3134</v>
      </c>
      <c r="AD237" t="s">
        <v>182</v>
      </c>
      <c r="AE237" t="s">
        <v>183</v>
      </c>
      <c r="AF237" t="s">
        <v>183</v>
      </c>
      <c r="AG237" t="s">
        <v>3311</v>
      </c>
      <c r="AH237" t="s">
        <v>3135</v>
      </c>
      <c r="AI237" t="s">
        <v>3136</v>
      </c>
      <c r="AJ237" t="s">
        <v>3000</v>
      </c>
      <c r="AK237" t="s">
        <v>3001</v>
      </c>
      <c r="AL237" t="s">
        <v>3137</v>
      </c>
      <c r="AM237" t="s">
        <v>3138</v>
      </c>
      <c r="AN237" t="s">
        <v>3139</v>
      </c>
      <c r="AO237" t="s">
        <v>3140</v>
      </c>
      <c r="AP237" t="s">
        <v>3141</v>
      </c>
      <c r="AQ237" t="s">
        <v>3142</v>
      </c>
      <c r="AR237" t="s">
        <v>3143</v>
      </c>
      <c r="AS237">
        <v>-351214440208</v>
      </c>
      <c r="AT237" t="s">
        <v>3144</v>
      </c>
      <c r="AU237" t="s">
        <v>10</v>
      </c>
      <c r="AV237" t="s">
        <v>3145</v>
      </c>
      <c r="AW237" t="s">
        <v>3146</v>
      </c>
      <c r="AX237" t="s">
        <v>3147</v>
      </c>
      <c r="AY237" s="2" t="s">
        <v>3148</v>
      </c>
      <c r="BA237" t="s">
        <v>186</v>
      </c>
      <c r="BB237" t="s">
        <v>187</v>
      </c>
      <c r="BC237" t="s">
        <v>188</v>
      </c>
      <c r="BD237">
        <v>518105</v>
      </c>
      <c r="BE237" t="s">
        <v>3149</v>
      </c>
      <c r="BF237" t="s">
        <v>3150</v>
      </c>
      <c r="BG237" t="b">
        <v>0</v>
      </c>
      <c r="BH237" s="6" t="s">
        <v>3151</v>
      </c>
      <c r="BI237" t="s">
        <v>3152</v>
      </c>
      <c r="BJ237">
        <v>4453163191</v>
      </c>
      <c r="BK237" t="s">
        <v>162</v>
      </c>
      <c r="BL237" t="s">
        <v>161</v>
      </c>
      <c r="BM237" s="2"/>
      <c r="BN237">
        <v>9.1440300699076403E+17</v>
      </c>
      <c r="BO237" t="s">
        <v>89</v>
      </c>
      <c r="BP237">
        <v>85235210</v>
      </c>
      <c r="BR237" t="s">
        <v>189</v>
      </c>
      <c r="BS237" t="s">
        <v>103</v>
      </c>
      <c r="BU237">
        <v>0</v>
      </c>
      <c r="BV237">
        <v>191.25</v>
      </c>
      <c r="BW237">
        <v>0</v>
      </c>
      <c r="BX237">
        <v>0</v>
      </c>
      <c r="BY237">
        <v>0</v>
      </c>
      <c r="BZ237">
        <v>0</v>
      </c>
      <c r="CA237">
        <v>191.25</v>
      </c>
      <c r="CF237" s="2"/>
      <c r="CH237" s="2"/>
      <c r="CJ237">
        <v>5.3142019950158003E+17</v>
      </c>
      <c r="CK237" t="s">
        <v>2710</v>
      </c>
      <c r="CL237">
        <v>43764.375972222224</v>
      </c>
      <c r="CO237" t="s">
        <v>11</v>
      </c>
      <c r="CP237">
        <v>2125</v>
      </c>
      <c r="CQ237" t="s">
        <v>11</v>
      </c>
      <c r="CR237">
        <v>2125</v>
      </c>
      <c r="CV237" t="s">
        <v>525</v>
      </c>
      <c r="CW237" t="s">
        <v>12</v>
      </c>
      <c r="CX237" t="s">
        <v>12</v>
      </c>
      <c r="CY237" t="s">
        <v>12</v>
      </c>
      <c r="DA237" t="s">
        <v>104</v>
      </c>
      <c r="DD237" t="s">
        <v>93</v>
      </c>
      <c r="DQ237" t="s">
        <v>94</v>
      </c>
      <c r="DR237" t="s">
        <v>94</v>
      </c>
      <c r="DS237" t="s">
        <v>94</v>
      </c>
      <c r="DT237" t="s">
        <v>94</v>
      </c>
      <c r="DU237" t="s">
        <v>94</v>
      </c>
      <c r="DV237" t="s">
        <v>94</v>
      </c>
      <c r="DW237" t="s">
        <v>94</v>
      </c>
      <c r="DX237" s="2" t="s">
        <v>94</v>
      </c>
      <c r="DY237" t="s">
        <v>94</v>
      </c>
      <c r="DZ237" t="s">
        <v>94</v>
      </c>
      <c r="EA237" t="s">
        <v>94</v>
      </c>
      <c r="EB237" t="s">
        <v>94</v>
      </c>
      <c r="EC237" t="s">
        <v>94</v>
      </c>
      <c r="ED237" t="s">
        <v>94</v>
      </c>
      <c r="EE237" t="s">
        <v>89</v>
      </c>
      <c r="EF237" t="s">
        <v>94</v>
      </c>
      <c r="EG237" t="s">
        <v>105</v>
      </c>
      <c r="EJ237" t="s">
        <v>526</v>
      </c>
      <c r="EK237" t="b">
        <v>0</v>
      </c>
      <c r="EL237" t="b">
        <v>0</v>
      </c>
      <c r="EM237" t="b">
        <v>0</v>
      </c>
    </row>
    <row r="238" spans="3:146" ht="15">
      <c r="C238" s="82" t="s">
        <v>3314</v>
      </c>
      <c r="D238" s="5" t="s">
        <v>3315</v>
      </c>
      <c r="E238" s="4">
        <v>5</v>
      </c>
      <c r="F238" s="5">
        <v>180</v>
      </c>
      <c r="G238" s="5" t="s">
        <v>3316</v>
      </c>
      <c r="H238" s="4" t="s">
        <v>3278</v>
      </c>
      <c r="I238" s="81" t="s">
        <v>164</v>
      </c>
      <c r="J238" s="21"/>
      <c r="K238" s="22" t="s">
        <v>3279</v>
      </c>
      <c r="L238" s="84" t="s">
        <v>3044</v>
      </c>
      <c r="M238" s="23" t="s">
        <v>164</v>
      </c>
      <c r="N238" s="23">
        <v>43768</v>
      </c>
      <c r="O238" s="24" t="s">
        <v>102</v>
      </c>
      <c r="P238" s="24" t="s">
        <v>480</v>
      </c>
      <c r="Q238" s="24">
        <v>5</v>
      </c>
      <c r="R238" s="24">
        <v>38.200000000000003</v>
      </c>
      <c r="S238" t="s">
        <v>528</v>
      </c>
      <c r="T238" t="s">
        <v>3280</v>
      </c>
      <c r="U238" s="2"/>
      <c r="W238" s="2"/>
      <c r="AB238" t="s">
        <v>9</v>
      </c>
      <c r="AC238" t="s">
        <v>1667</v>
      </c>
      <c r="AD238" t="s">
        <v>182</v>
      </c>
      <c r="AE238" t="s">
        <v>183</v>
      </c>
      <c r="AF238" t="s">
        <v>183</v>
      </c>
      <c r="AG238" t="s">
        <v>3281</v>
      </c>
      <c r="AH238" t="s">
        <v>1668</v>
      </c>
      <c r="AI238" t="s">
        <v>1668</v>
      </c>
      <c r="AJ238" t="s">
        <v>508</v>
      </c>
      <c r="AK238" t="s">
        <v>509</v>
      </c>
      <c r="AL238" t="s">
        <v>1669</v>
      </c>
      <c r="AM238" t="s">
        <v>1670</v>
      </c>
      <c r="AN238" t="s">
        <v>3248</v>
      </c>
      <c r="AO238" t="s">
        <v>1671</v>
      </c>
      <c r="AP238" t="s">
        <v>1672</v>
      </c>
      <c r="AR238" t="s">
        <v>3282</v>
      </c>
      <c r="AS238">
        <v>330231595863</v>
      </c>
      <c r="AT238" t="s">
        <v>1673</v>
      </c>
      <c r="AU238" t="s">
        <v>10</v>
      </c>
      <c r="AV238" t="s">
        <v>1675</v>
      </c>
      <c r="AW238" t="s">
        <v>1675</v>
      </c>
      <c r="AX238" t="s">
        <v>1676</v>
      </c>
      <c r="AY238" s="2" t="s">
        <v>1677</v>
      </c>
      <c r="AZ238" t="s">
        <v>194</v>
      </c>
      <c r="BA238" t="s">
        <v>1678</v>
      </c>
      <c r="BB238" t="s">
        <v>272</v>
      </c>
      <c r="BC238" t="s">
        <v>188</v>
      </c>
      <c r="BD238">
        <v>518001</v>
      </c>
      <c r="BE238" t="s">
        <v>1679</v>
      </c>
      <c r="BF238" t="s">
        <v>1680</v>
      </c>
      <c r="BG238" t="b">
        <v>0</v>
      </c>
      <c r="BH238" s="6" t="s">
        <v>3249</v>
      </c>
      <c r="BI238" t="s">
        <v>3250</v>
      </c>
      <c r="BJ238">
        <v>4453163191</v>
      </c>
      <c r="BK238" t="s">
        <v>162</v>
      </c>
      <c r="BL238" t="s">
        <v>161</v>
      </c>
      <c r="BM238" s="2"/>
      <c r="BR238" t="s">
        <v>189</v>
      </c>
      <c r="BS238" t="s">
        <v>103</v>
      </c>
      <c r="BU238">
        <v>0</v>
      </c>
      <c r="BV238">
        <v>0</v>
      </c>
      <c r="BW238">
        <v>0</v>
      </c>
      <c r="BX238">
        <v>0</v>
      </c>
      <c r="BY238">
        <v>0</v>
      </c>
      <c r="BZ238">
        <v>0</v>
      </c>
      <c r="CA238">
        <v>0</v>
      </c>
      <c r="CF238" s="2"/>
      <c r="CH238" s="2"/>
      <c r="CK238" t="s">
        <v>2261</v>
      </c>
      <c r="CL238">
        <v>43768.565208333333</v>
      </c>
      <c r="CO238" t="s">
        <v>11</v>
      </c>
      <c r="CP238">
        <v>752167.38</v>
      </c>
      <c r="CQ238" t="s">
        <v>11</v>
      </c>
      <c r="CR238">
        <v>752167.38</v>
      </c>
      <c r="CV238" t="s">
        <v>525</v>
      </c>
      <c r="CW238" t="s">
        <v>12</v>
      </c>
      <c r="CX238" t="s">
        <v>12</v>
      </c>
      <c r="CY238" t="s">
        <v>12</v>
      </c>
      <c r="DA238" t="s">
        <v>104</v>
      </c>
      <c r="DD238" t="s">
        <v>93</v>
      </c>
      <c r="DQ238" t="s">
        <v>94</v>
      </c>
      <c r="DR238" t="s">
        <v>94</v>
      </c>
      <c r="DS238" t="s">
        <v>94</v>
      </c>
      <c r="DT238" t="s">
        <v>94</v>
      </c>
      <c r="DU238" t="s">
        <v>94</v>
      </c>
      <c r="DV238" t="s">
        <v>94</v>
      </c>
      <c r="DW238" t="s">
        <v>94</v>
      </c>
      <c r="DX238" s="2" t="s">
        <v>94</v>
      </c>
      <c r="DY238" t="s">
        <v>94</v>
      </c>
      <c r="DZ238" t="s">
        <v>94</v>
      </c>
      <c r="EA238" t="s">
        <v>94</v>
      </c>
      <c r="EB238" t="s">
        <v>94</v>
      </c>
      <c r="EC238" t="s">
        <v>94</v>
      </c>
      <c r="ED238" t="s">
        <v>94</v>
      </c>
      <c r="EE238" t="s">
        <v>89</v>
      </c>
      <c r="EF238" t="s">
        <v>94</v>
      </c>
      <c r="EG238" t="s">
        <v>105</v>
      </c>
      <c r="EJ238" t="s">
        <v>166</v>
      </c>
      <c r="EK238" t="b">
        <v>0</v>
      </c>
      <c r="EL238" t="b">
        <v>0</v>
      </c>
      <c r="EM238" t="b">
        <v>0</v>
      </c>
    </row>
    <row r="239" spans="3:146" ht="15">
      <c r="C239" s="82" t="s">
        <v>3317</v>
      </c>
      <c r="D239" s="5"/>
      <c r="E239" s="4">
        <v>1</v>
      </c>
      <c r="F239" s="5">
        <v>22.35</v>
      </c>
      <c r="G239" s="5" t="s">
        <v>3318</v>
      </c>
      <c r="H239" s="4" t="s">
        <v>3319</v>
      </c>
      <c r="I239" s="81" t="s">
        <v>920</v>
      </c>
      <c r="J239" s="21"/>
      <c r="K239" s="22" t="s">
        <v>3320</v>
      </c>
      <c r="L239" s="84" t="s">
        <v>3266</v>
      </c>
      <c r="M239" s="23" t="s">
        <v>905</v>
      </c>
      <c r="N239" s="23">
        <v>43771</v>
      </c>
      <c r="O239" s="24" t="s">
        <v>102</v>
      </c>
      <c r="P239" s="24" t="s">
        <v>181</v>
      </c>
      <c r="Q239" s="24">
        <v>1</v>
      </c>
      <c r="R239" s="24">
        <v>22.35</v>
      </c>
      <c r="S239" t="s">
        <v>319</v>
      </c>
      <c r="T239" t="s">
        <v>3321</v>
      </c>
      <c r="U239" s="2" t="s">
        <v>163</v>
      </c>
      <c r="V239">
        <v>43771.862407407411</v>
      </c>
      <c r="W239" s="2" t="s">
        <v>444</v>
      </c>
      <c r="X239">
        <v>43771.867256944446</v>
      </c>
      <c r="AB239" t="s">
        <v>9</v>
      </c>
      <c r="AC239" t="s">
        <v>3251</v>
      </c>
      <c r="AD239" t="s">
        <v>209</v>
      </c>
      <c r="AE239" t="s">
        <v>3322</v>
      </c>
      <c r="AF239" t="s">
        <v>3322</v>
      </c>
      <c r="AG239" t="s">
        <v>3323</v>
      </c>
      <c r="AH239" t="s">
        <v>3252</v>
      </c>
      <c r="AI239" t="s">
        <v>3252</v>
      </c>
      <c r="AJ239" t="s">
        <v>2786</v>
      </c>
      <c r="AK239" t="s">
        <v>2787</v>
      </c>
      <c r="AL239" t="s">
        <v>3253</v>
      </c>
      <c r="AO239" t="s">
        <v>2790</v>
      </c>
      <c r="AP239" t="s">
        <v>3254</v>
      </c>
      <c r="AQ239" t="s">
        <v>2792</v>
      </c>
      <c r="AR239" t="s">
        <v>3324</v>
      </c>
      <c r="AS239">
        <v>313549901</v>
      </c>
      <c r="AT239" t="s">
        <v>3255</v>
      </c>
      <c r="AU239" t="s">
        <v>10</v>
      </c>
      <c r="AV239" t="s">
        <v>3256</v>
      </c>
      <c r="AW239" t="s">
        <v>3256</v>
      </c>
      <c r="AX239" t="s">
        <v>3257</v>
      </c>
      <c r="AY239" s="2" t="s">
        <v>3258</v>
      </c>
      <c r="AZ239" t="s">
        <v>3259</v>
      </c>
      <c r="BA239" t="s">
        <v>520</v>
      </c>
      <c r="BB239" t="s">
        <v>223</v>
      </c>
      <c r="BC239" t="s">
        <v>188</v>
      </c>
      <c r="BD239">
        <v>510425</v>
      </c>
      <c r="BE239" t="s">
        <v>3260</v>
      </c>
      <c r="BF239" t="s">
        <v>3261</v>
      </c>
      <c r="BG239" t="b">
        <v>0</v>
      </c>
      <c r="BH239" s="6" t="s">
        <v>3262</v>
      </c>
      <c r="BI239" t="s">
        <v>3263</v>
      </c>
      <c r="BJ239">
        <v>4453163191</v>
      </c>
      <c r="BK239" t="s">
        <v>162</v>
      </c>
      <c r="BL239" t="s">
        <v>161</v>
      </c>
      <c r="BM239" s="2"/>
      <c r="BO239" t="s">
        <v>89</v>
      </c>
      <c r="BP239">
        <v>33029000</v>
      </c>
      <c r="BR239" t="s">
        <v>180</v>
      </c>
      <c r="BS239" t="s">
        <v>103</v>
      </c>
      <c r="BU239">
        <v>432.26</v>
      </c>
      <c r="BV239">
        <v>618.13</v>
      </c>
      <c r="BW239">
        <v>0</v>
      </c>
      <c r="BX239">
        <v>0</v>
      </c>
      <c r="BY239">
        <v>0</v>
      </c>
      <c r="BZ239">
        <v>0</v>
      </c>
      <c r="CA239">
        <v>1050.3900000000001</v>
      </c>
      <c r="CF239" s="2"/>
      <c r="CH239" s="2"/>
      <c r="CJ239" t="s">
        <v>1023</v>
      </c>
      <c r="CK239" t="s">
        <v>2261</v>
      </c>
      <c r="CL239">
        <v>43771.378229166665</v>
      </c>
      <c r="CO239" t="s">
        <v>11</v>
      </c>
      <c r="CP239">
        <v>4322.58</v>
      </c>
      <c r="CQ239" t="s">
        <v>11</v>
      </c>
      <c r="CR239">
        <v>4322.58</v>
      </c>
      <c r="CV239" t="s">
        <v>525</v>
      </c>
      <c r="CW239" t="s">
        <v>12</v>
      </c>
      <c r="CX239" t="s">
        <v>12</v>
      </c>
      <c r="CY239" t="s">
        <v>12</v>
      </c>
      <c r="DA239" t="s">
        <v>104</v>
      </c>
      <c r="DD239" t="s">
        <v>93</v>
      </c>
      <c r="DQ239" t="s">
        <v>94</v>
      </c>
      <c r="DR239" t="s">
        <v>94</v>
      </c>
      <c r="DS239" t="s">
        <v>94</v>
      </c>
      <c r="DT239" t="s">
        <v>94</v>
      </c>
      <c r="DU239" t="s">
        <v>94</v>
      </c>
      <c r="DV239" t="s">
        <v>94</v>
      </c>
      <c r="DW239" t="s">
        <v>94</v>
      </c>
      <c r="DX239" s="2" t="s">
        <v>94</v>
      </c>
      <c r="DY239" t="s">
        <v>94</v>
      </c>
      <c r="DZ239" t="s">
        <v>94</v>
      </c>
      <c r="EA239" t="s">
        <v>94</v>
      </c>
      <c r="EB239" t="s">
        <v>94</v>
      </c>
      <c r="EC239" t="s">
        <v>94</v>
      </c>
      <c r="ED239" t="s">
        <v>94</v>
      </c>
      <c r="EE239" t="s">
        <v>89</v>
      </c>
      <c r="EF239" t="s">
        <v>425</v>
      </c>
      <c r="EG239" t="s">
        <v>105</v>
      </c>
      <c r="EJ239" t="s">
        <v>166</v>
      </c>
      <c r="EK239" t="b">
        <v>0</v>
      </c>
      <c r="EL239" t="b">
        <v>0</v>
      </c>
      <c r="EM239" t="b">
        <v>0</v>
      </c>
      <c r="EO239" t="s">
        <v>177</v>
      </c>
      <c r="EP239" t="s">
        <v>3325</v>
      </c>
    </row>
    <row r="240" spans="3:146" ht="15">
      <c r="C240" s="82" t="s">
        <v>3326</v>
      </c>
      <c r="D240" s="5"/>
      <c r="E240" s="4">
        <v>1</v>
      </c>
      <c r="F240" s="5">
        <v>0.02</v>
      </c>
      <c r="G240" s="5" t="s">
        <v>3327</v>
      </c>
      <c r="H240" s="4" t="s">
        <v>2716</v>
      </c>
      <c r="I240" s="81" t="s">
        <v>817</v>
      </c>
      <c r="J240" s="21"/>
      <c r="K240" s="22" t="s">
        <v>3264</v>
      </c>
      <c r="L240" s="84" t="s">
        <v>2156</v>
      </c>
      <c r="M240" s="23" t="s">
        <v>817</v>
      </c>
      <c r="N240" s="23">
        <v>43751</v>
      </c>
      <c r="O240" s="24" t="s">
        <v>102</v>
      </c>
      <c r="P240" s="24" t="s">
        <v>179</v>
      </c>
      <c r="Q240" s="24">
        <v>1</v>
      </c>
      <c r="R240" s="24">
        <v>0.02</v>
      </c>
      <c r="S240" t="s">
        <v>319</v>
      </c>
      <c r="T240" t="s">
        <v>3067</v>
      </c>
      <c r="U240" s="2" t="s">
        <v>163</v>
      </c>
      <c r="V240">
        <v>43751.865763888891</v>
      </c>
      <c r="W240" s="2" t="s">
        <v>444</v>
      </c>
      <c r="X240">
        <v>43754.45584490741</v>
      </c>
      <c r="AB240" t="s">
        <v>9</v>
      </c>
      <c r="AC240" t="s">
        <v>755</v>
      </c>
      <c r="AD240" t="s">
        <v>209</v>
      </c>
      <c r="AE240" t="s">
        <v>3270</v>
      </c>
      <c r="AF240" t="s">
        <v>3270</v>
      </c>
      <c r="AG240" t="s">
        <v>183</v>
      </c>
      <c r="AH240" t="s">
        <v>3220</v>
      </c>
      <c r="AI240" t="s">
        <v>3220</v>
      </c>
      <c r="AJ240" t="s">
        <v>584</v>
      </c>
      <c r="AK240" t="s">
        <v>585</v>
      </c>
      <c r="AL240" t="s">
        <v>3221</v>
      </c>
      <c r="AO240" t="s">
        <v>3222</v>
      </c>
      <c r="AP240" t="s">
        <v>759</v>
      </c>
      <c r="AR240" t="s">
        <v>3223</v>
      </c>
      <c r="AS240">
        <v>-420416837846</v>
      </c>
      <c r="AT240" t="s">
        <v>3224</v>
      </c>
      <c r="AU240" t="s">
        <v>10</v>
      </c>
      <c r="AV240" t="s">
        <v>3225</v>
      </c>
      <c r="AW240" t="s">
        <v>3225</v>
      </c>
      <c r="AX240" t="s">
        <v>3226</v>
      </c>
      <c r="AY240" s="2" t="s">
        <v>3227</v>
      </c>
      <c r="AZ240" t="s">
        <v>3228</v>
      </c>
      <c r="BA240" t="s">
        <v>299</v>
      </c>
      <c r="BB240" t="s">
        <v>300</v>
      </c>
      <c r="BC240" t="s">
        <v>188</v>
      </c>
      <c r="BD240">
        <v>511453</v>
      </c>
      <c r="BE240" t="s">
        <v>3271</v>
      </c>
      <c r="BF240" t="s">
        <v>3229</v>
      </c>
      <c r="BG240" t="b">
        <v>0</v>
      </c>
      <c r="BH240" s="6" t="s">
        <v>3230</v>
      </c>
      <c r="BI240" t="s">
        <v>3265</v>
      </c>
      <c r="BJ240">
        <v>4453163191</v>
      </c>
      <c r="BK240" t="s">
        <v>162</v>
      </c>
      <c r="BL240" t="s">
        <v>161</v>
      </c>
      <c r="BM240" s="2"/>
      <c r="BO240" t="s">
        <v>89</v>
      </c>
      <c r="BP240">
        <v>3926909090</v>
      </c>
      <c r="BR240" t="s">
        <v>180</v>
      </c>
      <c r="BS240" t="s">
        <v>103</v>
      </c>
      <c r="BU240">
        <v>0</v>
      </c>
      <c r="BV240">
        <v>0</v>
      </c>
      <c r="BW240">
        <v>0</v>
      </c>
      <c r="BX240">
        <v>0</v>
      </c>
      <c r="BY240">
        <v>0</v>
      </c>
      <c r="BZ240">
        <v>0</v>
      </c>
      <c r="CA240">
        <v>0</v>
      </c>
      <c r="CF240" s="2"/>
      <c r="CH240" s="2"/>
      <c r="CJ240" t="s">
        <v>1023</v>
      </c>
      <c r="CK240" t="s">
        <v>1849</v>
      </c>
      <c r="CL240">
        <v>43751.590289351851</v>
      </c>
      <c r="CO240" t="s">
        <v>11</v>
      </c>
      <c r="CP240">
        <v>212.24</v>
      </c>
      <c r="CQ240" t="s">
        <v>11</v>
      </c>
      <c r="CR240">
        <v>212.24</v>
      </c>
      <c r="CV240" t="s">
        <v>190</v>
      </c>
      <c r="CW240" t="s">
        <v>12</v>
      </c>
      <c r="CX240" t="s">
        <v>12</v>
      </c>
      <c r="CY240" t="s">
        <v>12</v>
      </c>
      <c r="DA240" t="s">
        <v>104</v>
      </c>
      <c r="DD240" t="s">
        <v>93</v>
      </c>
      <c r="DQ240" t="s">
        <v>94</v>
      </c>
      <c r="DR240" t="s">
        <v>94</v>
      </c>
      <c r="DS240" t="s">
        <v>94</v>
      </c>
      <c r="DT240" t="s">
        <v>94</v>
      </c>
      <c r="DU240" t="s">
        <v>94</v>
      </c>
      <c r="DV240" t="s">
        <v>94</v>
      </c>
      <c r="DW240" t="s">
        <v>94</v>
      </c>
      <c r="DX240" s="2" t="s">
        <v>94</v>
      </c>
      <c r="DY240" t="s">
        <v>94</v>
      </c>
      <c r="DZ240" t="s">
        <v>94</v>
      </c>
      <c r="EA240" t="s">
        <v>94</v>
      </c>
      <c r="EB240" t="s">
        <v>94</v>
      </c>
      <c r="EC240" t="s">
        <v>94</v>
      </c>
      <c r="ED240" t="s">
        <v>94</v>
      </c>
      <c r="EE240" t="s">
        <v>89</v>
      </c>
      <c r="EF240" t="s">
        <v>94</v>
      </c>
      <c r="EG240" t="s">
        <v>543</v>
      </c>
      <c r="EJ240" t="s">
        <v>166</v>
      </c>
      <c r="EK240" t="b">
        <v>0</v>
      </c>
      <c r="EL240" t="b">
        <v>0</v>
      </c>
      <c r="EM240" t="b">
        <v>0</v>
      </c>
      <c r="EO240" t="s">
        <v>177</v>
      </c>
      <c r="EP240" t="s">
        <v>3328</v>
      </c>
    </row>
    <row r="241" spans="3:143" ht="15">
      <c r="C241" s="82">
        <v>2</v>
      </c>
      <c r="D241" s="5"/>
      <c r="E241" s="4">
        <v>1</v>
      </c>
      <c r="F241" s="5">
        <v>0.02</v>
      </c>
      <c r="G241" s="5" t="s">
        <v>3329</v>
      </c>
      <c r="H241" s="4" t="s">
        <v>3268</v>
      </c>
      <c r="I241" s="81" t="s">
        <v>164</v>
      </c>
      <c r="J241" s="21"/>
      <c r="K241" s="22" t="s">
        <v>3264</v>
      </c>
      <c r="L241" s="84" t="s">
        <v>3044</v>
      </c>
      <c r="M241" s="23" t="s">
        <v>164</v>
      </c>
      <c r="N241" s="23">
        <v>43768</v>
      </c>
      <c r="O241" s="24" t="s">
        <v>102</v>
      </c>
      <c r="P241" s="24" t="s">
        <v>181</v>
      </c>
      <c r="Q241" s="24">
        <v>1</v>
      </c>
      <c r="R241" s="24">
        <v>0.02</v>
      </c>
      <c r="S241" t="s">
        <v>11</v>
      </c>
      <c r="T241" t="s">
        <v>3269</v>
      </c>
      <c r="U241" s="2" t="s">
        <v>163</v>
      </c>
      <c r="V241">
        <v>43768.844606481478</v>
      </c>
      <c r="W241" s="2" t="s">
        <v>444</v>
      </c>
      <c r="X241">
        <v>43768.912083333336</v>
      </c>
      <c r="AB241" t="s">
        <v>9</v>
      </c>
      <c r="AC241" t="s">
        <v>755</v>
      </c>
      <c r="AD241" t="s">
        <v>209</v>
      </c>
      <c r="AE241" t="s">
        <v>3270</v>
      </c>
      <c r="AF241" t="s">
        <v>3270</v>
      </c>
      <c r="AG241" t="s">
        <v>183</v>
      </c>
      <c r="AH241" t="s">
        <v>3220</v>
      </c>
      <c r="AI241" t="s">
        <v>3220</v>
      </c>
      <c r="AJ241" t="s">
        <v>584</v>
      </c>
      <c r="AK241" t="s">
        <v>585</v>
      </c>
      <c r="AL241" t="s">
        <v>3221</v>
      </c>
      <c r="AO241" t="s">
        <v>3222</v>
      </c>
      <c r="AP241" t="s">
        <v>759</v>
      </c>
      <c r="AR241" t="s">
        <v>3223</v>
      </c>
      <c r="AS241">
        <v>-420416837846</v>
      </c>
      <c r="AT241" t="s">
        <v>3224</v>
      </c>
      <c r="AU241" t="s">
        <v>10</v>
      </c>
      <c r="AV241" t="s">
        <v>3225</v>
      </c>
      <c r="AW241" t="s">
        <v>3225</v>
      </c>
      <c r="AX241" t="s">
        <v>3226</v>
      </c>
      <c r="AY241" s="2" t="s">
        <v>3227</v>
      </c>
      <c r="AZ241" t="s">
        <v>3228</v>
      </c>
      <c r="BA241" t="s">
        <v>299</v>
      </c>
      <c r="BB241" t="s">
        <v>300</v>
      </c>
      <c r="BC241" t="s">
        <v>188</v>
      </c>
      <c r="BD241">
        <v>511453</v>
      </c>
      <c r="BE241" t="s">
        <v>3271</v>
      </c>
      <c r="BF241" t="s">
        <v>3229</v>
      </c>
      <c r="BG241" t="b">
        <v>0</v>
      </c>
      <c r="BH241" s="6" t="s">
        <v>3230</v>
      </c>
      <c r="BI241" t="s">
        <v>3231</v>
      </c>
      <c r="BJ241">
        <v>4453163191</v>
      </c>
      <c r="BK241" t="s">
        <v>162</v>
      </c>
      <c r="BL241" t="s">
        <v>161</v>
      </c>
      <c r="BM241" s="2"/>
      <c r="BO241" t="s">
        <v>89</v>
      </c>
      <c r="BP241">
        <v>72189900</v>
      </c>
      <c r="BR241" t="s">
        <v>180</v>
      </c>
      <c r="BS241" t="s">
        <v>103</v>
      </c>
      <c r="BU241">
        <v>0</v>
      </c>
      <c r="BV241">
        <v>64.44</v>
      </c>
      <c r="BW241">
        <v>0</v>
      </c>
      <c r="BX241">
        <v>0</v>
      </c>
      <c r="BY241">
        <v>0</v>
      </c>
      <c r="BZ241">
        <v>0</v>
      </c>
      <c r="CA241">
        <v>64.44</v>
      </c>
      <c r="CF241" s="2"/>
      <c r="CH241" s="2"/>
      <c r="CJ241" t="s">
        <v>1023</v>
      </c>
      <c r="CK241" t="s">
        <v>2261</v>
      </c>
      <c r="CL241">
        <v>43768.395462962966</v>
      </c>
      <c r="CO241" t="s">
        <v>11</v>
      </c>
      <c r="CP241">
        <v>486</v>
      </c>
      <c r="CQ241" t="s">
        <v>11</v>
      </c>
      <c r="CR241">
        <v>486</v>
      </c>
      <c r="CV241" t="s">
        <v>190</v>
      </c>
      <c r="CW241" t="s">
        <v>12</v>
      </c>
      <c r="CX241" t="s">
        <v>12</v>
      </c>
      <c r="CY241" t="s">
        <v>12</v>
      </c>
      <c r="DA241" t="s">
        <v>104</v>
      </c>
      <c r="DD241" t="s">
        <v>93</v>
      </c>
      <c r="DQ241" t="s">
        <v>94</v>
      </c>
      <c r="DR241" t="s">
        <v>94</v>
      </c>
      <c r="DS241" t="s">
        <v>94</v>
      </c>
      <c r="DT241" t="s">
        <v>94</v>
      </c>
      <c r="DU241" t="s">
        <v>94</v>
      </c>
      <c r="DV241" t="s">
        <v>94</v>
      </c>
      <c r="DW241" t="s">
        <v>94</v>
      </c>
      <c r="DX241" s="2" t="s">
        <v>94</v>
      </c>
      <c r="DY241" t="s">
        <v>94</v>
      </c>
      <c r="DZ241" t="s">
        <v>94</v>
      </c>
      <c r="EA241" t="s">
        <v>94</v>
      </c>
      <c r="EB241" t="s">
        <v>94</v>
      </c>
      <c r="EC241" t="s">
        <v>94</v>
      </c>
      <c r="ED241" t="s">
        <v>94</v>
      </c>
      <c r="EE241" t="s">
        <v>89</v>
      </c>
      <c r="EF241" t="s">
        <v>94</v>
      </c>
      <c r="EG241" t="s">
        <v>543</v>
      </c>
      <c r="EJ241" t="s">
        <v>166</v>
      </c>
      <c r="EK241" t="b">
        <v>0</v>
      </c>
      <c r="EL241" t="b">
        <v>0</v>
      </c>
      <c r="EM241" t="b">
        <v>0</v>
      </c>
    </row>
    <row r="242" spans="3:143">
      <c r="C242" s="4">
        <v>2</v>
      </c>
      <c r="D242" s="4"/>
      <c r="E242" s="4">
        <v>1</v>
      </c>
      <c r="F242" s="4">
        <v>1.85</v>
      </c>
      <c r="G242" s="5" t="s">
        <v>3329</v>
      </c>
      <c r="H242" s="4" t="s">
        <v>3272</v>
      </c>
      <c r="I242" s="4" t="s">
        <v>164</v>
      </c>
      <c r="J242" s="5"/>
      <c r="K242" s="22" t="s">
        <v>3273</v>
      </c>
      <c r="L242" s="84" t="s">
        <v>3044</v>
      </c>
      <c r="M242" s="23" t="s">
        <v>164</v>
      </c>
      <c r="N242" s="23">
        <v>43768</v>
      </c>
      <c r="O242" s="24" t="s">
        <v>102</v>
      </c>
      <c r="P242" s="24" t="s">
        <v>181</v>
      </c>
      <c r="Q242" s="24">
        <v>1</v>
      </c>
      <c r="R242" s="24">
        <v>1.85</v>
      </c>
      <c r="S242" t="s">
        <v>319</v>
      </c>
      <c r="T242" t="s">
        <v>3274</v>
      </c>
      <c r="U242" s="2" t="s">
        <v>163</v>
      </c>
      <c r="V242">
        <v>43768.844525462962</v>
      </c>
      <c r="W242" s="2" t="s">
        <v>444</v>
      </c>
      <c r="X242">
        <v>43771.42019675926</v>
      </c>
      <c r="AB242" t="s">
        <v>9</v>
      </c>
      <c r="AC242" t="s">
        <v>3232</v>
      </c>
      <c r="AD242" t="s">
        <v>182</v>
      </c>
      <c r="AE242" t="s">
        <v>3275</v>
      </c>
      <c r="AF242" t="s">
        <v>3275</v>
      </c>
      <c r="AG242" t="s">
        <v>183</v>
      </c>
      <c r="AH242" t="s">
        <v>3233</v>
      </c>
      <c r="AI242" t="s">
        <v>3233</v>
      </c>
      <c r="AJ242" t="s">
        <v>3234</v>
      </c>
      <c r="AK242" t="s">
        <v>3235</v>
      </c>
      <c r="AL242" t="s">
        <v>3236</v>
      </c>
      <c r="AO242" t="s">
        <v>3237</v>
      </c>
      <c r="AP242" t="s">
        <v>3238</v>
      </c>
      <c r="AR242" t="s">
        <v>3276</v>
      </c>
      <c r="AS242">
        <v>400421448</v>
      </c>
      <c r="AT242" t="s">
        <v>3239</v>
      </c>
      <c r="AU242" t="s">
        <v>10</v>
      </c>
      <c r="AV242" t="s">
        <v>3240</v>
      </c>
      <c r="AW242" t="s">
        <v>3240</v>
      </c>
      <c r="AX242" t="s">
        <v>3241</v>
      </c>
      <c r="AY242" t="s">
        <v>3242</v>
      </c>
      <c r="AZ242" t="s">
        <v>3243</v>
      </c>
      <c r="BA242" t="s">
        <v>186</v>
      </c>
      <c r="BB242" t="s">
        <v>187</v>
      </c>
      <c r="BC242" t="s">
        <v>188</v>
      </c>
      <c r="BD242">
        <v>518106</v>
      </c>
      <c r="BE242" t="s">
        <v>3244</v>
      </c>
      <c r="BF242" t="s">
        <v>3245</v>
      </c>
      <c r="BG242" t="b">
        <v>0</v>
      </c>
      <c r="BH242" s="6" t="s">
        <v>3246</v>
      </c>
      <c r="BI242" t="s">
        <v>3247</v>
      </c>
      <c r="BJ242">
        <v>4453163191</v>
      </c>
      <c r="BK242" t="s">
        <v>162</v>
      </c>
      <c r="BL242" t="s">
        <v>161</v>
      </c>
      <c r="BM242" s="2"/>
      <c r="BO242" t="s">
        <v>89</v>
      </c>
      <c r="BP242">
        <v>85312000</v>
      </c>
      <c r="BR242" t="s">
        <v>180</v>
      </c>
      <c r="BS242" t="s">
        <v>103</v>
      </c>
      <c r="BU242">
        <v>0</v>
      </c>
      <c r="BV242">
        <v>96.54</v>
      </c>
      <c r="BW242">
        <v>0</v>
      </c>
      <c r="BX242">
        <v>0</v>
      </c>
      <c r="BY242">
        <v>0</v>
      </c>
      <c r="BZ242">
        <v>0</v>
      </c>
      <c r="CA242">
        <v>96.54</v>
      </c>
      <c r="CF242" s="2"/>
      <c r="CH242" s="2"/>
      <c r="CJ242" t="s">
        <v>1023</v>
      </c>
      <c r="CK242" t="s">
        <v>2261</v>
      </c>
      <c r="CL242">
        <v>43768.379027777781</v>
      </c>
      <c r="CO242" t="s">
        <v>11</v>
      </c>
      <c r="CP242">
        <v>742.83</v>
      </c>
      <c r="CQ242" t="s">
        <v>11</v>
      </c>
      <c r="CR242">
        <v>742.83</v>
      </c>
      <c r="CV242" t="s">
        <v>190</v>
      </c>
      <c r="CW242" t="s">
        <v>12</v>
      </c>
      <c r="CX242" t="s">
        <v>12</v>
      </c>
      <c r="CY242" t="s">
        <v>12</v>
      </c>
      <c r="DA242" t="s">
        <v>104</v>
      </c>
      <c r="DD242" t="s">
        <v>93</v>
      </c>
      <c r="DQ242" t="s">
        <v>94</v>
      </c>
      <c r="DR242" t="s">
        <v>94</v>
      </c>
      <c r="DS242" t="s">
        <v>94</v>
      </c>
      <c r="DT242" t="s">
        <v>94</v>
      </c>
      <c r="DU242" t="s">
        <v>94</v>
      </c>
      <c r="DV242" t="s">
        <v>94</v>
      </c>
      <c r="DW242" t="s">
        <v>94</v>
      </c>
      <c r="DX242" s="2" t="s">
        <v>94</v>
      </c>
      <c r="DY242" t="s">
        <v>94</v>
      </c>
      <c r="DZ242" t="s">
        <v>94</v>
      </c>
      <c r="EA242" t="s">
        <v>94</v>
      </c>
      <c r="EB242" t="s">
        <v>94</v>
      </c>
      <c r="EC242" t="s">
        <v>94</v>
      </c>
      <c r="ED242" t="s">
        <v>94</v>
      </c>
      <c r="EE242" t="s">
        <v>89</v>
      </c>
      <c r="EF242" t="s">
        <v>425</v>
      </c>
      <c r="EG242" t="s">
        <v>105</v>
      </c>
      <c r="EJ242" t="s">
        <v>166</v>
      </c>
      <c r="EK242" t="b">
        <v>0</v>
      </c>
      <c r="EL242" t="b">
        <v>0</v>
      </c>
      <c r="EM242" t="b">
        <v>0</v>
      </c>
    </row>
    <row r="243" spans="3:143" ht="15">
      <c r="C243" s="82" t="s">
        <v>3330</v>
      </c>
      <c r="D243" s="5"/>
      <c r="E243" s="4">
        <v>1</v>
      </c>
      <c r="F243" s="5">
        <v>8.15</v>
      </c>
      <c r="G243" s="5" t="s">
        <v>3331</v>
      </c>
      <c r="H243" s="4" t="s">
        <v>3332</v>
      </c>
      <c r="I243" s="81" t="s">
        <v>920</v>
      </c>
      <c r="J243" s="21"/>
      <c r="K243" s="22" t="s">
        <v>3153</v>
      </c>
      <c r="L243" s="84" t="s">
        <v>2634</v>
      </c>
      <c r="M243" s="23" t="s">
        <v>920</v>
      </c>
      <c r="N243" s="23">
        <v>43764</v>
      </c>
      <c r="O243" s="24" t="s">
        <v>102</v>
      </c>
      <c r="P243" s="24" t="s">
        <v>181</v>
      </c>
      <c r="Q243" s="24">
        <v>1</v>
      </c>
      <c r="R243" s="24">
        <v>8.15</v>
      </c>
      <c r="S243" t="s">
        <v>11</v>
      </c>
      <c r="T243">
        <v>400</v>
      </c>
      <c r="U243" s="2" t="s">
        <v>163</v>
      </c>
      <c r="V243">
        <v>43764.879560185182</v>
      </c>
      <c r="W243" s="2" t="s">
        <v>427</v>
      </c>
      <c r="X243">
        <v>43764.887488425928</v>
      </c>
      <c r="AB243" t="s">
        <v>9</v>
      </c>
      <c r="AC243" t="s">
        <v>3154</v>
      </c>
      <c r="AD243" t="s">
        <v>1602</v>
      </c>
      <c r="AE243">
        <v>2459156</v>
      </c>
      <c r="AF243">
        <v>2459156</v>
      </c>
      <c r="AG243" t="s">
        <v>183</v>
      </c>
      <c r="AH243" t="s">
        <v>3155</v>
      </c>
      <c r="AI243" t="s">
        <v>3155</v>
      </c>
      <c r="AJ243" t="s">
        <v>184</v>
      </c>
      <c r="AK243" t="s">
        <v>185</v>
      </c>
      <c r="AL243" t="s">
        <v>3156</v>
      </c>
      <c r="AM243" t="s">
        <v>3157</v>
      </c>
      <c r="AN243" t="s">
        <v>3158</v>
      </c>
      <c r="AO243" t="s">
        <v>3159</v>
      </c>
      <c r="AP243" t="s">
        <v>3160</v>
      </c>
      <c r="AQ243" t="s">
        <v>454</v>
      </c>
      <c r="AR243" t="s">
        <v>3161</v>
      </c>
      <c r="AS243">
        <v>1616286622</v>
      </c>
      <c r="AT243" t="s">
        <v>3162</v>
      </c>
      <c r="AU243" t="s">
        <v>10</v>
      </c>
      <c r="AV243" t="s">
        <v>3163</v>
      </c>
      <c r="AW243" t="s">
        <v>3164</v>
      </c>
      <c r="AX243" t="s">
        <v>3165</v>
      </c>
      <c r="AY243" s="2" t="s">
        <v>3166</v>
      </c>
      <c r="BA243" t="s">
        <v>1615</v>
      </c>
      <c r="BB243" t="s">
        <v>1616</v>
      </c>
      <c r="BC243" t="s">
        <v>188</v>
      </c>
      <c r="BD243">
        <v>528478</v>
      </c>
      <c r="BE243">
        <v>76022347904</v>
      </c>
      <c r="BF243" t="s">
        <v>3167</v>
      </c>
      <c r="BG243" t="b">
        <v>0</v>
      </c>
      <c r="BH243" s="6" t="s">
        <v>3168</v>
      </c>
      <c r="BI243" t="s">
        <v>3169</v>
      </c>
      <c r="BJ243">
        <v>4453163191</v>
      </c>
      <c r="BK243" t="s">
        <v>162</v>
      </c>
      <c r="BL243" t="s">
        <v>161</v>
      </c>
      <c r="BM243" s="2"/>
      <c r="BO243" t="s">
        <v>89</v>
      </c>
      <c r="BP243">
        <v>94054090</v>
      </c>
      <c r="BR243" t="s">
        <v>189</v>
      </c>
      <c r="BS243" t="s">
        <v>103</v>
      </c>
      <c r="BU243">
        <v>0</v>
      </c>
      <c r="BV243">
        <v>55.12</v>
      </c>
      <c r="BW243">
        <v>0</v>
      </c>
      <c r="BX243">
        <v>0</v>
      </c>
      <c r="BY243">
        <v>0</v>
      </c>
      <c r="BZ243">
        <v>0</v>
      </c>
      <c r="CA243">
        <v>55.12</v>
      </c>
      <c r="CB243" t="s">
        <v>444</v>
      </c>
      <c r="CF243" s="2"/>
      <c r="CH243" s="2"/>
      <c r="CJ243">
        <v>5.3142019950154701E+17</v>
      </c>
      <c r="CK243" t="s">
        <v>2710</v>
      </c>
      <c r="CL243">
        <v>43764.376597222225</v>
      </c>
      <c r="CO243" t="s">
        <v>11</v>
      </c>
      <c r="CP243">
        <v>400</v>
      </c>
      <c r="CQ243" t="s">
        <v>11</v>
      </c>
      <c r="CR243">
        <v>400</v>
      </c>
      <c r="CV243" t="s">
        <v>190</v>
      </c>
      <c r="CW243" t="s">
        <v>12</v>
      </c>
      <c r="CX243" t="s">
        <v>12</v>
      </c>
      <c r="CY243" t="s">
        <v>12</v>
      </c>
      <c r="DA243" t="s">
        <v>104</v>
      </c>
      <c r="DD243" t="s">
        <v>93</v>
      </c>
      <c r="DQ243" t="s">
        <v>94</v>
      </c>
      <c r="DR243" t="s">
        <v>94</v>
      </c>
      <c r="DS243" t="s">
        <v>94</v>
      </c>
      <c r="DT243" t="s">
        <v>94</v>
      </c>
      <c r="DU243" t="s">
        <v>94</v>
      </c>
      <c r="DV243" t="s">
        <v>94</v>
      </c>
      <c r="DW243" t="s">
        <v>94</v>
      </c>
      <c r="DX243" s="2" t="s">
        <v>94</v>
      </c>
      <c r="DY243" t="s">
        <v>94</v>
      </c>
      <c r="DZ243" t="s">
        <v>94</v>
      </c>
      <c r="EA243" t="s">
        <v>94</v>
      </c>
      <c r="EB243" t="s">
        <v>94</v>
      </c>
      <c r="EC243" t="s">
        <v>94</v>
      </c>
      <c r="ED243" t="s">
        <v>94</v>
      </c>
      <c r="EE243" t="s">
        <v>89</v>
      </c>
      <c r="EF243" t="s">
        <v>425</v>
      </c>
      <c r="EG243" t="s">
        <v>105</v>
      </c>
      <c r="EJ243" t="s">
        <v>166</v>
      </c>
      <c r="EK243" t="b">
        <v>0</v>
      </c>
      <c r="EL243" t="b">
        <v>0</v>
      </c>
      <c r="EM243" t="b">
        <v>0</v>
      </c>
    </row>
    <row r="244" spans="3:143" ht="15">
      <c r="C244" s="82">
        <v>3</v>
      </c>
      <c r="D244" s="5"/>
      <c r="E244" s="4">
        <v>1</v>
      </c>
      <c r="F244" s="5">
        <v>0.17</v>
      </c>
      <c r="G244" s="5" t="s">
        <v>3365</v>
      </c>
      <c r="H244" s="4" t="s">
        <v>3366</v>
      </c>
      <c r="I244" s="81" t="s">
        <v>920</v>
      </c>
      <c r="J244" s="21"/>
      <c r="K244" s="22" t="s">
        <v>3333</v>
      </c>
      <c r="L244" s="84" t="s">
        <v>3334</v>
      </c>
      <c r="M244" s="23" t="s">
        <v>905</v>
      </c>
      <c r="N244" s="23">
        <v>43769</v>
      </c>
      <c r="O244" s="24" t="s">
        <v>102</v>
      </c>
      <c r="P244" s="24" t="s">
        <v>179</v>
      </c>
      <c r="Q244" s="24">
        <v>1</v>
      </c>
      <c r="R244" s="24">
        <v>0.17</v>
      </c>
      <c r="S244" t="s">
        <v>528</v>
      </c>
      <c r="T244">
        <v>20</v>
      </c>
      <c r="U244" s="2" t="s">
        <v>163</v>
      </c>
      <c r="V244">
        <v>43769.883715277778</v>
      </c>
      <c r="W244" s="2" t="s">
        <v>444</v>
      </c>
      <c r="X244">
        <v>43769.90730324074</v>
      </c>
      <c r="AB244" t="s">
        <v>9</v>
      </c>
      <c r="AC244" t="s">
        <v>3335</v>
      </c>
      <c r="AD244" t="s">
        <v>182</v>
      </c>
      <c r="AE244">
        <v>725536</v>
      </c>
      <c r="AF244">
        <v>725536</v>
      </c>
      <c r="AG244" t="s">
        <v>183</v>
      </c>
      <c r="AH244" t="s">
        <v>3336</v>
      </c>
      <c r="AI244" t="s">
        <v>3336</v>
      </c>
      <c r="AJ244" t="s">
        <v>795</v>
      </c>
      <c r="AK244" t="s">
        <v>796</v>
      </c>
      <c r="AL244" t="s">
        <v>3337</v>
      </c>
      <c r="AO244" t="s">
        <v>3338</v>
      </c>
      <c r="AP244" t="s">
        <v>3339</v>
      </c>
      <c r="AQ244" t="s">
        <v>3340</v>
      </c>
      <c r="AR244" t="s">
        <v>3367</v>
      </c>
      <c r="AS244">
        <v>-34937604920</v>
      </c>
      <c r="AT244" t="s">
        <v>3341</v>
      </c>
      <c r="AU244" t="s">
        <v>10</v>
      </c>
      <c r="AV244" t="s">
        <v>3342</v>
      </c>
      <c r="AW244" t="s">
        <v>3342</v>
      </c>
      <c r="AX244" t="s">
        <v>3343</v>
      </c>
      <c r="AY244" s="2" t="s">
        <v>3344</v>
      </c>
      <c r="AZ244" t="s">
        <v>3345</v>
      </c>
      <c r="BA244" t="s">
        <v>194</v>
      </c>
      <c r="BB244" t="s">
        <v>272</v>
      </c>
      <c r="BC244" t="s">
        <v>188</v>
      </c>
      <c r="BD244">
        <v>518040</v>
      </c>
      <c r="BE244">
        <v>-8675583896990</v>
      </c>
      <c r="BF244" t="s">
        <v>3346</v>
      </c>
      <c r="BG244" t="b">
        <v>0</v>
      </c>
      <c r="BH244" s="6" t="s">
        <v>3347</v>
      </c>
      <c r="BI244" t="s">
        <v>3348</v>
      </c>
      <c r="BJ244">
        <v>4453163191</v>
      </c>
      <c r="BK244" t="s">
        <v>162</v>
      </c>
      <c r="BL244" t="s">
        <v>161</v>
      </c>
      <c r="BM244" s="2"/>
      <c r="BO244" t="s">
        <v>89</v>
      </c>
      <c r="BP244">
        <v>6108910010</v>
      </c>
      <c r="BR244" t="s">
        <v>180</v>
      </c>
      <c r="BS244" t="s">
        <v>103</v>
      </c>
      <c r="BU244">
        <v>0</v>
      </c>
      <c r="BV244">
        <v>0</v>
      </c>
      <c r="BW244">
        <v>0</v>
      </c>
      <c r="BX244">
        <v>0</v>
      </c>
      <c r="BY244">
        <v>0</v>
      </c>
      <c r="BZ244">
        <v>0</v>
      </c>
      <c r="CA244">
        <v>0</v>
      </c>
      <c r="CF244" s="2"/>
      <c r="CH244" s="2"/>
      <c r="CJ244">
        <v>5.3142019950157498E+17</v>
      </c>
      <c r="CK244" t="s">
        <v>1509</v>
      </c>
      <c r="CL244">
        <v>43769.372037037036</v>
      </c>
      <c r="CO244" t="s">
        <v>11</v>
      </c>
      <c r="CP244">
        <v>156.1</v>
      </c>
      <c r="CQ244" t="s">
        <v>11</v>
      </c>
      <c r="CR244">
        <v>156.1</v>
      </c>
      <c r="CV244" t="s">
        <v>190</v>
      </c>
      <c r="CW244" t="s">
        <v>12</v>
      </c>
      <c r="CX244" t="s">
        <v>12</v>
      </c>
      <c r="CY244" t="s">
        <v>12</v>
      </c>
      <c r="DA244" t="s">
        <v>104</v>
      </c>
      <c r="DD244" t="s">
        <v>93</v>
      </c>
      <c r="DQ244" t="s">
        <v>94</v>
      </c>
      <c r="DR244" t="s">
        <v>94</v>
      </c>
      <c r="DS244" t="s">
        <v>94</v>
      </c>
      <c r="DT244" t="s">
        <v>94</v>
      </c>
      <c r="DU244" t="s">
        <v>94</v>
      </c>
      <c r="DV244" t="s">
        <v>94</v>
      </c>
      <c r="DW244" t="s">
        <v>94</v>
      </c>
      <c r="DX244" s="2" t="s">
        <v>94</v>
      </c>
      <c r="DY244" t="s">
        <v>94</v>
      </c>
      <c r="DZ244" t="s">
        <v>94</v>
      </c>
      <c r="EA244" t="s">
        <v>94</v>
      </c>
      <c r="EB244" t="s">
        <v>94</v>
      </c>
      <c r="EC244" t="s">
        <v>94</v>
      </c>
      <c r="ED244" t="s">
        <v>94</v>
      </c>
      <c r="EE244" t="s">
        <v>89</v>
      </c>
      <c r="EF244" t="s">
        <v>425</v>
      </c>
      <c r="EG244" t="s">
        <v>105</v>
      </c>
      <c r="EJ244" t="s">
        <v>166</v>
      </c>
      <c r="EK244" t="b">
        <v>0</v>
      </c>
      <c r="EL244" t="b">
        <v>0</v>
      </c>
      <c r="EM244" t="b">
        <v>0</v>
      </c>
    </row>
    <row r="245" spans="3:143" ht="15">
      <c r="C245" s="82">
        <v>32</v>
      </c>
      <c r="D245" s="5"/>
      <c r="E245" s="4">
        <v>1</v>
      </c>
      <c r="F245" s="5">
        <v>0.1</v>
      </c>
      <c r="G245" s="5" t="s">
        <v>3368</v>
      </c>
      <c r="H245" s="4" t="s">
        <v>3369</v>
      </c>
      <c r="I245" s="81" t="s">
        <v>920</v>
      </c>
      <c r="J245" s="21"/>
      <c r="K245" s="22" t="s">
        <v>3349</v>
      </c>
      <c r="L245" s="84" t="s">
        <v>3266</v>
      </c>
      <c r="M245" s="23" t="s">
        <v>905</v>
      </c>
      <c r="N245" s="23">
        <v>43771</v>
      </c>
      <c r="O245" s="24" t="s">
        <v>102</v>
      </c>
      <c r="P245" s="24" t="s">
        <v>179</v>
      </c>
      <c r="Q245" s="24">
        <v>1</v>
      </c>
      <c r="R245" s="24">
        <v>0.1</v>
      </c>
      <c r="S245" t="s">
        <v>319</v>
      </c>
      <c r="T245">
        <v>20</v>
      </c>
      <c r="U245" s="2" t="s">
        <v>163</v>
      </c>
      <c r="V245">
        <v>43771.862187500003</v>
      </c>
      <c r="W245" s="2" t="s">
        <v>444</v>
      </c>
      <c r="X245">
        <v>43771.867256944446</v>
      </c>
      <c r="AB245" t="s">
        <v>9</v>
      </c>
      <c r="AC245" t="s">
        <v>3350</v>
      </c>
      <c r="AD245" t="s">
        <v>209</v>
      </c>
      <c r="AE245">
        <v>272114</v>
      </c>
      <c r="AF245">
        <v>272114</v>
      </c>
      <c r="AG245" t="s">
        <v>183</v>
      </c>
      <c r="AH245" t="s">
        <v>3351</v>
      </c>
      <c r="AI245" t="s">
        <v>3351</v>
      </c>
      <c r="AJ245" t="s">
        <v>1272</v>
      </c>
      <c r="AK245" t="s">
        <v>1273</v>
      </c>
      <c r="AL245" t="s">
        <v>3352</v>
      </c>
      <c r="AM245" t="s">
        <v>3353</v>
      </c>
      <c r="AO245" t="s">
        <v>3354</v>
      </c>
      <c r="AP245" t="s">
        <v>3355</v>
      </c>
      <c r="AR245" t="s">
        <v>3356</v>
      </c>
      <c r="AS245">
        <v>122950400</v>
      </c>
      <c r="AT245" t="s">
        <v>3357</v>
      </c>
      <c r="AU245" t="s">
        <v>10</v>
      </c>
      <c r="AV245" t="s">
        <v>3358</v>
      </c>
      <c r="AW245" t="s">
        <v>3358</v>
      </c>
      <c r="AX245" t="s">
        <v>3359</v>
      </c>
      <c r="AY245" s="2" t="s">
        <v>3360</v>
      </c>
      <c r="AZ245" t="s">
        <v>3361</v>
      </c>
      <c r="BA245" t="s">
        <v>1048</v>
      </c>
      <c r="BB245" t="s">
        <v>1049</v>
      </c>
      <c r="BC245" t="s">
        <v>188</v>
      </c>
      <c r="BD245">
        <v>511340</v>
      </c>
      <c r="BE245">
        <v>-13631497793</v>
      </c>
      <c r="BF245" t="s">
        <v>3362</v>
      </c>
      <c r="BG245" t="b">
        <v>0</v>
      </c>
      <c r="BH245" s="6" t="s">
        <v>3363</v>
      </c>
      <c r="BI245" t="s">
        <v>3364</v>
      </c>
      <c r="BJ245">
        <v>4453163191</v>
      </c>
      <c r="BK245" t="s">
        <v>162</v>
      </c>
      <c r="BL245" t="s">
        <v>161</v>
      </c>
      <c r="BM245" s="2"/>
      <c r="BO245" t="s">
        <v>89</v>
      </c>
      <c r="BP245">
        <v>5208490090</v>
      </c>
      <c r="BR245" t="s">
        <v>180</v>
      </c>
      <c r="BS245" t="s">
        <v>103</v>
      </c>
      <c r="BU245">
        <v>0</v>
      </c>
      <c r="BV245">
        <v>0</v>
      </c>
      <c r="BW245">
        <v>0</v>
      </c>
      <c r="BX245">
        <v>0</v>
      </c>
      <c r="BY245">
        <v>0</v>
      </c>
      <c r="BZ245">
        <v>0</v>
      </c>
      <c r="CA245">
        <v>0</v>
      </c>
      <c r="CF245" s="2"/>
      <c r="CH245" s="2"/>
      <c r="CJ245">
        <v>5.3142019950159098E+17</v>
      </c>
      <c r="CK245" t="s">
        <v>2261</v>
      </c>
      <c r="CL245">
        <v>43771.377743055556</v>
      </c>
      <c r="CO245" t="s">
        <v>11</v>
      </c>
      <c r="CP245">
        <v>141.49</v>
      </c>
      <c r="CQ245" t="s">
        <v>11</v>
      </c>
      <c r="CR245">
        <v>141.49</v>
      </c>
      <c r="CV245" t="s">
        <v>190</v>
      </c>
      <c r="CW245" t="s">
        <v>12</v>
      </c>
      <c r="CX245" t="s">
        <v>12</v>
      </c>
      <c r="CY245" t="s">
        <v>12</v>
      </c>
      <c r="DA245" t="s">
        <v>104</v>
      </c>
      <c r="DD245" t="s">
        <v>93</v>
      </c>
      <c r="DQ245" t="s">
        <v>94</v>
      </c>
      <c r="DR245" t="s">
        <v>94</v>
      </c>
      <c r="DS245" t="s">
        <v>94</v>
      </c>
      <c r="DT245" t="s">
        <v>94</v>
      </c>
      <c r="DU245" t="s">
        <v>94</v>
      </c>
      <c r="DV245" t="s">
        <v>94</v>
      </c>
      <c r="DW245" t="s">
        <v>94</v>
      </c>
      <c r="DX245" s="2" t="s">
        <v>94</v>
      </c>
      <c r="DY245" t="s">
        <v>94</v>
      </c>
      <c r="DZ245" t="s">
        <v>94</v>
      </c>
      <c r="EA245" t="s">
        <v>94</v>
      </c>
      <c r="EB245" t="s">
        <v>94</v>
      </c>
      <c r="EC245" t="s">
        <v>94</v>
      </c>
      <c r="ED245" t="s">
        <v>94</v>
      </c>
      <c r="EE245" t="s">
        <v>89</v>
      </c>
      <c r="EF245" t="s">
        <v>425</v>
      </c>
      <c r="EG245" t="s">
        <v>105</v>
      </c>
      <c r="EJ245" t="s">
        <v>166</v>
      </c>
      <c r="EK245" t="b">
        <v>0</v>
      </c>
      <c r="EL245" t="b">
        <v>0</v>
      </c>
      <c r="EM245" t="b">
        <v>0</v>
      </c>
    </row>
    <row r="246" spans="3:143" ht="15">
      <c r="C246" s="82">
        <v>12</v>
      </c>
      <c r="D246" s="5"/>
      <c r="E246" s="4">
        <v>4</v>
      </c>
      <c r="F246" s="5">
        <v>33.4</v>
      </c>
      <c r="G246" s="5" t="s">
        <v>3380</v>
      </c>
      <c r="H246" s="4" t="s">
        <v>3381</v>
      </c>
      <c r="I246" s="81" t="s">
        <v>920</v>
      </c>
      <c r="J246" s="21"/>
      <c r="K246" s="22" t="s">
        <v>3370</v>
      </c>
      <c r="L246" s="84" t="s">
        <v>2245</v>
      </c>
      <c r="M246" s="23" t="s">
        <v>905</v>
      </c>
      <c r="N246" s="23">
        <v>43757</v>
      </c>
      <c r="O246" s="24" t="s">
        <v>102</v>
      </c>
      <c r="P246" s="24" t="s">
        <v>181</v>
      </c>
      <c r="Q246" s="24">
        <v>4</v>
      </c>
      <c r="R246" s="24">
        <v>33.4</v>
      </c>
      <c r="S246" t="s">
        <v>319</v>
      </c>
      <c r="T246">
        <v>100</v>
      </c>
      <c r="U246" s="2" t="s">
        <v>163</v>
      </c>
      <c r="V246">
        <v>43757.883645833332</v>
      </c>
      <c r="W246" s="2" t="s">
        <v>444</v>
      </c>
      <c r="X246">
        <v>43774.395115740743</v>
      </c>
      <c r="AB246" t="s">
        <v>9</v>
      </c>
      <c r="AC246" t="s">
        <v>1101</v>
      </c>
      <c r="AD246" t="s">
        <v>241</v>
      </c>
      <c r="AE246">
        <v>33247</v>
      </c>
      <c r="AF246">
        <v>33247</v>
      </c>
      <c r="AG246" t="s">
        <v>183</v>
      </c>
      <c r="AH246" t="s">
        <v>3021</v>
      </c>
      <c r="AI246" t="s">
        <v>3021</v>
      </c>
      <c r="AJ246" t="s">
        <v>484</v>
      </c>
      <c r="AK246" t="s">
        <v>485</v>
      </c>
      <c r="AL246" t="s">
        <v>3022</v>
      </c>
      <c r="AO246" t="s">
        <v>3023</v>
      </c>
      <c r="AP246" t="s">
        <v>1105</v>
      </c>
      <c r="AQ246" t="s">
        <v>1106</v>
      </c>
      <c r="AR246" t="s">
        <v>3024</v>
      </c>
      <c r="AS246" t="s">
        <v>3371</v>
      </c>
      <c r="AT246" t="s">
        <v>3372</v>
      </c>
      <c r="AU246" t="s">
        <v>10</v>
      </c>
      <c r="AV246" t="s">
        <v>3373</v>
      </c>
      <c r="AW246" t="s">
        <v>3373</v>
      </c>
      <c r="AX246" t="s">
        <v>3374</v>
      </c>
      <c r="AY246" s="2" t="s">
        <v>3375</v>
      </c>
      <c r="BA246" t="s">
        <v>245</v>
      </c>
      <c r="BB246" t="s">
        <v>246</v>
      </c>
      <c r="BC246" t="s">
        <v>188</v>
      </c>
      <c r="BD246">
        <v>516006</v>
      </c>
      <c r="BE246" t="s">
        <v>3376</v>
      </c>
      <c r="BF246" t="s">
        <v>3377</v>
      </c>
      <c r="BG246" t="b">
        <v>0</v>
      </c>
      <c r="BH246" s="6" t="s">
        <v>3378</v>
      </c>
      <c r="BI246" t="s">
        <v>3379</v>
      </c>
      <c r="BJ246">
        <v>4453163191</v>
      </c>
      <c r="BK246" t="s">
        <v>162</v>
      </c>
      <c r="BL246" t="s">
        <v>161</v>
      </c>
      <c r="BM246" s="2"/>
      <c r="BO246" t="s">
        <v>89</v>
      </c>
      <c r="BP246">
        <v>85340090</v>
      </c>
      <c r="BR246" t="s">
        <v>189</v>
      </c>
      <c r="BS246" t="s">
        <v>103</v>
      </c>
      <c r="BU246">
        <v>0</v>
      </c>
      <c r="BV246">
        <v>91.95</v>
      </c>
      <c r="BW246">
        <v>0</v>
      </c>
      <c r="BX246">
        <v>0</v>
      </c>
      <c r="BY246">
        <v>0</v>
      </c>
      <c r="BZ246">
        <v>0</v>
      </c>
      <c r="CA246">
        <v>91.95</v>
      </c>
      <c r="CF246" s="2"/>
      <c r="CH246" s="2"/>
      <c r="CJ246">
        <v>5.3142019950150502E+17</v>
      </c>
      <c r="CK246" t="s">
        <v>2261</v>
      </c>
      <c r="CL246">
        <v>43757.374826388892</v>
      </c>
      <c r="CO246" t="s">
        <v>11</v>
      </c>
      <c r="CP246">
        <v>707.46</v>
      </c>
      <c r="CQ246" t="s">
        <v>11</v>
      </c>
      <c r="CR246">
        <v>707.46</v>
      </c>
      <c r="CV246" t="s">
        <v>190</v>
      </c>
      <c r="CW246" t="s">
        <v>12</v>
      </c>
      <c r="CX246" t="s">
        <v>12</v>
      </c>
      <c r="CY246" t="s">
        <v>12</v>
      </c>
      <c r="DA246" t="s">
        <v>104</v>
      </c>
      <c r="DD246" t="s">
        <v>93</v>
      </c>
      <c r="DQ246" t="s">
        <v>94</v>
      </c>
      <c r="DR246" t="s">
        <v>94</v>
      </c>
      <c r="DS246" t="s">
        <v>94</v>
      </c>
      <c r="DT246" t="s">
        <v>94</v>
      </c>
      <c r="DU246" t="s">
        <v>94</v>
      </c>
      <c r="DV246" t="s">
        <v>94</v>
      </c>
      <c r="DW246" t="s">
        <v>94</v>
      </c>
      <c r="DX246" s="2" t="s">
        <v>94</v>
      </c>
      <c r="DY246" t="s">
        <v>94</v>
      </c>
      <c r="DZ246" t="s">
        <v>94</v>
      </c>
      <c r="EA246" t="s">
        <v>94</v>
      </c>
      <c r="EB246" t="s">
        <v>94</v>
      </c>
      <c r="EC246" t="s">
        <v>94</v>
      </c>
      <c r="ED246" t="s">
        <v>94</v>
      </c>
      <c r="EE246" t="s">
        <v>89</v>
      </c>
      <c r="EF246" t="s">
        <v>425</v>
      </c>
      <c r="EG246" t="s">
        <v>105</v>
      </c>
      <c r="EJ246" t="s">
        <v>166</v>
      </c>
      <c r="EK246" t="b">
        <v>0</v>
      </c>
      <c r="EL246" t="b">
        <v>0</v>
      </c>
      <c r="EM246" t="b">
        <v>0</v>
      </c>
    </row>
    <row r="247" spans="3:143" ht="15">
      <c r="C247" s="82">
        <v>12</v>
      </c>
      <c r="D247" s="5"/>
      <c r="E247" s="4">
        <v>1</v>
      </c>
      <c r="F247" s="5">
        <v>3.2</v>
      </c>
      <c r="G247" s="5" t="s">
        <v>3409</v>
      </c>
      <c r="H247" s="4" t="s">
        <v>3410</v>
      </c>
      <c r="I247" s="81" t="s">
        <v>817</v>
      </c>
      <c r="J247" s="21"/>
      <c r="K247" s="22" t="s">
        <v>3382</v>
      </c>
      <c r="L247" s="84" t="s">
        <v>2736</v>
      </c>
      <c r="M247" s="23" t="s">
        <v>817</v>
      </c>
      <c r="N247" s="23">
        <v>43765</v>
      </c>
      <c r="O247" s="24" t="s">
        <v>102</v>
      </c>
      <c r="P247" s="24" t="s">
        <v>179</v>
      </c>
      <c r="Q247" s="24">
        <v>1</v>
      </c>
      <c r="R247" s="24">
        <v>3.2</v>
      </c>
      <c r="S247" t="s">
        <v>11</v>
      </c>
      <c r="T247">
        <v>300</v>
      </c>
      <c r="U247" s="2" t="s">
        <v>163</v>
      </c>
      <c r="V247">
        <v>43765.859120370369</v>
      </c>
      <c r="W247" s="2" t="s">
        <v>444</v>
      </c>
      <c r="X247">
        <v>43767.471712962964</v>
      </c>
      <c r="AB247" t="s">
        <v>9</v>
      </c>
      <c r="AC247" t="s">
        <v>1499</v>
      </c>
      <c r="AD247" t="s">
        <v>1602</v>
      </c>
      <c r="AE247">
        <v>70620499</v>
      </c>
      <c r="AF247">
        <v>70620499</v>
      </c>
      <c r="AG247" t="s">
        <v>183</v>
      </c>
      <c r="AH247" t="s">
        <v>3383</v>
      </c>
      <c r="AI247" t="s">
        <v>3383</v>
      </c>
      <c r="AJ247" t="s">
        <v>776</v>
      </c>
      <c r="AK247" t="s">
        <v>777</v>
      </c>
      <c r="AL247" t="s">
        <v>3384</v>
      </c>
      <c r="AO247" t="s">
        <v>1925</v>
      </c>
      <c r="AP247" t="s">
        <v>1502</v>
      </c>
      <c r="AQ247" t="s">
        <v>1386</v>
      </c>
      <c r="AR247" t="s">
        <v>3411</v>
      </c>
      <c r="AS247">
        <v>711758644555</v>
      </c>
      <c r="AT247" t="s">
        <v>3385</v>
      </c>
      <c r="AU247" t="s">
        <v>10</v>
      </c>
      <c r="AV247" t="s">
        <v>3386</v>
      </c>
      <c r="AW247" t="s">
        <v>3386</v>
      </c>
      <c r="AX247" t="s">
        <v>3387</v>
      </c>
      <c r="AY247" s="2" t="s">
        <v>3388</v>
      </c>
      <c r="BA247" t="s">
        <v>1615</v>
      </c>
      <c r="BB247" t="s">
        <v>1616</v>
      </c>
      <c r="BC247" t="s">
        <v>188</v>
      </c>
      <c r="BD247">
        <v>528454</v>
      </c>
      <c r="BE247" t="s">
        <v>3389</v>
      </c>
      <c r="BF247" t="s">
        <v>3390</v>
      </c>
      <c r="BG247" t="b">
        <v>0</v>
      </c>
      <c r="BH247" s="6" t="s">
        <v>3391</v>
      </c>
      <c r="BI247" t="s">
        <v>3392</v>
      </c>
      <c r="BJ247">
        <v>4453163191</v>
      </c>
      <c r="BK247" t="s">
        <v>162</v>
      </c>
      <c r="BL247" t="s">
        <v>161</v>
      </c>
      <c r="BM247" s="2"/>
      <c r="BO247" t="s">
        <v>89</v>
      </c>
      <c r="BP247">
        <v>85423990</v>
      </c>
      <c r="BR247" t="s">
        <v>189</v>
      </c>
      <c r="BS247" t="s">
        <v>103</v>
      </c>
      <c r="BU247">
        <v>0</v>
      </c>
      <c r="BV247">
        <v>0</v>
      </c>
      <c r="BW247">
        <v>0</v>
      </c>
      <c r="BX247">
        <v>0</v>
      </c>
      <c r="BY247">
        <v>0</v>
      </c>
      <c r="BZ247">
        <v>0</v>
      </c>
      <c r="CA247">
        <v>0</v>
      </c>
      <c r="CF247" s="2"/>
      <c r="CH247" s="2"/>
      <c r="CJ247">
        <v>5.3142019950155002E+17</v>
      </c>
      <c r="CK247" t="s">
        <v>1509</v>
      </c>
      <c r="CL247">
        <v>43765.551886574074</v>
      </c>
      <c r="CO247" t="s">
        <v>11</v>
      </c>
      <c r="CP247">
        <v>300</v>
      </c>
      <c r="CQ247" t="s">
        <v>11</v>
      </c>
      <c r="CR247">
        <v>300</v>
      </c>
      <c r="CV247" t="s">
        <v>190</v>
      </c>
      <c r="CW247" t="s">
        <v>12</v>
      </c>
      <c r="CX247" t="s">
        <v>12</v>
      </c>
      <c r="CY247" t="s">
        <v>12</v>
      </c>
      <c r="DA247" t="s">
        <v>104</v>
      </c>
      <c r="DD247" t="s">
        <v>93</v>
      </c>
      <c r="DQ247" t="s">
        <v>94</v>
      </c>
      <c r="DR247" t="s">
        <v>94</v>
      </c>
      <c r="DS247" t="s">
        <v>94</v>
      </c>
      <c r="DT247" t="s">
        <v>94</v>
      </c>
      <c r="DU247" t="s">
        <v>94</v>
      </c>
      <c r="DV247" t="s">
        <v>94</v>
      </c>
      <c r="DW247" t="s">
        <v>94</v>
      </c>
      <c r="DX247" s="2" t="s">
        <v>94</v>
      </c>
      <c r="DY247" t="s">
        <v>94</v>
      </c>
      <c r="DZ247" t="s">
        <v>94</v>
      </c>
      <c r="EA247" t="s">
        <v>94</v>
      </c>
      <c r="EB247" t="s">
        <v>94</v>
      </c>
      <c r="EC247" t="s">
        <v>94</v>
      </c>
      <c r="ED247" t="s">
        <v>94</v>
      </c>
      <c r="EE247" t="s">
        <v>89</v>
      </c>
      <c r="EF247" t="s">
        <v>425</v>
      </c>
      <c r="EG247" t="s">
        <v>105</v>
      </c>
      <c r="EJ247" t="s">
        <v>166</v>
      </c>
      <c r="EK247" t="b">
        <v>0</v>
      </c>
      <c r="EL247" t="b">
        <v>0</v>
      </c>
      <c r="EM247" t="b">
        <v>0</v>
      </c>
    </row>
    <row r="248" spans="3:143" ht="15">
      <c r="C248" s="82">
        <v>122</v>
      </c>
      <c r="D248" s="5"/>
      <c r="E248" s="4">
        <v>1</v>
      </c>
      <c r="F248" s="5">
        <v>0.16</v>
      </c>
      <c r="G248" s="5" t="s">
        <v>3412</v>
      </c>
      <c r="H248" s="4" t="s">
        <v>3413</v>
      </c>
      <c r="I248" s="81" t="s">
        <v>920</v>
      </c>
      <c r="J248" s="21"/>
      <c r="K248" s="22" t="s">
        <v>3393</v>
      </c>
      <c r="L248" s="84" t="s">
        <v>3266</v>
      </c>
      <c r="M248" s="23" t="s">
        <v>905</v>
      </c>
      <c r="N248" s="23">
        <v>43771</v>
      </c>
      <c r="O248" s="24" t="s">
        <v>102</v>
      </c>
      <c r="P248" s="24" t="s">
        <v>179</v>
      </c>
      <c r="Q248" s="24">
        <v>1</v>
      </c>
      <c r="R248" s="24">
        <v>0.16</v>
      </c>
      <c r="S248" t="s">
        <v>372</v>
      </c>
      <c r="T248">
        <v>22</v>
      </c>
      <c r="U248" s="2" t="s">
        <v>163</v>
      </c>
      <c r="V248">
        <v>43771.862395833334</v>
      </c>
      <c r="W248" s="2" t="s">
        <v>444</v>
      </c>
      <c r="X248">
        <v>43771.870625000003</v>
      </c>
      <c r="AB248" t="s">
        <v>9</v>
      </c>
      <c r="AC248" t="s">
        <v>3154</v>
      </c>
      <c r="AD248" t="s">
        <v>209</v>
      </c>
      <c r="AE248">
        <v>391326</v>
      </c>
      <c r="AF248">
        <v>391326</v>
      </c>
      <c r="AG248" t="s">
        <v>183</v>
      </c>
      <c r="AH248" t="s">
        <v>3394</v>
      </c>
      <c r="AI248" t="s">
        <v>3394</v>
      </c>
      <c r="AJ248" t="s">
        <v>184</v>
      </c>
      <c r="AK248" t="s">
        <v>185</v>
      </c>
      <c r="AL248" t="s">
        <v>3395</v>
      </c>
      <c r="AM248" t="s">
        <v>3396</v>
      </c>
      <c r="AN248" t="s">
        <v>3397</v>
      </c>
      <c r="AO248" t="s">
        <v>3398</v>
      </c>
      <c r="AP248" t="s">
        <v>3160</v>
      </c>
      <c r="AQ248" t="s">
        <v>454</v>
      </c>
      <c r="AR248" t="s">
        <v>3399</v>
      </c>
      <c r="AS248">
        <v>1282859400</v>
      </c>
      <c r="AT248" t="s">
        <v>3400</v>
      </c>
      <c r="AU248" t="s">
        <v>10</v>
      </c>
      <c r="AV248" t="s">
        <v>3401</v>
      </c>
      <c r="AW248" t="s">
        <v>3401</v>
      </c>
      <c r="AX248" t="s">
        <v>3402</v>
      </c>
      <c r="AY248" s="2" t="s">
        <v>3403</v>
      </c>
      <c r="AZ248" t="s">
        <v>3404</v>
      </c>
      <c r="BA248" t="s">
        <v>299</v>
      </c>
      <c r="BB248" t="s">
        <v>300</v>
      </c>
      <c r="BC248" t="s">
        <v>188</v>
      </c>
      <c r="BD248">
        <v>511442</v>
      </c>
      <c r="BE248" t="s">
        <v>3405</v>
      </c>
      <c r="BF248" t="s">
        <v>3406</v>
      </c>
      <c r="BG248" t="b">
        <v>0</v>
      </c>
      <c r="BH248" s="6" t="s">
        <v>3407</v>
      </c>
      <c r="BI248" t="s">
        <v>3408</v>
      </c>
      <c r="BJ248">
        <v>4453163191</v>
      </c>
      <c r="BK248" t="s">
        <v>162</v>
      </c>
      <c r="BL248" t="s">
        <v>161</v>
      </c>
      <c r="BM248" s="2"/>
      <c r="BO248" t="s">
        <v>89</v>
      </c>
      <c r="BP248">
        <v>6108910010</v>
      </c>
      <c r="BR248" t="s">
        <v>180</v>
      </c>
      <c r="BS248" t="s">
        <v>103</v>
      </c>
      <c r="BU248">
        <v>0</v>
      </c>
      <c r="BV248">
        <v>0</v>
      </c>
      <c r="BW248">
        <v>0</v>
      </c>
      <c r="BX248">
        <v>0</v>
      </c>
      <c r="BY248">
        <v>0</v>
      </c>
      <c r="BZ248">
        <v>0</v>
      </c>
      <c r="CA248">
        <v>0</v>
      </c>
      <c r="CF248" s="2"/>
      <c r="CH248" s="2"/>
      <c r="CJ248">
        <v>5.3142019950159098E+17</v>
      </c>
      <c r="CK248" t="s">
        <v>2261</v>
      </c>
      <c r="CL248">
        <v>43771.378379629627</v>
      </c>
      <c r="CO248" t="s">
        <v>11</v>
      </c>
      <c r="CP248">
        <v>198.55</v>
      </c>
      <c r="CQ248" t="s">
        <v>11</v>
      </c>
      <c r="CR248">
        <v>198.55</v>
      </c>
      <c r="CV248" t="s">
        <v>190</v>
      </c>
      <c r="CW248" t="s">
        <v>12</v>
      </c>
      <c r="CX248" t="s">
        <v>12</v>
      </c>
      <c r="CY248" t="s">
        <v>12</v>
      </c>
      <c r="DA248" t="s">
        <v>104</v>
      </c>
      <c r="DD248" t="s">
        <v>93</v>
      </c>
      <c r="DQ248" t="s">
        <v>94</v>
      </c>
      <c r="DR248" t="s">
        <v>94</v>
      </c>
      <c r="DS248" t="s">
        <v>94</v>
      </c>
      <c r="DT248" t="s">
        <v>94</v>
      </c>
      <c r="DU248" t="s">
        <v>94</v>
      </c>
      <c r="DV248" t="s">
        <v>94</v>
      </c>
      <c r="DW248" t="s">
        <v>94</v>
      </c>
      <c r="DX248" s="2" t="s">
        <v>94</v>
      </c>
      <c r="DY248" t="s">
        <v>94</v>
      </c>
      <c r="DZ248" t="s">
        <v>94</v>
      </c>
      <c r="EA248" t="s">
        <v>94</v>
      </c>
      <c r="EB248" t="s">
        <v>94</v>
      </c>
      <c r="EC248" t="s">
        <v>94</v>
      </c>
      <c r="ED248" t="s">
        <v>94</v>
      </c>
      <c r="EE248" t="s">
        <v>89</v>
      </c>
      <c r="EF248" t="s">
        <v>425</v>
      </c>
      <c r="EG248" t="s">
        <v>105</v>
      </c>
      <c r="EJ248" t="s">
        <v>166</v>
      </c>
      <c r="EK248" t="b">
        <v>0</v>
      </c>
      <c r="EL248" t="b">
        <v>0</v>
      </c>
      <c r="EM248" t="b">
        <v>0</v>
      </c>
    </row>
    <row r="249" spans="3:143" ht="15">
      <c r="C249" s="82">
        <v>23</v>
      </c>
      <c r="D249" s="5"/>
      <c r="E249" s="4">
        <v>1</v>
      </c>
      <c r="F249" s="5">
        <v>5.2</v>
      </c>
      <c r="G249" s="5" t="s">
        <v>3462</v>
      </c>
      <c r="H249" s="4" t="s">
        <v>3463</v>
      </c>
      <c r="I249" s="81" t="s">
        <v>920</v>
      </c>
      <c r="J249" s="21"/>
      <c r="K249" s="22" t="s">
        <v>3414</v>
      </c>
      <c r="L249" s="84" t="s">
        <v>2655</v>
      </c>
      <c r="M249" s="23" t="s">
        <v>905</v>
      </c>
      <c r="N249" s="23">
        <v>43762</v>
      </c>
      <c r="O249" s="24" t="s">
        <v>102</v>
      </c>
      <c r="P249" s="24" t="s">
        <v>179</v>
      </c>
      <c r="Q249" s="24">
        <v>1</v>
      </c>
      <c r="R249" s="24">
        <v>5.2</v>
      </c>
      <c r="S249" t="s">
        <v>11</v>
      </c>
      <c r="T249">
        <v>300</v>
      </c>
      <c r="U249" s="2" t="s">
        <v>163</v>
      </c>
      <c r="V249">
        <v>43762.869097222225</v>
      </c>
      <c r="W249" s="2" t="s">
        <v>444</v>
      </c>
      <c r="X249">
        <v>43774.392384259256</v>
      </c>
      <c r="AB249" t="s">
        <v>9</v>
      </c>
      <c r="AC249" t="s">
        <v>3415</v>
      </c>
      <c r="AD249" t="s">
        <v>182</v>
      </c>
      <c r="AE249">
        <v>715123</v>
      </c>
      <c r="AF249">
        <v>715123</v>
      </c>
      <c r="AG249" t="s">
        <v>183</v>
      </c>
      <c r="AH249" t="s">
        <v>3416</v>
      </c>
      <c r="AI249" t="s">
        <v>3416</v>
      </c>
      <c r="AJ249" t="s">
        <v>3417</v>
      </c>
      <c r="AK249" t="s">
        <v>3418</v>
      </c>
      <c r="AL249" t="s">
        <v>3419</v>
      </c>
      <c r="AM249" t="s">
        <v>3420</v>
      </c>
      <c r="AO249" t="s">
        <v>3421</v>
      </c>
      <c r="AP249" t="s">
        <v>3422</v>
      </c>
      <c r="AR249" t="s">
        <v>3464</v>
      </c>
      <c r="AS249" t="s">
        <v>3465</v>
      </c>
      <c r="AT249" t="s">
        <v>3423</v>
      </c>
      <c r="AU249" t="s">
        <v>10</v>
      </c>
      <c r="AV249" t="s">
        <v>3424</v>
      </c>
      <c r="AW249" t="s">
        <v>3425</v>
      </c>
      <c r="AX249" t="s">
        <v>3426</v>
      </c>
      <c r="AY249" s="2" t="s">
        <v>3427</v>
      </c>
      <c r="BA249" t="s">
        <v>194</v>
      </c>
      <c r="BB249" t="s">
        <v>187</v>
      </c>
      <c r="BC249" t="s">
        <v>188</v>
      </c>
      <c r="BD249">
        <v>518109</v>
      </c>
      <c r="BE249" t="s">
        <v>3428</v>
      </c>
      <c r="BF249" t="s">
        <v>3425</v>
      </c>
      <c r="BG249" t="b">
        <v>0</v>
      </c>
      <c r="BH249" s="6" t="s">
        <v>3429</v>
      </c>
      <c r="BI249" t="s">
        <v>3430</v>
      </c>
      <c r="BJ249">
        <v>4453163191</v>
      </c>
      <c r="BK249" t="s">
        <v>162</v>
      </c>
      <c r="BL249" t="s">
        <v>161</v>
      </c>
      <c r="BM249" s="2"/>
      <c r="BO249" t="s">
        <v>89</v>
      </c>
      <c r="BP249">
        <v>9014800090</v>
      </c>
      <c r="BR249" t="s">
        <v>180</v>
      </c>
      <c r="BS249" t="s">
        <v>103</v>
      </c>
      <c r="BU249">
        <v>0</v>
      </c>
      <c r="BV249">
        <v>0</v>
      </c>
      <c r="BW249">
        <v>0</v>
      </c>
      <c r="BX249">
        <v>0</v>
      </c>
      <c r="BY249">
        <v>0</v>
      </c>
      <c r="BZ249">
        <v>0</v>
      </c>
      <c r="CA249">
        <v>0</v>
      </c>
      <c r="CF249" s="2"/>
      <c r="CH249" s="2"/>
      <c r="CJ249">
        <v>5.3142019950153402E+17</v>
      </c>
      <c r="CK249" t="s">
        <v>1509</v>
      </c>
      <c r="CL249">
        <v>43762.534236111111</v>
      </c>
      <c r="CO249" t="s">
        <v>11</v>
      </c>
      <c r="CP249">
        <v>300</v>
      </c>
      <c r="CQ249" t="s">
        <v>11</v>
      </c>
      <c r="CR249">
        <v>300</v>
      </c>
      <c r="CV249" t="s">
        <v>190</v>
      </c>
      <c r="CW249" t="s">
        <v>12</v>
      </c>
      <c r="CX249" t="s">
        <v>12</v>
      </c>
      <c r="CY249" t="s">
        <v>12</v>
      </c>
      <c r="DA249" t="s">
        <v>104</v>
      </c>
      <c r="DD249" t="s">
        <v>93</v>
      </c>
      <c r="DQ249" t="s">
        <v>94</v>
      </c>
      <c r="DR249" t="s">
        <v>94</v>
      </c>
      <c r="DS249" t="s">
        <v>94</v>
      </c>
      <c r="DT249" t="s">
        <v>94</v>
      </c>
      <c r="DU249" t="s">
        <v>94</v>
      </c>
      <c r="DV249" t="s">
        <v>94</v>
      </c>
      <c r="DW249" t="s">
        <v>94</v>
      </c>
      <c r="DX249" s="2" t="s">
        <v>94</v>
      </c>
      <c r="DY249" t="s">
        <v>94</v>
      </c>
      <c r="DZ249" t="s">
        <v>94</v>
      </c>
      <c r="EA249" t="s">
        <v>94</v>
      </c>
      <c r="EB249" t="s">
        <v>94</v>
      </c>
      <c r="EC249" t="s">
        <v>94</v>
      </c>
      <c r="ED249" t="s">
        <v>94</v>
      </c>
      <c r="EE249" t="s">
        <v>89</v>
      </c>
      <c r="EF249" t="s">
        <v>425</v>
      </c>
      <c r="EG249" t="s">
        <v>105</v>
      </c>
      <c r="EJ249" t="s">
        <v>166</v>
      </c>
      <c r="EK249" t="b">
        <v>0</v>
      </c>
      <c r="EL249" t="b">
        <v>0</v>
      </c>
      <c r="EM249" t="b">
        <v>0</v>
      </c>
    </row>
    <row r="250" spans="3:143" ht="15">
      <c r="C250" s="82">
        <v>31</v>
      </c>
      <c r="D250" s="5"/>
      <c r="E250" s="4">
        <v>1</v>
      </c>
      <c r="F250" s="5">
        <v>33</v>
      </c>
      <c r="G250" s="5" t="s">
        <v>3466</v>
      </c>
      <c r="H250" s="4" t="s">
        <v>3467</v>
      </c>
      <c r="I250" s="81" t="s">
        <v>920</v>
      </c>
      <c r="J250" s="21"/>
      <c r="K250" s="22" t="s">
        <v>3446</v>
      </c>
      <c r="L250" s="84" t="s">
        <v>3266</v>
      </c>
      <c r="M250" s="23" t="s">
        <v>905</v>
      </c>
      <c r="N250" s="23">
        <v>43771</v>
      </c>
      <c r="O250" s="24" t="s">
        <v>102</v>
      </c>
      <c r="P250" s="24" t="s">
        <v>181</v>
      </c>
      <c r="Q250" s="24">
        <v>1</v>
      </c>
      <c r="R250" s="24">
        <v>33</v>
      </c>
      <c r="S250" t="s">
        <v>528</v>
      </c>
      <c r="T250">
        <v>150</v>
      </c>
      <c r="U250" s="2" t="s">
        <v>163</v>
      </c>
      <c r="V250">
        <v>43771.862430555557</v>
      </c>
      <c r="W250" s="2" t="s">
        <v>444</v>
      </c>
      <c r="X250">
        <v>43774.471585648149</v>
      </c>
      <c r="AB250" t="s">
        <v>9</v>
      </c>
      <c r="AC250" t="s">
        <v>3447</v>
      </c>
      <c r="AD250" t="s">
        <v>1602</v>
      </c>
      <c r="AE250">
        <v>2007564</v>
      </c>
      <c r="AF250">
        <v>2007564</v>
      </c>
      <c r="AG250" t="s">
        <v>3468</v>
      </c>
      <c r="AH250" t="s">
        <v>3448</v>
      </c>
      <c r="AI250" t="s">
        <v>3448</v>
      </c>
      <c r="AJ250" t="s">
        <v>3234</v>
      </c>
      <c r="AK250" t="s">
        <v>3235</v>
      </c>
      <c r="AL250" t="s">
        <v>3449</v>
      </c>
      <c r="AO250" t="s">
        <v>3450</v>
      </c>
      <c r="AP250" t="s">
        <v>3451</v>
      </c>
      <c r="AR250" t="s">
        <v>3469</v>
      </c>
      <c r="AS250" t="s">
        <v>3470</v>
      </c>
      <c r="AT250" t="s">
        <v>3452</v>
      </c>
      <c r="AU250" t="s">
        <v>10</v>
      </c>
      <c r="AV250" t="s">
        <v>3453</v>
      </c>
      <c r="AW250" t="s">
        <v>3453</v>
      </c>
      <c r="AX250" t="s">
        <v>3454</v>
      </c>
      <c r="AY250" s="2" t="s">
        <v>3455</v>
      </c>
      <c r="BA250" t="s">
        <v>1615</v>
      </c>
      <c r="BB250" t="s">
        <v>1616</v>
      </c>
      <c r="BC250" t="s">
        <v>188</v>
      </c>
      <c r="BD250">
        <v>528427</v>
      </c>
      <c r="BE250" t="s">
        <v>3456</v>
      </c>
      <c r="BF250" t="s">
        <v>3457</v>
      </c>
      <c r="BG250" t="b">
        <v>0</v>
      </c>
      <c r="BH250" s="6" t="s">
        <v>3458</v>
      </c>
      <c r="BI250" t="s">
        <v>3459</v>
      </c>
      <c r="BJ250">
        <v>4453163191</v>
      </c>
      <c r="BK250" t="s">
        <v>162</v>
      </c>
      <c r="BL250" t="s">
        <v>161</v>
      </c>
      <c r="BM250" s="2"/>
      <c r="BN250" t="s">
        <v>3460</v>
      </c>
      <c r="BO250" t="s">
        <v>89</v>
      </c>
      <c r="BP250">
        <v>73269090</v>
      </c>
      <c r="BR250" t="s">
        <v>3461</v>
      </c>
      <c r="BS250" t="s">
        <v>103</v>
      </c>
      <c r="BU250">
        <v>93.66</v>
      </c>
      <c r="BV250">
        <v>164.38</v>
      </c>
      <c r="BW250">
        <v>0</v>
      </c>
      <c r="BX250">
        <v>0</v>
      </c>
      <c r="BY250">
        <v>0</v>
      </c>
      <c r="BZ250">
        <v>0</v>
      </c>
      <c r="CA250">
        <v>258.04000000000002</v>
      </c>
      <c r="CF250" s="2"/>
      <c r="CH250" s="2"/>
      <c r="CJ250">
        <v>5.3142019950159098E+17</v>
      </c>
      <c r="CK250" t="s">
        <v>2261</v>
      </c>
      <c r="CL250">
        <v>43771.575590277775</v>
      </c>
      <c r="CO250" t="s">
        <v>11</v>
      </c>
      <c r="CP250">
        <v>1170.78</v>
      </c>
      <c r="CQ250" t="s">
        <v>11</v>
      </c>
      <c r="CR250">
        <v>1170.78</v>
      </c>
      <c r="CV250" t="s">
        <v>525</v>
      </c>
      <c r="CW250" t="s">
        <v>12</v>
      </c>
      <c r="CX250" t="s">
        <v>12</v>
      </c>
      <c r="CY250" t="s">
        <v>12</v>
      </c>
      <c r="DA250" t="s">
        <v>104</v>
      </c>
      <c r="DD250" t="s">
        <v>93</v>
      </c>
      <c r="DQ250" t="s">
        <v>94</v>
      </c>
      <c r="DR250" t="s">
        <v>94</v>
      </c>
      <c r="DS250" t="s">
        <v>94</v>
      </c>
      <c r="DT250" t="s">
        <v>94</v>
      </c>
      <c r="DU250" t="s">
        <v>94</v>
      </c>
      <c r="DV250" t="s">
        <v>94</v>
      </c>
      <c r="DW250" t="s">
        <v>94</v>
      </c>
      <c r="DX250" s="2" t="s">
        <v>94</v>
      </c>
      <c r="DY250" t="s">
        <v>94</v>
      </c>
      <c r="DZ250" t="s">
        <v>94</v>
      </c>
      <c r="EA250" t="s">
        <v>94</v>
      </c>
      <c r="EB250" t="s">
        <v>94</v>
      </c>
      <c r="EC250" t="s">
        <v>94</v>
      </c>
      <c r="ED250" t="s">
        <v>94</v>
      </c>
      <c r="EE250" t="s">
        <v>89</v>
      </c>
      <c r="EF250" t="s">
        <v>425</v>
      </c>
      <c r="EG250" t="s">
        <v>105</v>
      </c>
      <c r="EJ250" t="s">
        <v>166</v>
      </c>
      <c r="EK250" t="b">
        <v>0</v>
      </c>
      <c r="EL250" t="b">
        <v>0</v>
      </c>
      <c r="EM250" t="b">
        <v>0</v>
      </c>
    </row>
    <row r="251" spans="3:143" ht="15">
      <c r="C251" s="82">
        <v>13</v>
      </c>
      <c r="D251" s="5"/>
      <c r="E251" s="4">
        <v>1</v>
      </c>
      <c r="F251" s="5">
        <v>14</v>
      </c>
      <c r="G251" s="5" t="s">
        <v>3471</v>
      </c>
      <c r="H251" s="4" t="s">
        <v>3472</v>
      </c>
      <c r="I251" s="81" t="s">
        <v>164</v>
      </c>
      <c r="J251" s="21"/>
      <c r="K251" s="22" t="s">
        <v>3431</v>
      </c>
      <c r="L251" s="84" t="s">
        <v>3044</v>
      </c>
      <c r="M251" s="23" t="s">
        <v>164</v>
      </c>
      <c r="N251" s="23">
        <v>43768</v>
      </c>
      <c r="O251" s="24" t="s">
        <v>102</v>
      </c>
      <c r="P251" s="24" t="s">
        <v>181</v>
      </c>
      <c r="Q251" s="24">
        <v>1</v>
      </c>
      <c r="R251" s="24">
        <v>14</v>
      </c>
      <c r="S251" t="s">
        <v>319</v>
      </c>
      <c r="T251">
        <v>105</v>
      </c>
      <c r="U251" s="2" t="s">
        <v>163</v>
      </c>
      <c r="V251">
        <v>43768.844652777778</v>
      </c>
      <c r="W251" s="2" t="s">
        <v>444</v>
      </c>
      <c r="X251">
        <v>43771.42019675926</v>
      </c>
      <c r="AB251" t="s">
        <v>9</v>
      </c>
      <c r="AC251" t="s">
        <v>755</v>
      </c>
      <c r="AD251" t="s">
        <v>209</v>
      </c>
      <c r="AE251">
        <v>14323</v>
      </c>
      <c r="AF251">
        <v>14323</v>
      </c>
      <c r="AG251" t="s">
        <v>3473</v>
      </c>
      <c r="AH251" t="s">
        <v>3432</v>
      </c>
      <c r="AI251" t="s">
        <v>3432</v>
      </c>
      <c r="AJ251" t="s">
        <v>584</v>
      </c>
      <c r="AK251" t="s">
        <v>585</v>
      </c>
      <c r="AL251" t="s">
        <v>3433</v>
      </c>
      <c r="AO251" t="s">
        <v>3434</v>
      </c>
      <c r="AP251" t="s">
        <v>759</v>
      </c>
      <c r="AR251" t="s">
        <v>3435</v>
      </c>
      <c r="AS251" t="s">
        <v>3436</v>
      </c>
      <c r="AT251" t="s">
        <v>3437</v>
      </c>
      <c r="AU251" t="s">
        <v>10</v>
      </c>
      <c r="AV251" t="s">
        <v>3438</v>
      </c>
      <c r="AW251" t="s">
        <v>3439</v>
      </c>
      <c r="AX251" t="s">
        <v>3440</v>
      </c>
      <c r="AY251" s="2"/>
      <c r="BA251" t="s">
        <v>230</v>
      </c>
      <c r="BB251" t="s">
        <v>223</v>
      </c>
      <c r="BC251" t="s">
        <v>188</v>
      </c>
      <c r="BD251">
        <v>510663</v>
      </c>
      <c r="BE251" t="s">
        <v>3441</v>
      </c>
      <c r="BF251" t="s">
        <v>3442</v>
      </c>
      <c r="BG251" t="b">
        <v>0</v>
      </c>
      <c r="BH251" s="6" t="s">
        <v>3443</v>
      </c>
      <c r="BI251" t="s">
        <v>3444</v>
      </c>
      <c r="BJ251">
        <v>4453163191</v>
      </c>
      <c r="BK251" t="s">
        <v>162</v>
      </c>
      <c r="BL251" t="s">
        <v>161</v>
      </c>
      <c r="BM251" s="2"/>
      <c r="BN251" t="s">
        <v>3445</v>
      </c>
      <c r="BO251" t="s">
        <v>89</v>
      </c>
      <c r="BP251">
        <v>84729030</v>
      </c>
      <c r="BR251" t="s">
        <v>189</v>
      </c>
      <c r="BS251" t="s">
        <v>103</v>
      </c>
      <c r="BU251">
        <v>0</v>
      </c>
      <c r="BV251">
        <v>96.54</v>
      </c>
      <c r="BW251">
        <v>0</v>
      </c>
      <c r="BX251">
        <v>0</v>
      </c>
      <c r="BY251">
        <v>0</v>
      </c>
      <c r="BZ251">
        <v>0</v>
      </c>
      <c r="CA251">
        <v>96.54</v>
      </c>
      <c r="CF251" s="2"/>
      <c r="CH251" s="2"/>
      <c r="CJ251">
        <v>5.3142019950156698E+17</v>
      </c>
      <c r="CK251" t="s">
        <v>2261</v>
      </c>
      <c r="CL251">
        <v>43768.379849537036</v>
      </c>
      <c r="CO251" t="s">
        <v>11</v>
      </c>
      <c r="CP251">
        <v>742.83</v>
      </c>
      <c r="CQ251" t="s">
        <v>11</v>
      </c>
      <c r="CR251">
        <v>742.83</v>
      </c>
      <c r="CV251" t="s">
        <v>525</v>
      </c>
      <c r="CW251" t="s">
        <v>12</v>
      </c>
      <c r="CX251" t="s">
        <v>12</v>
      </c>
      <c r="CY251" t="s">
        <v>12</v>
      </c>
      <c r="DA251" t="s">
        <v>104</v>
      </c>
      <c r="DD251" t="s">
        <v>93</v>
      </c>
      <c r="DQ251" t="s">
        <v>94</v>
      </c>
      <c r="DR251" t="s">
        <v>94</v>
      </c>
      <c r="DS251" t="s">
        <v>94</v>
      </c>
      <c r="DT251" t="s">
        <v>94</v>
      </c>
      <c r="DU251" t="s">
        <v>94</v>
      </c>
      <c r="DV251" t="s">
        <v>94</v>
      </c>
      <c r="DW251" t="s">
        <v>94</v>
      </c>
      <c r="DX251" s="2" t="s">
        <v>94</v>
      </c>
      <c r="DY251" t="s">
        <v>94</v>
      </c>
      <c r="DZ251" t="s">
        <v>94</v>
      </c>
      <c r="EA251" t="s">
        <v>94</v>
      </c>
      <c r="EB251" t="s">
        <v>94</v>
      </c>
      <c r="EC251" t="s">
        <v>94</v>
      </c>
      <c r="ED251" t="s">
        <v>94</v>
      </c>
      <c r="EE251" t="s">
        <v>89</v>
      </c>
      <c r="EF251" t="s">
        <v>425</v>
      </c>
      <c r="EG251" t="s">
        <v>105</v>
      </c>
      <c r="EJ251" t="s">
        <v>166</v>
      </c>
      <c r="EK251" t="b">
        <v>0</v>
      </c>
      <c r="EL251" t="b">
        <v>0</v>
      </c>
      <c r="EM251" t="b">
        <v>0</v>
      </c>
    </row>
    <row r="252" spans="3:143" ht="15">
      <c r="C252" s="82">
        <v>23</v>
      </c>
      <c r="D252" s="5"/>
      <c r="E252" s="4">
        <v>1</v>
      </c>
      <c r="F252" s="5">
        <v>2.48</v>
      </c>
      <c r="G252" s="5" t="s">
        <v>3564</v>
      </c>
      <c r="H252" s="4" t="s">
        <v>3565</v>
      </c>
      <c r="I252" s="81" t="s">
        <v>920</v>
      </c>
      <c r="J252" s="21"/>
      <c r="K252" s="22" t="s">
        <v>3521</v>
      </c>
      <c r="L252" s="84" t="s">
        <v>3266</v>
      </c>
      <c r="M252" s="23" t="s">
        <v>905</v>
      </c>
      <c r="N252" s="23">
        <v>43771</v>
      </c>
      <c r="O252" s="24" t="s">
        <v>102</v>
      </c>
      <c r="P252" s="24" t="s">
        <v>181</v>
      </c>
      <c r="Q252" s="24">
        <v>1</v>
      </c>
      <c r="R252" s="24">
        <v>2.48</v>
      </c>
      <c r="S252" t="s">
        <v>528</v>
      </c>
      <c r="T252" t="s">
        <v>3566</v>
      </c>
      <c r="U252" s="2" t="s">
        <v>163</v>
      </c>
      <c r="V252">
        <v>43771.862314814818</v>
      </c>
      <c r="W252" s="2" t="s">
        <v>444</v>
      </c>
      <c r="X252">
        <v>43774.471585648149</v>
      </c>
      <c r="AB252" t="s">
        <v>9</v>
      </c>
      <c r="AC252" t="s">
        <v>3522</v>
      </c>
      <c r="AD252" t="s">
        <v>209</v>
      </c>
      <c r="AE252">
        <v>85073914</v>
      </c>
      <c r="AF252">
        <v>85073914</v>
      </c>
      <c r="AG252" t="s">
        <v>183</v>
      </c>
      <c r="AH252" t="s">
        <v>3523</v>
      </c>
      <c r="AI252" t="s">
        <v>3524</v>
      </c>
      <c r="AJ252" t="s">
        <v>484</v>
      </c>
      <c r="AK252" t="s">
        <v>485</v>
      </c>
      <c r="AL252" t="s">
        <v>3525</v>
      </c>
      <c r="AO252" t="s">
        <v>3526</v>
      </c>
      <c r="AP252" t="s">
        <v>3527</v>
      </c>
      <c r="AQ252" t="s">
        <v>3528</v>
      </c>
      <c r="AR252" t="s">
        <v>3529</v>
      </c>
      <c r="AS252">
        <v>-31773899732</v>
      </c>
      <c r="AT252" t="s">
        <v>3530</v>
      </c>
      <c r="AU252" t="s">
        <v>10</v>
      </c>
      <c r="AV252" t="s">
        <v>3531</v>
      </c>
      <c r="AW252" t="s">
        <v>3531</v>
      </c>
      <c r="AX252" t="s">
        <v>3532</v>
      </c>
      <c r="AY252" s="2" t="s">
        <v>3533</v>
      </c>
      <c r="BA252" t="s">
        <v>299</v>
      </c>
      <c r="BB252" t="s">
        <v>300</v>
      </c>
      <c r="BC252" t="s">
        <v>188</v>
      </c>
      <c r="BD252">
        <v>511496</v>
      </c>
      <c r="BE252" t="s">
        <v>3534</v>
      </c>
      <c r="BF252" t="s">
        <v>3535</v>
      </c>
      <c r="BG252" t="b">
        <v>0</v>
      </c>
      <c r="BH252" s="6" t="s">
        <v>3536</v>
      </c>
      <c r="BI252" t="s">
        <v>3537</v>
      </c>
      <c r="BJ252">
        <v>4453163191</v>
      </c>
      <c r="BK252" t="s">
        <v>162</v>
      </c>
      <c r="BL252" t="s">
        <v>161</v>
      </c>
      <c r="BM252" s="2"/>
      <c r="BO252" t="s">
        <v>89</v>
      </c>
      <c r="BP252">
        <v>64051010</v>
      </c>
      <c r="BR252" t="s">
        <v>189</v>
      </c>
      <c r="BS252" t="s">
        <v>103</v>
      </c>
      <c r="BU252">
        <v>0</v>
      </c>
      <c r="BV252">
        <v>57.99</v>
      </c>
      <c r="BW252">
        <v>0</v>
      </c>
      <c r="BX252">
        <v>0</v>
      </c>
      <c r="BY252">
        <v>0</v>
      </c>
      <c r="BZ252">
        <v>0</v>
      </c>
      <c r="CA252">
        <v>57.99</v>
      </c>
      <c r="CF252" s="2"/>
      <c r="CH252" s="2"/>
      <c r="CJ252" t="s">
        <v>1023</v>
      </c>
      <c r="CK252" t="s">
        <v>2261</v>
      </c>
      <c r="CL252">
        <v>43771.575520833336</v>
      </c>
      <c r="CO252" t="s">
        <v>11</v>
      </c>
      <c r="CP252">
        <v>398.3</v>
      </c>
      <c r="CQ252" t="s">
        <v>11</v>
      </c>
      <c r="CR252">
        <v>398.3</v>
      </c>
      <c r="CV252" t="s">
        <v>190</v>
      </c>
      <c r="CW252" t="s">
        <v>12</v>
      </c>
      <c r="CX252" t="s">
        <v>12</v>
      </c>
      <c r="CY252" t="s">
        <v>12</v>
      </c>
      <c r="DA252" t="s">
        <v>104</v>
      </c>
      <c r="DD252" t="s">
        <v>93</v>
      </c>
      <c r="DQ252" t="s">
        <v>94</v>
      </c>
      <c r="DR252" t="s">
        <v>94</v>
      </c>
      <c r="DS252" t="s">
        <v>94</v>
      </c>
      <c r="DT252" t="s">
        <v>94</v>
      </c>
      <c r="DU252" t="s">
        <v>94</v>
      </c>
      <c r="DV252" t="s">
        <v>94</v>
      </c>
      <c r="DW252" t="s">
        <v>94</v>
      </c>
      <c r="DX252" s="2" t="s">
        <v>94</v>
      </c>
      <c r="DY252" t="s">
        <v>94</v>
      </c>
      <c r="DZ252" t="s">
        <v>94</v>
      </c>
      <c r="EA252" t="s">
        <v>94</v>
      </c>
      <c r="EB252" t="s">
        <v>94</v>
      </c>
      <c r="EC252" t="s">
        <v>94</v>
      </c>
      <c r="ED252" t="s">
        <v>94</v>
      </c>
      <c r="EE252" t="s">
        <v>89</v>
      </c>
      <c r="EF252" t="s">
        <v>425</v>
      </c>
      <c r="EG252" t="s">
        <v>105</v>
      </c>
      <c r="EJ252" t="s">
        <v>166</v>
      </c>
      <c r="EK252" t="b">
        <v>0</v>
      </c>
      <c r="EL252" t="b">
        <v>0</v>
      </c>
      <c r="EM252" t="b">
        <v>0</v>
      </c>
    </row>
    <row r="253" spans="3:143">
      <c r="C253" s="4">
        <v>23</v>
      </c>
      <c r="D253" s="4"/>
      <c r="E253" s="4">
        <v>3</v>
      </c>
      <c r="F253" s="4">
        <v>42.3</v>
      </c>
      <c r="G253" s="5" t="s">
        <v>3564</v>
      </c>
      <c r="H253" s="4" t="s">
        <v>3567</v>
      </c>
      <c r="I253" s="4" t="s">
        <v>920</v>
      </c>
      <c r="J253" s="5"/>
      <c r="K253" s="22" t="s">
        <v>3503</v>
      </c>
      <c r="L253" s="84" t="s">
        <v>3266</v>
      </c>
      <c r="M253" s="23" t="s">
        <v>905</v>
      </c>
      <c r="N253" s="23">
        <v>43771</v>
      </c>
      <c r="O253" s="24" t="s">
        <v>102</v>
      </c>
      <c r="P253" s="24" t="s">
        <v>181</v>
      </c>
      <c r="Q253" s="24">
        <v>3</v>
      </c>
      <c r="R253" s="24">
        <v>42.3</v>
      </c>
      <c r="S253" t="s">
        <v>11</v>
      </c>
      <c r="T253" t="s">
        <v>3568</v>
      </c>
      <c r="U253" s="2" t="s">
        <v>163</v>
      </c>
      <c r="V253">
        <v>43771.862199074072</v>
      </c>
      <c r="W253" s="2" t="s">
        <v>444</v>
      </c>
      <c r="X253">
        <v>43771.867256944446</v>
      </c>
      <c r="AB253" t="s">
        <v>9</v>
      </c>
      <c r="AC253" t="s">
        <v>3504</v>
      </c>
      <c r="AD253" t="s">
        <v>182</v>
      </c>
      <c r="AE253">
        <v>1049191</v>
      </c>
      <c r="AF253">
        <v>1049191</v>
      </c>
      <c r="AG253" t="s">
        <v>183</v>
      </c>
      <c r="AH253" t="s">
        <v>3505</v>
      </c>
      <c r="AI253" t="s">
        <v>3505</v>
      </c>
      <c r="AJ253" t="s">
        <v>184</v>
      </c>
      <c r="AK253" t="s">
        <v>185</v>
      </c>
      <c r="AL253" t="s">
        <v>3506</v>
      </c>
      <c r="AM253" t="s">
        <v>3507</v>
      </c>
      <c r="AO253" t="s">
        <v>3508</v>
      </c>
      <c r="AP253" t="s">
        <v>3509</v>
      </c>
      <c r="AQ253" t="s">
        <v>3510</v>
      </c>
      <c r="AR253" t="s">
        <v>3511</v>
      </c>
      <c r="AS253">
        <v>1858437808</v>
      </c>
      <c r="AT253" t="s">
        <v>3512</v>
      </c>
      <c r="AU253" t="s">
        <v>10</v>
      </c>
      <c r="AV253" t="s">
        <v>3513</v>
      </c>
      <c r="AW253" t="s">
        <v>3513</v>
      </c>
      <c r="AX253" t="s">
        <v>3514</v>
      </c>
      <c r="AY253" t="s">
        <v>3515</v>
      </c>
      <c r="AZ253" t="s">
        <v>3516</v>
      </c>
      <c r="BA253" t="s">
        <v>1002</v>
      </c>
      <c r="BB253" t="s">
        <v>187</v>
      </c>
      <c r="BC253" t="s">
        <v>188</v>
      </c>
      <c r="BD253">
        <v>518129</v>
      </c>
      <c r="BE253" t="s">
        <v>3517</v>
      </c>
      <c r="BF253" t="s">
        <v>3518</v>
      </c>
      <c r="BG253" t="b">
        <v>0</v>
      </c>
      <c r="BH253" s="6" t="s">
        <v>3519</v>
      </c>
      <c r="BI253" t="s">
        <v>3520</v>
      </c>
      <c r="BJ253">
        <v>4453163191</v>
      </c>
      <c r="BK253" t="s">
        <v>162</v>
      </c>
      <c r="BL253" t="s">
        <v>161</v>
      </c>
      <c r="BM253" s="2"/>
      <c r="BO253" t="s">
        <v>89</v>
      </c>
      <c r="BP253">
        <v>85369090</v>
      </c>
      <c r="BR253" t="s">
        <v>189</v>
      </c>
      <c r="BS253" t="s">
        <v>103</v>
      </c>
      <c r="BU253">
        <v>0</v>
      </c>
      <c r="BV253">
        <v>273</v>
      </c>
      <c r="BW253">
        <v>0</v>
      </c>
      <c r="BX253">
        <v>0</v>
      </c>
      <c r="BY253">
        <v>0</v>
      </c>
      <c r="BZ253">
        <v>0</v>
      </c>
      <c r="CA253">
        <v>273</v>
      </c>
      <c r="CF253" s="2"/>
      <c r="CH253" s="2"/>
      <c r="CJ253" t="s">
        <v>1023</v>
      </c>
      <c r="CK253" t="s">
        <v>2261</v>
      </c>
      <c r="CL253">
        <v>43771.575787037036</v>
      </c>
      <c r="CO253" t="s">
        <v>11</v>
      </c>
      <c r="CP253">
        <v>2100</v>
      </c>
      <c r="CQ253" t="s">
        <v>11</v>
      </c>
      <c r="CR253">
        <v>2100</v>
      </c>
      <c r="CV253" t="s">
        <v>190</v>
      </c>
      <c r="CW253" t="s">
        <v>12</v>
      </c>
      <c r="CX253" t="s">
        <v>12</v>
      </c>
      <c r="CY253" t="s">
        <v>12</v>
      </c>
      <c r="DA253" t="s">
        <v>104</v>
      </c>
      <c r="DD253" t="s">
        <v>93</v>
      </c>
      <c r="DQ253" t="s">
        <v>94</v>
      </c>
      <c r="DR253" t="s">
        <v>94</v>
      </c>
      <c r="DS253" t="s">
        <v>94</v>
      </c>
      <c r="DT253" t="s">
        <v>94</v>
      </c>
      <c r="DU253" t="s">
        <v>94</v>
      </c>
      <c r="DV253" t="s">
        <v>94</v>
      </c>
      <c r="DW253" t="s">
        <v>94</v>
      </c>
      <c r="DX253" s="2" t="s">
        <v>94</v>
      </c>
      <c r="DY253" t="s">
        <v>94</v>
      </c>
      <c r="DZ253" t="s">
        <v>94</v>
      </c>
      <c r="EA253" t="s">
        <v>94</v>
      </c>
      <c r="EB253" t="s">
        <v>94</v>
      </c>
      <c r="EC253" t="s">
        <v>94</v>
      </c>
      <c r="ED253" t="s">
        <v>94</v>
      </c>
      <c r="EE253" t="s">
        <v>89</v>
      </c>
      <c r="EF253" t="s">
        <v>425</v>
      </c>
      <c r="EG253" t="s">
        <v>105</v>
      </c>
      <c r="EJ253" t="s">
        <v>166</v>
      </c>
      <c r="EK253" t="b">
        <v>0</v>
      </c>
      <c r="EL253" t="b">
        <v>0</v>
      </c>
      <c r="EM253" t="b">
        <v>0</v>
      </c>
    </row>
    <row r="254" spans="3:143" ht="15">
      <c r="C254" s="82">
        <v>3</v>
      </c>
      <c r="D254" s="5"/>
      <c r="E254" s="4">
        <v>1</v>
      </c>
      <c r="F254" s="5">
        <v>0.4</v>
      </c>
      <c r="G254" s="5" t="s">
        <v>3569</v>
      </c>
      <c r="H254" s="4" t="s">
        <v>2385</v>
      </c>
      <c r="I254" s="81" t="s">
        <v>164</v>
      </c>
      <c r="J254" s="21"/>
      <c r="K254" s="22" t="s">
        <v>3552</v>
      </c>
      <c r="L254" s="84" t="s">
        <v>3197</v>
      </c>
      <c r="M254" s="23" t="s">
        <v>164</v>
      </c>
      <c r="N254" s="23">
        <v>43767</v>
      </c>
      <c r="O254" s="24" t="s">
        <v>102</v>
      </c>
      <c r="P254" s="24" t="s">
        <v>179</v>
      </c>
      <c r="Q254" s="24">
        <v>1</v>
      </c>
      <c r="R254" s="24">
        <v>0.4</v>
      </c>
      <c r="S254" t="s">
        <v>990</v>
      </c>
      <c r="T254" t="s">
        <v>3570</v>
      </c>
      <c r="U254" s="2" t="s">
        <v>163</v>
      </c>
      <c r="V254">
        <v>43767.868101851855</v>
      </c>
      <c r="W254" s="2" t="s">
        <v>444</v>
      </c>
      <c r="X254">
        <v>43769.459374999999</v>
      </c>
      <c r="AB254" t="s">
        <v>9</v>
      </c>
      <c r="AC254" t="s">
        <v>410</v>
      </c>
      <c r="AD254" t="s">
        <v>209</v>
      </c>
      <c r="AE254">
        <v>30020369</v>
      </c>
      <c r="AF254">
        <v>30020369</v>
      </c>
      <c r="AG254" t="s">
        <v>183</v>
      </c>
      <c r="AH254" t="s">
        <v>3553</v>
      </c>
      <c r="AI254" t="s">
        <v>3553</v>
      </c>
      <c r="AJ254" t="s">
        <v>369</v>
      </c>
      <c r="AK254" t="s">
        <v>370</v>
      </c>
      <c r="AL254" t="s">
        <v>3554</v>
      </c>
      <c r="AO254" t="s">
        <v>3555</v>
      </c>
      <c r="AP254" t="s">
        <v>415</v>
      </c>
      <c r="AQ254" t="s">
        <v>416</v>
      </c>
      <c r="AR254" t="s">
        <v>3571</v>
      </c>
      <c r="AS254">
        <v>61400336441</v>
      </c>
      <c r="AT254" t="s">
        <v>3556</v>
      </c>
      <c r="AU254" t="s">
        <v>10</v>
      </c>
      <c r="AV254" t="s">
        <v>3557</v>
      </c>
      <c r="AW254" t="s">
        <v>3557</v>
      </c>
      <c r="AX254" t="s">
        <v>3558</v>
      </c>
      <c r="AY254" s="2" t="s">
        <v>3559</v>
      </c>
      <c r="AZ254" t="s">
        <v>3560</v>
      </c>
      <c r="BA254" t="s">
        <v>538</v>
      </c>
      <c r="BB254" t="s">
        <v>223</v>
      </c>
      <c r="BC254" t="s">
        <v>188</v>
      </c>
      <c r="BD254">
        <v>510440</v>
      </c>
      <c r="BE254" t="s">
        <v>3572</v>
      </c>
      <c r="BF254" t="s">
        <v>3561</v>
      </c>
      <c r="BG254" t="b">
        <v>0</v>
      </c>
      <c r="BH254" s="6" t="s">
        <v>3562</v>
      </c>
      <c r="BI254" t="s">
        <v>3563</v>
      </c>
      <c r="BJ254">
        <v>4453163191</v>
      </c>
      <c r="BK254" t="s">
        <v>162</v>
      </c>
      <c r="BL254" t="s">
        <v>161</v>
      </c>
      <c r="BM254" s="2"/>
      <c r="BO254" t="s">
        <v>89</v>
      </c>
      <c r="BP254">
        <v>65050099</v>
      </c>
      <c r="BR254" t="s">
        <v>180</v>
      </c>
      <c r="BS254" t="s">
        <v>103</v>
      </c>
      <c r="BU254">
        <v>0</v>
      </c>
      <c r="BV254">
        <v>0</v>
      </c>
      <c r="BW254">
        <v>0</v>
      </c>
      <c r="BX254">
        <v>0</v>
      </c>
      <c r="BY254">
        <v>0</v>
      </c>
      <c r="BZ254">
        <v>0</v>
      </c>
      <c r="CA254">
        <v>0</v>
      </c>
      <c r="CF254" s="2"/>
      <c r="CH254" s="2"/>
      <c r="CJ254">
        <v>5.3142019950156E+17</v>
      </c>
      <c r="CK254" t="s">
        <v>1509</v>
      </c>
      <c r="CL254">
        <v>43767.564525462964</v>
      </c>
      <c r="CO254" t="s">
        <v>11</v>
      </c>
      <c r="CP254">
        <v>210.14</v>
      </c>
      <c r="CQ254" t="s">
        <v>11</v>
      </c>
      <c r="CR254">
        <v>210.14</v>
      </c>
      <c r="CV254" t="s">
        <v>190</v>
      </c>
      <c r="CW254" t="s">
        <v>12</v>
      </c>
      <c r="CX254" t="s">
        <v>12</v>
      </c>
      <c r="CY254" t="s">
        <v>12</v>
      </c>
      <c r="DA254" t="s">
        <v>104</v>
      </c>
      <c r="DD254" t="s">
        <v>93</v>
      </c>
      <c r="DQ254" t="s">
        <v>94</v>
      </c>
      <c r="DR254" t="s">
        <v>94</v>
      </c>
      <c r="DS254" t="s">
        <v>94</v>
      </c>
      <c r="DT254" t="s">
        <v>94</v>
      </c>
      <c r="DU254" t="s">
        <v>94</v>
      </c>
      <c r="DV254" t="s">
        <v>94</v>
      </c>
      <c r="DW254" t="s">
        <v>94</v>
      </c>
      <c r="DX254" s="2" t="s">
        <v>94</v>
      </c>
      <c r="DY254" t="s">
        <v>94</v>
      </c>
      <c r="DZ254" t="s">
        <v>94</v>
      </c>
      <c r="EA254" t="s">
        <v>94</v>
      </c>
      <c r="EB254" t="s">
        <v>94</v>
      </c>
      <c r="EC254" t="s">
        <v>94</v>
      </c>
      <c r="ED254" t="s">
        <v>94</v>
      </c>
      <c r="EE254" t="s">
        <v>89</v>
      </c>
      <c r="EF254" t="s">
        <v>425</v>
      </c>
      <c r="EG254" t="s">
        <v>105</v>
      </c>
      <c r="EJ254" t="s">
        <v>166</v>
      </c>
      <c r="EK254" t="b">
        <v>0</v>
      </c>
      <c r="EL254" t="b">
        <v>0</v>
      </c>
      <c r="EM254" t="b">
        <v>0</v>
      </c>
    </row>
    <row r="255" spans="3:143">
      <c r="C255" s="4">
        <v>3</v>
      </c>
      <c r="D255" s="4"/>
      <c r="E255" s="4">
        <v>1</v>
      </c>
      <c r="F255" s="4">
        <v>12.18</v>
      </c>
      <c r="G255" s="5" t="s">
        <v>3569</v>
      </c>
      <c r="H255" s="4" t="s">
        <v>3573</v>
      </c>
      <c r="I255" s="4" t="s">
        <v>164</v>
      </c>
      <c r="J255" s="5"/>
      <c r="K255" s="22" t="s">
        <v>3538</v>
      </c>
      <c r="L255" s="84" t="s">
        <v>3197</v>
      </c>
      <c r="M255" s="23" t="s">
        <v>164</v>
      </c>
      <c r="N255" s="23">
        <v>43767</v>
      </c>
      <c r="O255" s="24" t="s">
        <v>102</v>
      </c>
      <c r="P255" s="24" t="s">
        <v>181</v>
      </c>
      <c r="Q255" s="24">
        <v>1</v>
      </c>
      <c r="R255" s="24">
        <v>12.18</v>
      </c>
      <c r="S255" t="s">
        <v>11</v>
      </c>
      <c r="T255" t="s">
        <v>3574</v>
      </c>
      <c r="U255" s="2" t="s">
        <v>163</v>
      </c>
      <c r="V255">
        <v>43767.868298611109</v>
      </c>
      <c r="W255" s="2" t="s">
        <v>444</v>
      </c>
      <c r="X255">
        <v>43769.459374999999</v>
      </c>
      <c r="AB255" t="s">
        <v>9</v>
      </c>
      <c r="AC255" t="s">
        <v>3539</v>
      </c>
      <c r="AD255" t="s">
        <v>191</v>
      </c>
      <c r="AE255">
        <v>3004285</v>
      </c>
      <c r="AF255">
        <v>3004285</v>
      </c>
      <c r="AG255" t="s">
        <v>183</v>
      </c>
      <c r="AH255" t="s">
        <v>3540</v>
      </c>
      <c r="AI255" t="s">
        <v>3540</v>
      </c>
      <c r="AJ255" t="s">
        <v>211</v>
      </c>
      <c r="AK255" t="s">
        <v>212</v>
      </c>
      <c r="AL255" t="s">
        <v>3541</v>
      </c>
      <c r="AM255" t="s">
        <v>3542</v>
      </c>
      <c r="AO255" t="s">
        <v>3542</v>
      </c>
      <c r="AP255" t="s">
        <v>3543</v>
      </c>
      <c r="AQ255" t="s">
        <v>3544</v>
      </c>
      <c r="AR255" t="s">
        <v>3575</v>
      </c>
      <c r="AS255">
        <v>9176637012</v>
      </c>
      <c r="AT255" t="s">
        <v>3545</v>
      </c>
      <c r="AU255" t="s">
        <v>10</v>
      </c>
      <c r="AV255" t="s">
        <v>3546</v>
      </c>
      <c r="AW255" t="s">
        <v>3546</v>
      </c>
      <c r="AX255" t="s">
        <v>3547</v>
      </c>
      <c r="AY255" t="s">
        <v>3548</v>
      </c>
      <c r="AZ255" t="s">
        <v>1083</v>
      </c>
      <c r="BA255" t="s">
        <v>726</v>
      </c>
      <c r="BB255" t="s">
        <v>192</v>
      </c>
      <c r="BC255" t="s">
        <v>188</v>
      </c>
      <c r="BD255">
        <v>523800</v>
      </c>
      <c r="BE255" t="s">
        <v>3576</v>
      </c>
      <c r="BF255" t="s">
        <v>3549</v>
      </c>
      <c r="BG255" t="b">
        <v>0</v>
      </c>
      <c r="BH255" s="6" t="s">
        <v>3550</v>
      </c>
      <c r="BI255" t="s">
        <v>3551</v>
      </c>
      <c r="BJ255">
        <v>4453163191</v>
      </c>
      <c r="BK255" t="s">
        <v>162</v>
      </c>
      <c r="BL255" t="s">
        <v>161</v>
      </c>
      <c r="BM255" s="2"/>
      <c r="BO255" t="s">
        <v>89</v>
      </c>
      <c r="BP255">
        <v>64062010</v>
      </c>
      <c r="BR255" t="s">
        <v>180</v>
      </c>
      <c r="BS255" t="s">
        <v>103</v>
      </c>
      <c r="BU255">
        <v>0</v>
      </c>
      <c r="BV255">
        <v>82.68</v>
      </c>
      <c r="BW255">
        <v>0</v>
      </c>
      <c r="BX255">
        <v>0</v>
      </c>
      <c r="BY255">
        <v>0</v>
      </c>
      <c r="BZ255">
        <v>0</v>
      </c>
      <c r="CA255">
        <v>82.68</v>
      </c>
      <c r="CF255" s="2"/>
      <c r="CH255" s="2"/>
      <c r="CJ255">
        <v>5.3142019950156E+17</v>
      </c>
      <c r="CK255" t="s">
        <v>1509</v>
      </c>
      <c r="CL255">
        <v>43767.374444444446</v>
      </c>
      <c r="CO255" t="s">
        <v>11</v>
      </c>
      <c r="CP255">
        <v>600</v>
      </c>
      <c r="CQ255" t="s">
        <v>11</v>
      </c>
      <c r="CR255">
        <v>600</v>
      </c>
      <c r="CV255" t="s">
        <v>190</v>
      </c>
      <c r="CW255" t="s">
        <v>12</v>
      </c>
      <c r="CX255" t="s">
        <v>12</v>
      </c>
      <c r="CY255" t="s">
        <v>12</v>
      </c>
      <c r="DA255" t="s">
        <v>104</v>
      </c>
      <c r="DD255" t="s">
        <v>93</v>
      </c>
      <c r="DQ255" t="s">
        <v>94</v>
      </c>
      <c r="DR255" t="s">
        <v>94</v>
      </c>
      <c r="DS255" t="s">
        <v>94</v>
      </c>
      <c r="DT255" t="s">
        <v>94</v>
      </c>
      <c r="DU255" t="s">
        <v>94</v>
      </c>
      <c r="DV255" t="s">
        <v>94</v>
      </c>
      <c r="DW255" t="s">
        <v>94</v>
      </c>
      <c r="DX255" s="2" t="s">
        <v>94</v>
      </c>
      <c r="DY255" t="s">
        <v>94</v>
      </c>
      <c r="DZ255" t="s">
        <v>94</v>
      </c>
      <c r="EA255" t="s">
        <v>94</v>
      </c>
      <c r="EB255" t="s">
        <v>94</v>
      </c>
      <c r="EC255" t="s">
        <v>94</v>
      </c>
      <c r="ED255" t="s">
        <v>94</v>
      </c>
      <c r="EE255" t="s">
        <v>89</v>
      </c>
      <c r="EF255" t="s">
        <v>425</v>
      </c>
      <c r="EG255" t="s">
        <v>105</v>
      </c>
      <c r="EJ255" t="s">
        <v>166</v>
      </c>
      <c r="EK255" t="b">
        <v>0</v>
      </c>
      <c r="EL255" t="b">
        <v>0</v>
      </c>
      <c r="EM255" t="b">
        <v>0</v>
      </c>
    </row>
    <row r="256" spans="3:143" ht="15">
      <c r="C256" s="82">
        <v>232</v>
      </c>
      <c r="D256" s="5"/>
      <c r="E256" s="4">
        <v>1</v>
      </c>
      <c r="F256" s="5">
        <v>3.75</v>
      </c>
      <c r="G256" s="5" t="s">
        <v>3577</v>
      </c>
      <c r="H256" s="4" t="s">
        <v>3578</v>
      </c>
      <c r="I256" s="81" t="s">
        <v>164</v>
      </c>
      <c r="J256" s="21"/>
      <c r="K256" s="22" t="s">
        <v>3474</v>
      </c>
      <c r="L256" s="84" t="s">
        <v>3488</v>
      </c>
      <c r="M256" s="23" t="s">
        <v>447</v>
      </c>
      <c r="N256" s="23">
        <v>43775</v>
      </c>
      <c r="O256" s="24" t="s">
        <v>102</v>
      </c>
      <c r="P256" s="24" t="s">
        <v>181</v>
      </c>
      <c r="Q256" s="24">
        <v>1</v>
      </c>
      <c r="R256" s="24">
        <v>3.75</v>
      </c>
      <c r="S256" t="s">
        <v>11</v>
      </c>
      <c r="T256">
        <v>700</v>
      </c>
      <c r="U256" s="2" t="s">
        <v>163</v>
      </c>
      <c r="V256">
        <v>43775.876747685186</v>
      </c>
      <c r="W256" s="2" t="s">
        <v>427</v>
      </c>
      <c r="X256">
        <v>43775.923993055556</v>
      </c>
      <c r="AB256" t="s">
        <v>9</v>
      </c>
      <c r="AC256" t="s">
        <v>448</v>
      </c>
      <c r="AD256" t="s">
        <v>191</v>
      </c>
      <c r="AE256">
        <v>1006324</v>
      </c>
      <c r="AF256">
        <v>1006324</v>
      </c>
      <c r="AG256" t="s">
        <v>183</v>
      </c>
      <c r="AH256" t="s">
        <v>3475</v>
      </c>
      <c r="AI256" t="s">
        <v>3475</v>
      </c>
      <c r="AJ256" t="s">
        <v>184</v>
      </c>
      <c r="AK256" t="s">
        <v>185</v>
      </c>
      <c r="AL256" t="s">
        <v>3476</v>
      </c>
      <c r="AM256" t="s">
        <v>3477</v>
      </c>
      <c r="AO256" t="s">
        <v>3478</v>
      </c>
      <c r="AP256" t="s">
        <v>453</v>
      </c>
      <c r="AQ256" t="s">
        <v>3479</v>
      </c>
      <c r="AR256" t="s">
        <v>3480</v>
      </c>
      <c r="AS256">
        <v>1925854360</v>
      </c>
      <c r="AT256" t="s">
        <v>3481</v>
      </c>
      <c r="AU256" t="s">
        <v>10</v>
      </c>
      <c r="AV256" t="s">
        <v>3482</v>
      </c>
      <c r="AW256" t="s">
        <v>3482</v>
      </c>
      <c r="AX256" t="s">
        <v>3483</v>
      </c>
      <c r="AY256" s="2" t="s">
        <v>3484</v>
      </c>
      <c r="AZ256" t="s">
        <v>3485</v>
      </c>
      <c r="BA256" t="s">
        <v>371</v>
      </c>
      <c r="BB256" t="s">
        <v>192</v>
      </c>
      <c r="BC256" t="s">
        <v>188</v>
      </c>
      <c r="BD256">
        <v>523001</v>
      </c>
      <c r="BE256" t="s">
        <v>3579</v>
      </c>
      <c r="BF256" t="s">
        <v>3486</v>
      </c>
      <c r="BG256" t="b">
        <v>0</v>
      </c>
      <c r="BH256" s="6" t="s">
        <v>3487</v>
      </c>
      <c r="BI256" t="s">
        <v>3489</v>
      </c>
      <c r="BJ256">
        <v>4453163191</v>
      </c>
      <c r="BK256" t="s">
        <v>162</v>
      </c>
      <c r="BL256" t="s">
        <v>161</v>
      </c>
      <c r="BM256" s="2"/>
      <c r="BO256" t="s">
        <v>89</v>
      </c>
      <c r="BP256">
        <v>95030089</v>
      </c>
      <c r="BR256" t="s">
        <v>180</v>
      </c>
      <c r="BS256" t="s">
        <v>103</v>
      </c>
      <c r="BU256">
        <v>0</v>
      </c>
      <c r="BV256">
        <v>91.43</v>
      </c>
      <c r="BW256">
        <v>0</v>
      </c>
      <c r="BX256">
        <v>0</v>
      </c>
      <c r="BY256">
        <v>0</v>
      </c>
      <c r="BZ256">
        <v>0</v>
      </c>
      <c r="CA256">
        <v>91.43</v>
      </c>
      <c r="CB256" t="s">
        <v>444</v>
      </c>
      <c r="CF256" s="2"/>
      <c r="CH256" s="2"/>
      <c r="CJ256">
        <v>5.3142019950161101E+17</v>
      </c>
      <c r="CK256" t="s">
        <v>1849</v>
      </c>
      <c r="CL256">
        <v>43775.572002314817</v>
      </c>
      <c r="CO256" t="s">
        <v>11</v>
      </c>
      <c r="CP256">
        <v>700</v>
      </c>
      <c r="CQ256" t="s">
        <v>11</v>
      </c>
      <c r="CR256">
        <v>700</v>
      </c>
      <c r="CV256" t="s">
        <v>190</v>
      </c>
      <c r="CW256" t="s">
        <v>12</v>
      </c>
      <c r="CX256" t="s">
        <v>12</v>
      </c>
      <c r="CY256" t="s">
        <v>12</v>
      </c>
      <c r="DA256" t="s">
        <v>104</v>
      </c>
      <c r="DD256" t="s">
        <v>93</v>
      </c>
      <c r="DQ256" t="s">
        <v>94</v>
      </c>
      <c r="DR256" t="s">
        <v>94</v>
      </c>
      <c r="DS256" t="s">
        <v>94</v>
      </c>
      <c r="DT256" t="s">
        <v>94</v>
      </c>
      <c r="DU256" t="s">
        <v>94</v>
      </c>
      <c r="DV256" t="s">
        <v>94</v>
      </c>
      <c r="DW256" t="s">
        <v>94</v>
      </c>
      <c r="DX256" s="2" t="s">
        <v>94</v>
      </c>
      <c r="DY256" t="s">
        <v>94</v>
      </c>
      <c r="DZ256" t="s">
        <v>94</v>
      </c>
      <c r="EA256" t="s">
        <v>94</v>
      </c>
      <c r="EB256" t="s">
        <v>94</v>
      </c>
      <c r="EC256" t="s">
        <v>94</v>
      </c>
      <c r="ED256" t="s">
        <v>94</v>
      </c>
      <c r="EE256" t="s">
        <v>89</v>
      </c>
      <c r="EF256" t="s">
        <v>94</v>
      </c>
      <c r="EG256" t="s">
        <v>543</v>
      </c>
      <c r="EJ256" t="s">
        <v>166</v>
      </c>
      <c r="EK256" t="b">
        <v>0</v>
      </c>
      <c r="EL256" t="b">
        <v>0</v>
      </c>
      <c r="EM256" t="b">
        <v>0</v>
      </c>
    </row>
    <row r="257" spans="3:143" ht="15">
      <c r="C257" s="82">
        <v>23</v>
      </c>
      <c r="D257" s="5">
        <v>1</v>
      </c>
      <c r="E257" s="4">
        <v>1</v>
      </c>
      <c r="F257" s="5">
        <v>1</v>
      </c>
      <c r="G257" s="5" t="s">
        <v>3590</v>
      </c>
      <c r="H257" s="4" t="s">
        <v>3591</v>
      </c>
      <c r="I257" s="81" t="s">
        <v>817</v>
      </c>
      <c r="J257" s="21"/>
      <c r="K257" s="22" t="s">
        <v>3588</v>
      </c>
      <c r="L257" s="84" t="s">
        <v>3490</v>
      </c>
      <c r="M257" s="23" t="s">
        <v>817</v>
      </c>
      <c r="N257" s="23">
        <v>43772</v>
      </c>
      <c r="O257" s="24" t="s">
        <v>102</v>
      </c>
      <c r="P257" s="24" t="s">
        <v>480</v>
      </c>
      <c r="Q257" s="24">
        <v>1</v>
      </c>
      <c r="R257" s="24">
        <v>163.62</v>
      </c>
      <c r="S257" t="s">
        <v>11</v>
      </c>
      <c r="T257">
        <v>1600</v>
      </c>
      <c r="U257" s="2"/>
      <c r="W257" s="2"/>
      <c r="AB257" t="s">
        <v>9</v>
      </c>
      <c r="AC257" t="s">
        <v>3491</v>
      </c>
      <c r="AD257" t="s">
        <v>182</v>
      </c>
      <c r="AE257">
        <v>70310768</v>
      </c>
      <c r="AF257">
        <v>70310768</v>
      </c>
      <c r="AG257" t="s">
        <v>183</v>
      </c>
      <c r="AH257" t="s">
        <v>3492</v>
      </c>
      <c r="AI257" t="s">
        <v>3492</v>
      </c>
      <c r="AJ257" t="s">
        <v>776</v>
      </c>
      <c r="AK257" t="s">
        <v>777</v>
      </c>
      <c r="AL257" t="s">
        <v>3493</v>
      </c>
      <c r="AO257" t="s">
        <v>3494</v>
      </c>
      <c r="AP257" t="s">
        <v>3495</v>
      </c>
      <c r="AQ257" t="s">
        <v>782</v>
      </c>
      <c r="AR257" t="s">
        <v>3592</v>
      </c>
      <c r="AS257">
        <v>23897988192</v>
      </c>
      <c r="AT257" t="s">
        <v>3496</v>
      </c>
      <c r="AU257" t="s">
        <v>10</v>
      </c>
      <c r="AV257" t="s">
        <v>3497</v>
      </c>
      <c r="AW257" t="s">
        <v>3497</v>
      </c>
      <c r="AX257" t="s">
        <v>3498</v>
      </c>
      <c r="AY257" s="2" t="s">
        <v>3499</v>
      </c>
      <c r="BA257" t="s">
        <v>186</v>
      </c>
      <c r="BB257" t="s">
        <v>187</v>
      </c>
      <c r="BC257" t="s">
        <v>188</v>
      </c>
      <c r="BD257">
        <v>518106</v>
      </c>
      <c r="BE257" t="s">
        <v>3500</v>
      </c>
      <c r="BF257" t="s">
        <v>3501</v>
      </c>
      <c r="BG257" t="b">
        <v>0</v>
      </c>
      <c r="BH257" s="6" t="s">
        <v>3502</v>
      </c>
      <c r="BI257" t="s">
        <v>3580</v>
      </c>
      <c r="BJ257">
        <v>4453163191</v>
      </c>
      <c r="BK257" t="s">
        <v>162</v>
      </c>
      <c r="BL257" t="s">
        <v>161</v>
      </c>
      <c r="BM257" s="2"/>
      <c r="BR257" t="s">
        <v>189</v>
      </c>
      <c r="BS257" t="s">
        <v>103</v>
      </c>
      <c r="BU257">
        <v>0</v>
      </c>
      <c r="BV257">
        <v>0</v>
      </c>
      <c r="BW257">
        <v>0</v>
      </c>
      <c r="BX257">
        <v>0</v>
      </c>
      <c r="BY257">
        <v>0</v>
      </c>
      <c r="BZ257">
        <v>0</v>
      </c>
      <c r="CA257">
        <v>0</v>
      </c>
      <c r="CF257" s="2"/>
      <c r="CH257" s="2"/>
      <c r="CK257" t="s">
        <v>1509</v>
      </c>
      <c r="CL257">
        <v>43772.575370370374</v>
      </c>
      <c r="CO257" t="s">
        <v>11</v>
      </c>
      <c r="CP257">
        <v>1600</v>
      </c>
      <c r="CQ257" t="s">
        <v>11</v>
      </c>
      <c r="CR257">
        <v>1600</v>
      </c>
      <c r="CV257" t="s">
        <v>525</v>
      </c>
      <c r="CW257" t="s">
        <v>12</v>
      </c>
      <c r="CX257" t="s">
        <v>12</v>
      </c>
      <c r="CY257" t="s">
        <v>12</v>
      </c>
      <c r="DA257" t="s">
        <v>104</v>
      </c>
      <c r="DD257" t="s">
        <v>93</v>
      </c>
      <c r="DQ257" t="s">
        <v>94</v>
      </c>
      <c r="DR257" t="s">
        <v>94</v>
      </c>
      <c r="DS257" t="s">
        <v>94</v>
      </c>
      <c r="DT257" t="s">
        <v>94</v>
      </c>
      <c r="DU257" t="s">
        <v>94</v>
      </c>
      <c r="DV257" t="s">
        <v>94</v>
      </c>
      <c r="DW257" t="s">
        <v>94</v>
      </c>
      <c r="DX257" s="2" t="s">
        <v>94</v>
      </c>
      <c r="DY257" t="s">
        <v>94</v>
      </c>
      <c r="DZ257" t="s">
        <v>94</v>
      </c>
      <c r="EA257" t="s">
        <v>94</v>
      </c>
      <c r="EB257" t="s">
        <v>94</v>
      </c>
      <c r="EC257" t="s">
        <v>94</v>
      </c>
      <c r="ED257" t="s">
        <v>94</v>
      </c>
      <c r="EE257" t="s">
        <v>89</v>
      </c>
      <c r="EF257" t="s">
        <v>425</v>
      </c>
      <c r="EG257" t="s">
        <v>105</v>
      </c>
      <c r="EJ257" t="s">
        <v>166</v>
      </c>
      <c r="EK257" t="b">
        <v>0</v>
      </c>
      <c r="EL257" t="b">
        <v>0</v>
      </c>
      <c r="EM257" t="b">
        <v>0</v>
      </c>
    </row>
    <row r="258" spans="3:143">
      <c r="C258" s="4">
        <v>23</v>
      </c>
      <c r="D258" s="4">
        <v>162.12</v>
      </c>
      <c r="E258" s="4">
        <v>1</v>
      </c>
      <c r="F258" s="4">
        <v>162.12</v>
      </c>
      <c r="G258" s="5" t="s">
        <v>3590</v>
      </c>
      <c r="H258" s="4" t="s">
        <v>3591</v>
      </c>
      <c r="I258" s="4" t="s">
        <v>817</v>
      </c>
      <c r="J258" s="5"/>
      <c r="K258" s="22" t="s">
        <v>3589</v>
      </c>
      <c r="L258" s="84" t="s">
        <v>3490</v>
      </c>
      <c r="M258" s="23" t="s">
        <v>817</v>
      </c>
      <c r="N258" s="23">
        <v>43772</v>
      </c>
      <c r="O258" s="24" t="s">
        <v>102</v>
      </c>
      <c r="P258" s="24" t="s">
        <v>480</v>
      </c>
      <c r="Q258" s="24">
        <v>1</v>
      </c>
      <c r="R258" s="24">
        <v>163.62</v>
      </c>
      <c r="S258" t="s">
        <v>11</v>
      </c>
      <c r="T258">
        <v>1601</v>
      </c>
      <c r="U258" s="2"/>
      <c r="W258" s="2"/>
      <c r="AB258" t="s">
        <v>9</v>
      </c>
      <c r="AC258" t="s">
        <v>3491</v>
      </c>
      <c r="AD258" t="s">
        <v>3581</v>
      </c>
      <c r="AE258">
        <v>70310768</v>
      </c>
      <c r="AF258">
        <v>70310768</v>
      </c>
      <c r="AG258" t="s">
        <v>183</v>
      </c>
      <c r="AH258" t="s">
        <v>3492</v>
      </c>
      <c r="AI258" t="s">
        <v>3492</v>
      </c>
      <c r="AJ258" t="s">
        <v>776</v>
      </c>
      <c r="AK258" t="s">
        <v>777</v>
      </c>
      <c r="AL258" t="s">
        <v>3582</v>
      </c>
      <c r="AO258" t="s">
        <v>3494</v>
      </c>
      <c r="AP258" t="s">
        <v>3495</v>
      </c>
      <c r="AQ258" t="s">
        <v>782</v>
      </c>
      <c r="AR258" t="s">
        <v>3592</v>
      </c>
      <c r="AS258">
        <v>23897988192</v>
      </c>
      <c r="AT258" t="s">
        <v>3496</v>
      </c>
      <c r="AU258" t="s">
        <v>10</v>
      </c>
      <c r="AV258" t="s">
        <v>3497</v>
      </c>
      <c r="AW258" t="s">
        <v>3497</v>
      </c>
      <c r="AX258" t="s">
        <v>3583</v>
      </c>
      <c r="AY258" t="s">
        <v>3499</v>
      </c>
      <c r="BA258" t="s">
        <v>186</v>
      </c>
      <c r="BB258" t="s">
        <v>187</v>
      </c>
      <c r="BC258" t="s">
        <v>188</v>
      </c>
      <c r="BD258">
        <v>518107</v>
      </c>
      <c r="BE258" t="s">
        <v>3584</v>
      </c>
      <c r="BF258" t="s">
        <v>3501</v>
      </c>
      <c r="BG258" t="b">
        <v>0</v>
      </c>
      <c r="BH258" s="6" t="s">
        <v>3502</v>
      </c>
      <c r="BI258" t="s">
        <v>3580</v>
      </c>
      <c r="BJ258">
        <v>4453163192</v>
      </c>
      <c r="BK258" t="s">
        <v>162</v>
      </c>
      <c r="BL258" t="s">
        <v>3585</v>
      </c>
      <c r="BM258" s="2"/>
      <c r="BR258" t="s">
        <v>3586</v>
      </c>
      <c r="BS258" t="s">
        <v>103</v>
      </c>
      <c r="BU258">
        <v>0</v>
      </c>
      <c r="BV258">
        <v>0</v>
      </c>
      <c r="BW258">
        <v>0</v>
      </c>
      <c r="BX258">
        <v>0</v>
      </c>
      <c r="BY258">
        <v>0</v>
      </c>
      <c r="BZ258">
        <v>0</v>
      </c>
      <c r="CA258">
        <v>0</v>
      </c>
      <c r="CF258" s="2"/>
      <c r="CH258" s="2"/>
      <c r="CK258" t="s">
        <v>3587</v>
      </c>
      <c r="CL258">
        <v>43773.575370370403</v>
      </c>
      <c r="CO258" t="s">
        <v>11</v>
      </c>
      <c r="CP258">
        <v>1601</v>
      </c>
      <c r="CQ258" t="s">
        <v>11</v>
      </c>
      <c r="CR258">
        <v>1601</v>
      </c>
      <c r="CV258" t="s">
        <v>525</v>
      </c>
      <c r="CW258" t="s">
        <v>12</v>
      </c>
      <c r="CX258" t="s">
        <v>12</v>
      </c>
      <c r="CY258" t="s">
        <v>12</v>
      </c>
      <c r="DA258" t="s">
        <v>104</v>
      </c>
      <c r="DD258" t="s">
        <v>93</v>
      </c>
      <c r="DQ258" t="s">
        <v>94</v>
      </c>
      <c r="DR258" t="s">
        <v>94</v>
      </c>
      <c r="DS258" t="s">
        <v>94</v>
      </c>
      <c r="DT258" t="s">
        <v>94</v>
      </c>
      <c r="DU258" t="s">
        <v>94</v>
      </c>
      <c r="DV258" t="s">
        <v>94</v>
      </c>
      <c r="DW258" t="s">
        <v>94</v>
      </c>
      <c r="DX258" s="2" t="s">
        <v>94</v>
      </c>
      <c r="DY258" t="s">
        <v>94</v>
      </c>
      <c r="DZ258" t="s">
        <v>94</v>
      </c>
      <c r="EA258" t="s">
        <v>94</v>
      </c>
      <c r="EB258" t="s">
        <v>94</v>
      </c>
      <c r="EC258" t="s">
        <v>94</v>
      </c>
      <c r="ED258" t="s">
        <v>94</v>
      </c>
      <c r="EE258" t="s">
        <v>89</v>
      </c>
      <c r="EF258" t="s">
        <v>425</v>
      </c>
      <c r="EG258" t="s">
        <v>105</v>
      </c>
      <c r="EJ258" t="s">
        <v>166</v>
      </c>
      <c r="EK258" t="b">
        <v>0</v>
      </c>
      <c r="EL258" t="b">
        <v>0</v>
      </c>
      <c r="EM258" t="b">
        <v>0</v>
      </c>
    </row>
    <row r="259" spans="3:143" ht="15">
      <c r="C259" s="82">
        <v>3</v>
      </c>
      <c r="D259" s="5"/>
      <c r="E259" s="4">
        <v>1</v>
      </c>
      <c r="F259" s="5">
        <v>0.5</v>
      </c>
      <c r="G259" s="5" t="s">
        <v>3653</v>
      </c>
      <c r="H259" s="4" t="s">
        <v>3654</v>
      </c>
      <c r="I259" s="81" t="s">
        <v>164</v>
      </c>
      <c r="J259" s="21"/>
      <c r="K259" s="22" t="s">
        <v>3609</v>
      </c>
      <c r="L259" s="84" t="s">
        <v>3488</v>
      </c>
      <c r="M259" s="23" t="s">
        <v>164</v>
      </c>
      <c r="N259" s="23">
        <v>43775</v>
      </c>
      <c r="O259" s="24" t="s">
        <v>102</v>
      </c>
      <c r="P259" s="24" t="s">
        <v>179</v>
      </c>
      <c r="Q259" s="24">
        <v>1</v>
      </c>
      <c r="R259" s="24">
        <v>0.5</v>
      </c>
      <c r="S259" t="s">
        <v>11</v>
      </c>
      <c r="T259">
        <v>120</v>
      </c>
      <c r="U259" s="2" t="s">
        <v>163</v>
      </c>
      <c r="V259">
        <v>43775.876828703702</v>
      </c>
      <c r="W259" s="2" t="s">
        <v>444</v>
      </c>
      <c r="X259">
        <v>43777.678101851852</v>
      </c>
      <c r="AB259" t="s">
        <v>9</v>
      </c>
      <c r="AC259" t="s">
        <v>3610</v>
      </c>
      <c r="AD259" t="s">
        <v>182</v>
      </c>
      <c r="AE259">
        <v>284428</v>
      </c>
      <c r="AF259">
        <v>284428</v>
      </c>
      <c r="AG259" t="s">
        <v>183</v>
      </c>
      <c r="AH259" t="s">
        <v>3611</v>
      </c>
      <c r="AI259" t="s">
        <v>3611</v>
      </c>
      <c r="AJ259" t="s">
        <v>1272</v>
      </c>
      <c r="AK259" t="s">
        <v>1273</v>
      </c>
      <c r="AL259" t="s">
        <v>3612</v>
      </c>
      <c r="AO259" t="s">
        <v>3613</v>
      </c>
      <c r="AP259" t="s">
        <v>3614</v>
      </c>
      <c r="AR259" t="s">
        <v>3615</v>
      </c>
      <c r="AS259" t="s">
        <v>3616</v>
      </c>
      <c r="AT259" t="s">
        <v>3617</v>
      </c>
      <c r="AU259" t="s">
        <v>10</v>
      </c>
      <c r="AV259" t="s">
        <v>3618</v>
      </c>
      <c r="AW259" t="s">
        <v>3618</v>
      </c>
      <c r="AX259" t="s">
        <v>3619</v>
      </c>
      <c r="AY259" s="2" t="s">
        <v>3620</v>
      </c>
      <c r="AZ259" t="s">
        <v>3621</v>
      </c>
      <c r="BA259" t="s">
        <v>194</v>
      </c>
      <c r="BB259" t="s">
        <v>187</v>
      </c>
      <c r="BC259" t="s">
        <v>188</v>
      </c>
      <c r="BD259">
        <v>518126</v>
      </c>
      <c r="BE259">
        <v>8675529929015</v>
      </c>
      <c r="BF259" t="s">
        <v>3622</v>
      </c>
      <c r="BG259" t="b">
        <v>0</v>
      </c>
      <c r="BH259" s="6" t="s">
        <v>3623</v>
      </c>
      <c r="BI259" t="s">
        <v>3624</v>
      </c>
      <c r="BJ259">
        <v>4453163191</v>
      </c>
      <c r="BK259" t="s">
        <v>162</v>
      </c>
      <c r="BL259" t="s">
        <v>161</v>
      </c>
      <c r="BM259" s="2"/>
      <c r="BO259" t="s">
        <v>89</v>
      </c>
      <c r="BP259">
        <v>85414010</v>
      </c>
      <c r="BR259" t="s">
        <v>180</v>
      </c>
      <c r="BS259" t="s">
        <v>103</v>
      </c>
      <c r="BU259">
        <v>0</v>
      </c>
      <c r="BV259">
        <v>0</v>
      </c>
      <c r="BW259">
        <v>0</v>
      </c>
      <c r="BX259">
        <v>0</v>
      </c>
      <c r="BY259">
        <v>0</v>
      </c>
      <c r="BZ259">
        <v>0</v>
      </c>
      <c r="CA259">
        <v>0</v>
      </c>
      <c r="CF259" s="2"/>
      <c r="CH259" s="2"/>
      <c r="CJ259">
        <v>5.3142019950161101E+17</v>
      </c>
      <c r="CK259" t="s">
        <v>1849</v>
      </c>
      <c r="CL259">
        <v>43775.375775462962</v>
      </c>
      <c r="CO259" t="s">
        <v>11</v>
      </c>
      <c r="CP259" t="s">
        <v>3655</v>
      </c>
      <c r="CQ259" t="s">
        <v>11</v>
      </c>
      <c r="CR259">
        <v>120</v>
      </c>
      <c r="CV259" t="s">
        <v>190</v>
      </c>
      <c r="CW259" t="s">
        <v>12</v>
      </c>
      <c r="CX259" t="s">
        <v>12</v>
      </c>
      <c r="CY259" t="s">
        <v>12</v>
      </c>
      <c r="DA259" t="s">
        <v>104</v>
      </c>
      <c r="DD259" t="s">
        <v>93</v>
      </c>
      <c r="DQ259" t="s">
        <v>94</v>
      </c>
      <c r="DR259" t="s">
        <v>94</v>
      </c>
      <c r="DS259" t="s">
        <v>94</v>
      </c>
      <c r="DT259" t="s">
        <v>94</v>
      </c>
      <c r="DU259" t="s">
        <v>94</v>
      </c>
      <c r="DV259" t="s">
        <v>94</v>
      </c>
      <c r="DW259" t="s">
        <v>94</v>
      </c>
      <c r="DX259" s="2" t="s">
        <v>94</v>
      </c>
      <c r="DY259" t="s">
        <v>94</v>
      </c>
      <c r="DZ259" t="s">
        <v>94</v>
      </c>
      <c r="EA259" t="s">
        <v>94</v>
      </c>
      <c r="EB259" t="s">
        <v>94</v>
      </c>
      <c r="EC259" t="s">
        <v>94</v>
      </c>
      <c r="ED259" t="s">
        <v>94</v>
      </c>
      <c r="EE259" t="s">
        <v>89</v>
      </c>
      <c r="EF259" t="s">
        <v>425</v>
      </c>
      <c r="EG259" t="s">
        <v>105</v>
      </c>
      <c r="EJ259" t="s">
        <v>166</v>
      </c>
      <c r="EK259" t="b">
        <v>0</v>
      </c>
      <c r="EL259" t="b">
        <v>0</v>
      </c>
      <c r="EM259" t="b">
        <v>0</v>
      </c>
    </row>
    <row r="260" spans="3:143">
      <c r="C260" s="4">
        <v>3</v>
      </c>
      <c r="D260" s="4"/>
      <c r="E260" s="4">
        <v>1</v>
      </c>
      <c r="F260" s="4">
        <v>3.55</v>
      </c>
      <c r="G260" s="5" t="s">
        <v>3653</v>
      </c>
      <c r="H260" s="4" t="s">
        <v>3656</v>
      </c>
      <c r="I260" s="4" t="s">
        <v>164</v>
      </c>
      <c r="J260" s="5"/>
      <c r="K260" s="22" t="s">
        <v>3593</v>
      </c>
      <c r="L260" s="84" t="s">
        <v>3488</v>
      </c>
      <c r="M260" s="23" t="s">
        <v>164</v>
      </c>
      <c r="N260" s="23">
        <v>43775</v>
      </c>
      <c r="O260" s="24" t="s">
        <v>102</v>
      </c>
      <c r="P260" s="24" t="s">
        <v>179</v>
      </c>
      <c r="Q260" s="24">
        <v>1</v>
      </c>
      <c r="R260" s="24">
        <v>3.55</v>
      </c>
      <c r="S260" t="s">
        <v>319</v>
      </c>
      <c r="T260">
        <v>50</v>
      </c>
      <c r="U260" s="2" t="s">
        <v>163</v>
      </c>
      <c r="V260">
        <v>43775.876898148148</v>
      </c>
      <c r="W260" s="2" t="s">
        <v>444</v>
      </c>
      <c r="X260">
        <v>43777.678854166668</v>
      </c>
      <c r="AB260" t="s">
        <v>9</v>
      </c>
      <c r="AC260" t="s">
        <v>3594</v>
      </c>
      <c r="AD260" t="s">
        <v>182</v>
      </c>
      <c r="AE260">
        <v>111256</v>
      </c>
      <c r="AF260">
        <v>111256</v>
      </c>
      <c r="AG260" t="s">
        <v>183</v>
      </c>
      <c r="AH260" t="s">
        <v>3595</v>
      </c>
      <c r="AI260" t="s">
        <v>3595</v>
      </c>
      <c r="AJ260" t="s">
        <v>584</v>
      </c>
      <c r="AK260" t="s">
        <v>585</v>
      </c>
      <c r="AL260" t="s">
        <v>3596</v>
      </c>
      <c r="AO260" t="s">
        <v>3597</v>
      </c>
      <c r="AP260" t="s">
        <v>3598</v>
      </c>
      <c r="AR260" t="s">
        <v>3599</v>
      </c>
      <c r="AS260" t="s">
        <v>3600</v>
      </c>
      <c r="AT260" t="s">
        <v>3601</v>
      </c>
      <c r="AU260" t="s">
        <v>10</v>
      </c>
      <c r="AV260" t="s">
        <v>3602</v>
      </c>
      <c r="AW260" t="s">
        <v>3603</v>
      </c>
      <c r="AX260" t="s">
        <v>3604</v>
      </c>
      <c r="AY260" t="s">
        <v>3605</v>
      </c>
      <c r="AZ260" t="s">
        <v>3455</v>
      </c>
      <c r="BA260" t="s">
        <v>186</v>
      </c>
      <c r="BB260" t="s">
        <v>187</v>
      </c>
      <c r="BC260" t="s">
        <v>188</v>
      </c>
      <c r="BD260">
        <v>518108</v>
      </c>
      <c r="BE260">
        <v>-8613713796715</v>
      </c>
      <c r="BF260" t="s">
        <v>3606</v>
      </c>
      <c r="BG260" t="b">
        <v>0</v>
      </c>
      <c r="BH260" s="6" t="s">
        <v>3607</v>
      </c>
      <c r="BI260" t="s">
        <v>3608</v>
      </c>
      <c r="BJ260">
        <v>4453163191</v>
      </c>
      <c r="BK260" t="s">
        <v>162</v>
      </c>
      <c r="BL260" t="s">
        <v>161</v>
      </c>
      <c r="BM260" s="2"/>
      <c r="BO260" t="s">
        <v>89</v>
      </c>
      <c r="BP260">
        <v>85312000</v>
      </c>
      <c r="BR260" t="s">
        <v>180</v>
      </c>
      <c r="BS260" t="s">
        <v>103</v>
      </c>
      <c r="BU260">
        <v>0</v>
      </c>
      <c r="BV260">
        <v>0</v>
      </c>
      <c r="BW260">
        <v>0</v>
      </c>
      <c r="BX260">
        <v>0</v>
      </c>
      <c r="BY260">
        <v>0</v>
      </c>
      <c r="BZ260">
        <v>0</v>
      </c>
      <c r="CA260">
        <v>0</v>
      </c>
      <c r="CF260" s="2"/>
      <c r="CH260" s="2"/>
      <c r="CJ260">
        <v>5.3142019950161101E+17</v>
      </c>
      <c r="CK260" t="s">
        <v>1849</v>
      </c>
      <c r="CL260">
        <v>43775.559629629628</v>
      </c>
      <c r="CO260" t="s">
        <v>11</v>
      </c>
      <c r="CP260" t="s">
        <v>3657</v>
      </c>
      <c r="CQ260" t="s">
        <v>11</v>
      </c>
      <c r="CR260">
        <v>353.73</v>
      </c>
      <c r="CV260" t="s">
        <v>190</v>
      </c>
      <c r="CW260" t="s">
        <v>12</v>
      </c>
      <c r="CX260" t="s">
        <v>12</v>
      </c>
      <c r="CY260" t="s">
        <v>12</v>
      </c>
      <c r="DA260" t="s">
        <v>104</v>
      </c>
      <c r="DD260" t="s">
        <v>93</v>
      </c>
      <c r="DQ260" t="s">
        <v>94</v>
      </c>
      <c r="DR260" t="s">
        <v>94</v>
      </c>
      <c r="DS260" t="s">
        <v>94</v>
      </c>
      <c r="DT260" t="s">
        <v>94</v>
      </c>
      <c r="DU260" t="s">
        <v>94</v>
      </c>
      <c r="DV260" t="s">
        <v>94</v>
      </c>
      <c r="DW260" t="s">
        <v>94</v>
      </c>
      <c r="DX260" s="2" t="s">
        <v>94</v>
      </c>
      <c r="DY260" t="s">
        <v>94</v>
      </c>
      <c r="DZ260" t="s">
        <v>94</v>
      </c>
      <c r="EA260" t="s">
        <v>94</v>
      </c>
      <c r="EB260" t="s">
        <v>94</v>
      </c>
      <c r="EC260" t="s">
        <v>94</v>
      </c>
      <c r="ED260" t="s">
        <v>94</v>
      </c>
      <c r="EE260" t="s">
        <v>89</v>
      </c>
      <c r="EF260" t="s">
        <v>425</v>
      </c>
      <c r="EG260" t="s">
        <v>105</v>
      </c>
      <c r="EJ260" t="s">
        <v>166</v>
      </c>
      <c r="EK260" t="b">
        <v>0</v>
      </c>
      <c r="EL260" t="b">
        <v>0</v>
      </c>
      <c r="EM260" t="b">
        <v>0</v>
      </c>
    </row>
    <row r="261" spans="3:143" ht="15">
      <c r="C261" s="82">
        <v>123</v>
      </c>
      <c r="D261" s="5"/>
      <c r="E261" s="4">
        <v>2</v>
      </c>
      <c r="F261" s="5">
        <v>17</v>
      </c>
      <c r="G261" s="5" t="s">
        <v>3658</v>
      </c>
      <c r="H261" s="4" t="s">
        <v>3659</v>
      </c>
      <c r="I261" s="81" t="s">
        <v>164</v>
      </c>
      <c r="J261" s="21"/>
      <c r="K261" s="22" t="s">
        <v>3625</v>
      </c>
      <c r="L261" s="84" t="s">
        <v>3488</v>
      </c>
      <c r="M261" s="23" t="s">
        <v>164</v>
      </c>
      <c r="N261" s="23">
        <v>43775</v>
      </c>
      <c r="O261" s="24" t="s">
        <v>102</v>
      </c>
      <c r="P261" s="24" t="s">
        <v>181</v>
      </c>
      <c r="Q261" s="24">
        <v>2</v>
      </c>
      <c r="R261" s="24">
        <v>17</v>
      </c>
      <c r="S261" t="s">
        <v>319</v>
      </c>
      <c r="T261">
        <v>135</v>
      </c>
      <c r="U261" s="2" t="s">
        <v>163</v>
      </c>
      <c r="V261">
        <v>43775.877002314817</v>
      </c>
      <c r="W261" s="2" t="s">
        <v>444</v>
      </c>
      <c r="X261">
        <v>43777.678101851852</v>
      </c>
      <c r="AB261" t="s">
        <v>9</v>
      </c>
      <c r="AC261" t="s">
        <v>3626</v>
      </c>
      <c r="AD261" t="s">
        <v>209</v>
      </c>
      <c r="AE261">
        <v>2049544</v>
      </c>
      <c r="AF261">
        <v>2049544</v>
      </c>
      <c r="AG261" t="s">
        <v>183</v>
      </c>
      <c r="AH261" t="s">
        <v>3627</v>
      </c>
      <c r="AI261" t="s">
        <v>3627</v>
      </c>
      <c r="AJ261" t="s">
        <v>2322</v>
      </c>
      <c r="AK261" t="s">
        <v>2323</v>
      </c>
      <c r="AL261" t="s">
        <v>3628</v>
      </c>
      <c r="AM261" t="s">
        <v>3629</v>
      </c>
      <c r="AO261" t="s">
        <v>3630</v>
      </c>
      <c r="AP261" t="s">
        <v>3631</v>
      </c>
      <c r="AQ261" t="s">
        <v>3632</v>
      </c>
      <c r="AR261">
        <v>1220</v>
      </c>
      <c r="AS261">
        <v>-905535227535</v>
      </c>
      <c r="AT261" t="s">
        <v>3627</v>
      </c>
      <c r="AU261" t="s">
        <v>10</v>
      </c>
      <c r="AV261" t="s">
        <v>3633</v>
      </c>
      <c r="AW261" t="s">
        <v>3633</v>
      </c>
      <c r="AX261" t="s">
        <v>3634</v>
      </c>
      <c r="AY261" s="2"/>
      <c r="BA261" t="s">
        <v>520</v>
      </c>
      <c r="BB261" t="s">
        <v>223</v>
      </c>
      <c r="BC261" t="s">
        <v>188</v>
      </c>
      <c r="BD261">
        <v>510430</v>
      </c>
      <c r="BE261">
        <v>-8618718402035</v>
      </c>
      <c r="BF261" t="s">
        <v>3635</v>
      </c>
      <c r="BG261" t="b">
        <v>0</v>
      </c>
      <c r="BH261" s="6" t="s">
        <v>3636</v>
      </c>
      <c r="BI261" t="s">
        <v>3637</v>
      </c>
      <c r="BJ261">
        <v>4453163191</v>
      </c>
      <c r="BK261" t="s">
        <v>162</v>
      </c>
      <c r="BL261" t="s">
        <v>161</v>
      </c>
      <c r="BM261" s="2"/>
      <c r="BO261" t="s">
        <v>89</v>
      </c>
      <c r="BP261">
        <v>3926909090</v>
      </c>
      <c r="BR261" t="s">
        <v>189</v>
      </c>
      <c r="BS261" t="s">
        <v>103</v>
      </c>
      <c r="BU261">
        <v>95.51</v>
      </c>
      <c r="BV261">
        <v>136.58000000000001</v>
      </c>
      <c r="BW261">
        <v>0</v>
      </c>
      <c r="BX261">
        <v>0</v>
      </c>
      <c r="BY261">
        <v>0</v>
      </c>
      <c r="BZ261">
        <v>0</v>
      </c>
      <c r="CA261">
        <v>232.09</v>
      </c>
      <c r="CF261" s="2"/>
      <c r="CH261" s="2"/>
      <c r="CJ261">
        <v>5.3142019950161101E+17</v>
      </c>
      <c r="CK261" t="s">
        <v>1849</v>
      </c>
      <c r="CL261">
        <v>43775.375763888886</v>
      </c>
      <c r="CO261" t="s">
        <v>11</v>
      </c>
      <c r="CP261" t="s">
        <v>3660</v>
      </c>
      <c r="CQ261" t="s">
        <v>11</v>
      </c>
      <c r="CR261">
        <v>955.07</v>
      </c>
      <c r="CV261" t="s">
        <v>190</v>
      </c>
      <c r="CW261" t="s">
        <v>12</v>
      </c>
      <c r="CX261" t="s">
        <v>12</v>
      </c>
      <c r="CY261" t="s">
        <v>12</v>
      </c>
      <c r="DA261" t="s">
        <v>104</v>
      </c>
      <c r="DD261" t="s">
        <v>93</v>
      </c>
      <c r="DQ261" t="s">
        <v>94</v>
      </c>
      <c r="DR261" t="s">
        <v>94</v>
      </c>
      <c r="DS261" t="s">
        <v>94</v>
      </c>
      <c r="DT261" t="s">
        <v>94</v>
      </c>
      <c r="DU261" t="s">
        <v>94</v>
      </c>
      <c r="DV261" t="s">
        <v>94</v>
      </c>
      <c r="DW261" t="s">
        <v>94</v>
      </c>
      <c r="DX261" s="2" t="s">
        <v>94</v>
      </c>
      <c r="DY261" t="s">
        <v>94</v>
      </c>
      <c r="DZ261" t="s">
        <v>94</v>
      </c>
      <c r="EA261" t="s">
        <v>94</v>
      </c>
      <c r="EB261" t="s">
        <v>94</v>
      </c>
      <c r="EC261" t="s">
        <v>94</v>
      </c>
      <c r="ED261" t="s">
        <v>94</v>
      </c>
      <c r="EE261" t="s">
        <v>89</v>
      </c>
      <c r="EF261" t="s">
        <v>425</v>
      </c>
      <c r="EG261" t="s">
        <v>105</v>
      </c>
      <c r="EJ261" t="s">
        <v>166</v>
      </c>
      <c r="EK261" t="b">
        <v>0</v>
      </c>
      <c r="EL261" t="b">
        <v>0</v>
      </c>
      <c r="EM261" t="b">
        <v>0</v>
      </c>
    </row>
    <row r="262" spans="3:143" ht="15">
      <c r="C262" s="82">
        <v>1313</v>
      </c>
      <c r="D262" s="5"/>
      <c r="E262" s="4">
        <v>1</v>
      </c>
      <c r="F262" s="5">
        <v>11.7</v>
      </c>
      <c r="G262" s="5" t="s">
        <v>3661</v>
      </c>
      <c r="H262" s="4" t="s">
        <v>3662</v>
      </c>
      <c r="I262" s="81" t="s">
        <v>920</v>
      </c>
      <c r="J262" s="21"/>
      <c r="K262" s="22" t="s">
        <v>3638</v>
      </c>
      <c r="L262" s="84" t="s">
        <v>2655</v>
      </c>
      <c r="M262" s="23" t="s">
        <v>905</v>
      </c>
      <c r="N262" s="23">
        <v>43762</v>
      </c>
      <c r="O262" s="24" t="s">
        <v>102</v>
      </c>
      <c r="P262" s="24" t="s">
        <v>181</v>
      </c>
      <c r="Q262" s="24">
        <v>1</v>
      </c>
      <c r="R262" s="24">
        <v>11.7</v>
      </c>
      <c r="S262" t="s">
        <v>11</v>
      </c>
      <c r="T262">
        <v>600</v>
      </c>
      <c r="U262" s="2" t="s">
        <v>163</v>
      </c>
      <c r="V262">
        <v>43762.869201388887</v>
      </c>
      <c r="W262" s="2" t="s">
        <v>444</v>
      </c>
      <c r="X262">
        <v>43776.695532407408</v>
      </c>
      <c r="AB262" t="s">
        <v>9</v>
      </c>
      <c r="AC262" t="s">
        <v>3639</v>
      </c>
      <c r="AD262" t="s">
        <v>200</v>
      </c>
      <c r="AE262">
        <v>86746</v>
      </c>
      <c r="AF262">
        <v>86746</v>
      </c>
      <c r="AG262" t="s">
        <v>183</v>
      </c>
      <c r="AH262" t="s">
        <v>3640</v>
      </c>
      <c r="AI262" t="s">
        <v>3640</v>
      </c>
      <c r="AJ262" t="s">
        <v>211</v>
      </c>
      <c r="AK262" t="s">
        <v>212</v>
      </c>
      <c r="AL262" t="s">
        <v>3641</v>
      </c>
      <c r="AM262" t="s">
        <v>3642</v>
      </c>
      <c r="AN262" t="s">
        <v>3643</v>
      </c>
      <c r="AO262" t="s">
        <v>3644</v>
      </c>
      <c r="AP262" t="s">
        <v>3645</v>
      </c>
      <c r="AQ262" t="s">
        <v>3544</v>
      </c>
      <c r="AR262">
        <v>600001</v>
      </c>
      <c r="AS262">
        <v>4425340061</v>
      </c>
      <c r="AT262" t="s">
        <v>3646</v>
      </c>
      <c r="AU262" t="s">
        <v>10</v>
      </c>
      <c r="AV262" t="s">
        <v>3647</v>
      </c>
      <c r="AW262" t="s">
        <v>3647</v>
      </c>
      <c r="AX262" t="s">
        <v>3648</v>
      </c>
      <c r="AY262" s="2" t="s">
        <v>3649</v>
      </c>
      <c r="BA262" t="s">
        <v>2123</v>
      </c>
      <c r="BB262" t="s">
        <v>1864</v>
      </c>
      <c r="BC262" t="s">
        <v>188</v>
      </c>
      <c r="BD262">
        <v>528041</v>
      </c>
      <c r="BE262">
        <v>7511944941</v>
      </c>
      <c r="BG262" t="b">
        <v>0</v>
      </c>
      <c r="BH262" s="6" t="s">
        <v>3650</v>
      </c>
      <c r="BI262" t="s">
        <v>3651</v>
      </c>
      <c r="BJ262">
        <v>4453163191</v>
      </c>
      <c r="BK262" t="s">
        <v>162</v>
      </c>
      <c r="BL262" t="s">
        <v>161</v>
      </c>
      <c r="BM262" s="2"/>
      <c r="BO262" t="s">
        <v>89</v>
      </c>
      <c r="BP262">
        <v>25291000</v>
      </c>
      <c r="BR262" t="s">
        <v>180</v>
      </c>
      <c r="BS262" t="s">
        <v>103</v>
      </c>
      <c r="BU262">
        <v>0</v>
      </c>
      <c r="BV262">
        <v>78.78</v>
      </c>
      <c r="BW262">
        <v>0</v>
      </c>
      <c r="BX262">
        <v>0</v>
      </c>
      <c r="BY262">
        <v>0</v>
      </c>
      <c r="BZ262">
        <v>0</v>
      </c>
      <c r="CA262">
        <v>78.78</v>
      </c>
      <c r="CF262" s="2"/>
      <c r="CH262" s="2"/>
      <c r="CJ262">
        <v>5.3142019950153402E+17</v>
      </c>
      <c r="CK262" t="s">
        <v>1509</v>
      </c>
      <c r="CL262">
        <v>43762.534687500003</v>
      </c>
      <c r="CO262" t="s">
        <v>11</v>
      </c>
      <c r="CP262" t="s">
        <v>3574</v>
      </c>
      <c r="CQ262" t="s">
        <v>11</v>
      </c>
      <c r="CR262">
        <v>600</v>
      </c>
      <c r="CV262" t="s">
        <v>190</v>
      </c>
      <c r="CW262" t="s">
        <v>12</v>
      </c>
      <c r="CX262" t="s">
        <v>12</v>
      </c>
      <c r="CY262" t="s">
        <v>12</v>
      </c>
      <c r="DA262" t="s">
        <v>104</v>
      </c>
      <c r="DD262" t="s">
        <v>93</v>
      </c>
      <c r="DQ262" t="s">
        <v>94</v>
      </c>
      <c r="DR262" t="s">
        <v>94</v>
      </c>
      <c r="DS262" t="s">
        <v>94</v>
      </c>
      <c r="DT262" t="s">
        <v>94</v>
      </c>
      <c r="DU262" t="s">
        <v>94</v>
      </c>
      <c r="DV262" t="s">
        <v>94</v>
      </c>
      <c r="DW262" t="s">
        <v>94</v>
      </c>
      <c r="DX262" s="2" t="s">
        <v>94</v>
      </c>
      <c r="DY262" t="s">
        <v>94</v>
      </c>
      <c r="DZ262" t="s">
        <v>94</v>
      </c>
      <c r="EA262" t="s">
        <v>94</v>
      </c>
      <c r="EB262" t="s">
        <v>94</v>
      </c>
      <c r="EC262" t="s">
        <v>94</v>
      </c>
      <c r="ED262" t="s">
        <v>94</v>
      </c>
      <c r="EE262" t="s">
        <v>89</v>
      </c>
      <c r="EF262" t="s">
        <v>425</v>
      </c>
      <c r="EG262" t="s">
        <v>105</v>
      </c>
      <c r="EJ262" t="s">
        <v>166</v>
      </c>
      <c r="EK262" t="b">
        <v>0</v>
      </c>
      <c r="EL262" t="b">
        <v>0</v>
      </c>
      <c r="EM262" t="b">
        <v>0</v>
      </c>
    </row>
    <row r="263" spans="3:143" ht="15">
      <c r="C263" s="82">
        <v>1313</v>
      </c>
      <c r="D263" s="5"/>
      <c r="E263" s="4">
        <v>1</v>
      </c>
      <c r="F263" s="5">
        <v>11.7</v>
      </c>
      <c r="G263" s="5" t="s">
        <v>3663</v>
      </c>
      <c r="H263" s="4" t="s">
        <v>3662</v>
      </c>
      <c r="I263" s="81" t="s">
        <v>920</v>
      </c>
      <c r="J263" s="21"/>
      <c r="K263" s="22" t="s">
        <v>3638</v>
      </c>
      <c r="L263" s="84" t="s">
        <v>2655</v>
      </c>
      <c r="M263" s="23" t="s">
        <v>905</v>
      </c>
      <c r="N263" s="23">
        <v>43762</v>
      </c>
      <c r="O263" s="24" t="s">
        <v>102</v>
      </c>
      <c r="P263" s="24" t="s">
        <v>181</v>
      </c>
      <c r="Q263" s="24">
        <v>1</v>
      </c>
      <c r="R263" s="24">
        <v>11.7</v>
      </c>
      <c r="S263" t="s">
        <v>11</v>
      </c>
      <c r="T263">
        <v>600</v>
      </c>
      <c r="U263" s="2" t="s">
        <v>163</v>
      </c>
      <c r="V263">
        <v>43762.869201388887</v>
      </c>
      <c r="W263" s="2" t="s">
        <v>444</v>
      </c>
      <c r="X263">
        <v>43776.695532407408</v>
      </c>
      <c r="AB263" t="s">
        <v>9</v>
      </c>
      <c r="AC263" t="s">
        <v>3639</v>
      </c>
      <c r="AD263" t="s">
        <v>200</v>
      </c>
      <c r="AE263">
        <v>86746</v>
      </c>
      <c r="AF263">
        <v>86746</v>
      </c>
      <c r="AG263" t="s">
        <v>183</v>
      </c>
      <c r="AH263" t="s">
        <v>3640</v>
      </c>
      <c r="AI263" t="s">
        <v>3640</v>
      </c>
      <c r="AJ263" t="s">
        <v>211</v>
      </c>
      <c r="AK263" t="s">
        <v>212</v>
      </c>
      <c r="AL263" t="s">
        <v>3641</v>
      </c>
      <c r="AM263" t="s">
        <v>3642</v>
      </c>
      <c r="AN263" t="s">
        <v>3643</v>
      </c>
      <c r="AO263" t="s">
        <v>3644</v>
      </c>
      <c r="AP263" t="s">
        <v>3645</v>
      </c>
      <c r="AQ263" t="s">
        <v>3544</v>
      </c>
      <c r="AR263">
        <v>600001</v>
      </c>
      <c r="AS263">
        <v>4425340061</v>
      </c>
      <c r="AT263" t="s">
        <v>3646</v>
      </c>
      <c r="AU263" t="s">
        <v>10</v>
      </c>
      <c r="AV263" t="s">
        <v>3647</v>
      </c>
      <c r="AW263" t="s">
        <v>3647</v>
      </c>
      <c r="AX263" t="s">
        <v>3648</v>
      </c>
      <c r="AY263" s="2" t="s">
        <v>3649</v>
      </c>
      <c r="BA263" t="s">
        <v>2123</v>
      </c>
      <c r="BB263" t="s">
        <v>1864</v>
      </c>
      <c r="BC263" t="s">
        <v>188</v>
      </c>
      <c r="BD263">
        <v>528041</v>
      </c>
      <c r="BE263">
        <v>7511944941</v>
      </c>
      <c r="BG263" t="b">
        <v>0</v>
      </c>
      <c r="BH263" s="6" t="s">
        <v>3650</v>
      </c>
      <c r="BI263" t="s">
        <v>3651</v>
      </c>
      <c r="BJ263">
        <v>4453163191</v>
      </c>
      <c r="BK263" t="s">
        <v>162</v>
      </c>
      <c r="BL263" t="s">
        <v>161</v>
      </c>
      <c r="BM263" s="2"/>
      <c r="BO263" t="s">
        <v>89</v>
      </c>
      <c r="BP263">
        <v>25291000</v>
      </c>
      <c r="BR263" t="s">
        <v>180</v>
      </c>
      <c r="BS263" t="s">
        <v>103</v>
      </c>
      <c r="BU263">
        <v>0</v>
      </c>
      <c r="BV263">
        <v>78.78</v>
      </c>
      <c r="BW263">
        <v>0</v>
      </c>
      <c r="BX263">
        <v>0</v>
      </c>
      <c r="BY263">
        <v>0</v>
      </c>
      <c r="BZ263">
        <v>0</v>
      </c>
      <c r="CA263">
        <v>78.78</v>
      </c>
      <c r="CF263" s="2"/>
      <c r="CH263" s="2"/>
      <c r="CJ263">
        <v>5.3142019950153402E+17</v>
      </c>
      <c r="CK263" t="s">
        <v>1509</v>
      </c>
      <c r="CL263">
        <v>43762.534687500003</v>
      </c>
      <c r="CO263" t="s">
        <v>11</v>
      </c>
      <c r="CP263" t="s">
        <v>3574</v>
      </c>
      <c r="CQ263" t="s">
        <v>11</v>
      </c>
      <c r="CR263">
        <v>600</v>
      </c>
      <c r="CV263" t="s">
        <v>190</v>
      </c>
      <c r="CW263" t="s">
        <v>12</v>
      </c>
      <c r="CX263" t="s">
        <v>12</v>
      </c>
      <c r="CY263" t="s">
        <v>12</v>
      </c>
      <c r="DA263" t="s">
        <v>104</v>
      </c>
      <c r="DD263" t="s">
        <v>93</v>
      </c>
      <c r="DQ263" t="s">
        <v>94</v>
      </c>
      <c r="DR263" t="s">
        <v>94</v>
      </c>
      <c r="DS263" t="s">
        <v>94</v>
      </c>
      <c r="DT263" t="s">
        <v>94</v>
      </c>
      <c r="DU263" t="s">
        <v>94</v>
      </c>
      <c r="DV263" t="s">
        <v>94</v>
      </c>
      <c r="DW263" t="s">
        <v>94</v>
      </c>
      <c r="DX263" s="2" t="s">
        <v>94</v>
      </c>
      <c r="DY263" t="s">
        <v>94</v>
      </c>
      <c r="DZ263" t="s">
        <v>94</v>
      </c>
      <c r="EA263" t="s">
        <v>94</v>
      </c>
      <c r="EB263" t="s">
        <v>94</v>
      </c>
      <c r="EC263" t="s">
        <v>94</v>
      </c>
      <c r="ED263" t="s">
        <v>94</v>
      </c>
      <c r="EE263" t="s">
        <v>89</v>
      </c>
      <c r="EF263" t="s">
        <v>425</v>
      </c>
      <c r="EG263" t="s">
        <v>105</v>
      </c>
      <c r="EJ263" t="s">
        <v>166</v>
      </c>
      <c r="EK263" t="b">
        <v>0</v>
      </c>
      <c r="EL263" t="b">
        <v>0</v>
      </c>
      <c r="EM263" t="b">
        <v>0</v>
      </c>
    </row>
    <row r="264" spans="3:143" ht="15">
      <c r="C264" s="82">
        <v>3</v>
      </c>
      <c r="D264" s="5"/>
      <c r="E264" s="4">
        <v>2</v>
      </c>
      <c r="F264" s="5">
        <v>17</v>
      </c>
      <c r="G264" s="5" t="s">
        <v>3666</v>
      </c>
      <c r="H264" s="4" t="s">
        <v>3659</v>
      </c>
      <c r="I264" s="81" t="s">
        <v>164</v>
      </c>
      <c r="J264" s="21" t="b">
        <v>0</v>
      </c>
      <c r="K264" s="22" t="s">
        <v>3625</v>
      </c>
      <c r="L264" s="84" t="s">
        <v>3488</v>
      </c>
      <c r="M264" s="23" t="s">
        <v>164</v>
      </c>
      <c r="N264" s="23">
        <v>43775</v>
      </c>
      <c r="O264" s="24" t="s">
        <v>102</v>
      </c>
      <c r="P264" s="24" t="s">
        <v>181</v>
      </c>
      <c r="Q264" s="24">
        <v>2</v>
      </c>
      <c r="R264" s="24">
        <v>17</v>
      </c>
      <c r="S264" t="s">
        <v>319</v>
      </c>
      <c r="T264">
        <v>135</v>
      </c>
      <c r="U264" s="2" t="s">
        <v>163</v>
      </c>
      <c r="V264">
        <v>43775.877002314817</v>
      </c>
      <c r="W264" s="2" t="s">
        <v>444</v>
      </c>
      <c r="X264">
        <v>43777.678101851852</v>
      </c>
      <c r="AB264" t="s">
        <v>9</v>
      </c>
      <c r="AC264" t="s">
        <v>3626</v>
      </c>
      <c r="AD264" t="s">
        <v>209</v>
      </c>
      <c r="AE264">
        <v>2049544</v>
      </c>
      <c r="AF264">
        <v>2049544</v>
      </c>
      <c r="AG264" t="s">
        <v>183</v>
      </c>
      <c r="AH264" t="s">
        <v>3627</v>
      </c>
      <c r="AI264" t="s">
        <v>3627</v>
      </c>
      <c r="AJ264" t="s">
        <v>2322</v>
      </c>
      <c r="AK264" t="s">
        <v>2323</v>
      </c>
      <c r="AL264" t="s">
        <v>3628</v>
      </c>
      <c r="AM264" t="s">
        <v>3629</v>
      </c>
      <c r="AO264" t="s">
        <v>3630</v>
      </c>
      <c r="AP264" t="s">
        <v>3631</v>
      </c>
      <c r="AQ264" t="s">
        <v>3632</v>
      </c>
      <c r="AR264" t="s">
        <v>3664</v>
      </c>
      <c r="AS264" t="s">
        <v>3665</v>
      </c>
      <c r="AT264" t="s">
        <v>3627</v>
      </c>
      <c r="AU264" t="s">
        <v>10</v>
      </c>
      <c r="AV264" t="s">
        <v>3633</v>
      </c>
      <c r="AW264" t="s">
        <v>3633</v>
      </c>
      <c r="AX264" t="s">
        <v>3634</v>
      </c>
      <c r="AY264" s="2"/>
      <c r="BA264" t="s">
        <v>520</v>
      </c>
      <c r="BB264" t="s">
        <v>223</v>
      </c>
      <c r="BC264" t="s">
        <v>188</v>
      </c>
      <c r="BD264">
        <v>510430</v>
      </c>
      <c r="BE264">
        <v>-8618718402035</v>
      </c>
      <c r="BF264" t="s">
        <v>3635</v>
      </c>
      <c r="BG264" t="b">
        <v>0</v>
      </c>
      <c r="BH264" s="6" t="s">
        <v>3636</v>
      </c>
      <c r="BI264" t="s">
        <v>3637</v>
      </c>
      <c r="BJ264">
        <v>4453163191</v>
      </c>
      <c r="BK264" t="s">
        <v>162</v>
      </c>
      <c r="BL264" t="s">
        <v>161</v>
      </c>
      <c r="BM264" s="2"/>
      <c r="BO264" t="s">
        <v>89</v>
      </c>
      <c r="BP264">
        <v>3926909090</v>
      </c>
      <c r="BR264" t="s">
        <v>189</v>
      </c>
      <c r="BS264" t="s">
        <v>103</v>
      </c>
      <c r="BU264">
        <v>95.51</v>
      </c>
      <c r="BV264">
        <v>136.58000000000001</v>
      </c>
      <c r="BW264">
        <v>0</v>
      </c>
      <c r="BX264">
        <v>0</v>
      </c>
      <c r="BY264">
        <v>0</v>
      </c>
      <c r="BZ264">
        <v>0</v>
      </c>
      <c r="CA264">
        <v>232.09</v>
      </c>
      <c r="CF264" s="2"/>
      <c r="CH264" s="2"/>
      <c r="CJ264">
        <v>5.3142019950161101E+17</v>
      </c>
      <c r="CK264" t="s">
        <v>1849</v>
      </c>
      <c r="CL264">
        <v>43775.375763888886</v>
      </c>
      <c r="CO264" t="s">
        <v>11</v>
      </c>
      <c r="CP264" t="s">
        <v>3660</v>
      </c>
      <c r="CQ264" t="s">
        <v>11</v>
      </c>
      <c r="CR264">
        <v>955.07</v>
      </c>
      <c r="CV264" t="s">
        <v>190</v>
      </c>
      <c r="CW264" t="s">
        <v>12</v>
      </c>
      <c r="CX264" t="s">
        <v>12</v>
      </c>
      <c r="CY264" t="s">
        <v>12</v>
      </c>
      <c r="DA264" t="s">
        <v>104</v>
      </c>
      <c r="DD264" t="s">
        <v>93</v>
      </c>
      <c r="DQ264" t="s">
        <v>94</v>
      </c>
      <c r="DR264" t="s">
        <v>94</v>
      </c>
      <c r="DS264" t="s">
        <v>94</v>
      </c>
      <c r="DT264" t="s">
        <v>94</v>
      </c>
      <c r="DU264" t="s">
        <v>94</v>
      </c>
      <c r="DV264" t="s">
        <v>94</v>
      </c>
      <c r="DW264" t="s">
        <v>94</v>
      </c>
      <c r="DX264" s="2" t="s">
        <v>94</v>
      </c>
      <c r="DY264" t="s">
        <v>94</v>
      </c>
      <c r="DZ264" t="s">
        <v>94</v>
      </c>
      <c r="EA264" t="s">
        <v>94</v>
      </c>
      <c r="EB264" t="s">
        <v>94</v>
      </c>
      <c r="EC264" t="s">
        <v>94</v>
      </c>
      <c r="ED264" t="s">
        <v>94</v>
      </c>
      <c r="EE264" t="s">
        <v>89</v>
      </c>
      <c r="EF264" t="s">
        <v>425</v>
      </c>
      <c r="EG264" t="s">
        <v>105</v>
      </c>
      <c r="EJ264" t="s">
        <v>166</v>
      </c>
      <c r="EK264" t="b">
        <v>0</v>
      </c>
      <c r="EL264" t="b">
        <v>0</v>
      </c>
      <c r="EM264" t="b">
        <v>0</v>
      </c>
    </row>
    <row r="265" spans="3:143">
      <c r="C265" s="4">
        <v>3</v>
      </c>
      <c r="D265" s="4"/>
      <c r="E265" s="4">
        <v>1</v>
      </c>
      <c r="F265" s="4">
        <v>0.5</v>
      </c>
      <c r="G265" s="5" t="s">
        <v>3666</v>
      </c>
      <c r="H265" s="4" t="s">
        <v>3654</v>
      </c>
      <c r="I265" s="4" t="s">
        <v>164</v>
      </c>
      <c r="J265" s="5" t="b">
        <v>0</v>
      </c>
      <c r="K265" s="22" t="s">
        <v>3609</v>
      </c>
      <c r="L265" s="84" t="s">
        <v>3488</v>
      </c>
      <c r="M265" s="23" t="s">
        <v>164</v>
      </c>
      <c r="N265" s="23">
        <v>43775</v>
      </c>
      <c r="O265" s="24" t="s">
        <v>102</v>
      </c>
      <c r="P265" s="24" t="s">
        <v>179</v>
      </c>
      <c r="Q265" s="24">
        <v>1</v>
      </c>
      <c r="R265" s="24">
        <v>0.5</v>
      </c>
      <c r="S265" t="s">
        <v>11</v>
      </c>
      <c r="T265">
        <v>120</v>
      </c>
      <c r="U265" s="2" t="s">
        <v>163</v>
      </c>
      <c r="V265">
        <v>43775.876828703702</v>
      </c>
      <c r="W265" s="2" t="s">
        <v>444</v>
      </c>
      <c r="X265">
        <v>43777.678101851852</v>
      </c>
      <c r="AB265" t="s">
        <v>9</v>
      </c>
      <c r="AC265" t="s">
        <v>3610</v>
      </c>
      <c r="AD265" t="s">
        <v>182</v>
      </c>
      <c r="AE265">
        <v>284428</v>
      </c>
      <c r="AF265">
        <v>284428</v>
      </c>
      <c r="AG265" t="s">
        <v>183</v>
      </c>
      <c r="AH265" t="s">
        <v>3611</v>
      </c>
      <c r="AI265" t="s">
        <v>3611</v>
      </c>
      <c r="AJ265" t="s">
        <v>1272</v>
      </c>
      <c r="AK265" t="s">
        <v>1273</v>
      </c>
      <c r="AL265" t="s">
        <v>3612</v>
      </c>
      <c r="AO265" t="s">
        <v>3613</v>
      </c>
      <c r="AP265" t="s">
        <v>3614</v>
      </c>
      <c r="AR265" t="s">
        <v>3615</v>
      </c>
      <c r="AS265" t="s">
        <v>3616</v>
      </c>
      <c r="AT265" t="s">
        <v>3617</v>
      </c>
      <c r="AU265" t="s">
        <v>10</v>
      </c>
      <c r="AV265" t="s">
        <v>3618</v>
      </c>
      <c r="AW265" t="s">
        <v>3618</v>
      </c>
      <c r="AX265" t="s">
        <v>3619</v>
      </c>
      <c r="AY265" t="s">
        <v>3620</v>
      </c>
      <c r="AZ265" t="s">
        <v>3621</v>
      </c>
      <c r="BA265" t="s">
        <v>194</v>
      </c>
      <c r="BB265" t="s">
        <v>187</v>
      </c>
      <c r="BC265" t="s">
        <v>188</v>
      </c>
      <c r="BD265">
        <v>518126</v>
      </c>
      <c r="BE265">
        <v>8675529929015</v>
      </c>
      <c r="BF265" t="s">
        <v>3622</v>
      </c>
      <c r="BG265" t="b">
        <v>0</v>
      </c>
      <c r="BH265" s="6" t="s">
        <v>3623</v>
      </c>
      <c r="BI265" t="s">
        <v>3624</v>
      </c>
      <c r="BJ265">
        <v>4453163191</v>
      </c>
      <c r="BK265" t="s">
        <v>162</v>
      </c>
      <c r="BL265" t="s">
        <v>161</v>
      </c>
      <c r="BM265" s="2"/>
      <c r="BO265" t="s">
        <v>89</v>
      </c>
      <c r="BP265">
        <v>85414010</v>
      </c>
      <c r="BR265" t="s">
        <v>180</v>
      </c>
      <c r="BS265" t="s">
        <v>103</v>
      </c>
      <c r="BU265">
        <v>0</v>
      </c>
      <c r="BV265">
        <v>0</v>
      </c>
      <c r="BW265">
        <v>0</v>
      </c>
      <c r="BX265">
        <v>0</v>
      </c>
      <c r="BY265">
        <v>0</v>
      </c>
      <c r="BZ265">
        <v>0</v>
      </c>
      <c r="CA265">
        <v>0</v>
      </c>
      <c r="CF265" s="2"/>
      <c r="CH265" s="2"/>
      <c r="CJ265">
        <v>5.3142019950161101E+17</v>
      </c>
      <c r="CK265" t="s">
        <v>1849</v>
      </c>
      <c r="CL265">
        <v>43775.375775462962</v>
      </c>
      <c r="CO265" t="s">
        <v>11</v>
      </c>
      <c r="CP265" t="s">
        <v>3655</v>
      </c>
      <c r="CQ265" t="s">
        <v>11</v>
      </c>
      <c r="CR265">
        <v>120</v>
      </c>
      <c r="CV265" t="s">
        <v>190</v>
      </c>
      <c r="CW265" t="s">
        <v>12</v>
      </c>
      <c r="CX265" t="s">
        <v>12</v>
      </c>
      <c r="CY265" t="s">
        <v>12</v>
      </c>
      <c r="DA265" t="s">
        <v>104</v>
      </c>
      <c r="DD265" t="s">
        <v>93</v>
      </c>
      <c r="DQ265" t="s">
        <v>94</v>
      </c>
      <c r="DR265" t="s">
        <v>94</v>
      </c>
      <c r="DS265" t="s">
        <v>94</v>
      </c>
      <c r="DT265" t="s">
        <v>94</v>
      </c>
      <c r="DU265" t="s">
        <v>94</v>
      </c>
      <c r="DV265" t="s">
        <v>94</v>
      </c>
      <c r="DW265" t="s">
        <v>94</v>
      </c>
      <c r="DX265" s="2" t="s">
        <v>94</v>
      </c>
      <c r="DY265" t="s">
        <v>94</v>
      </c>
      <c r="DZ265" t="s">
        <v>94</v>
      </c>
      <c r="EA265" t="s">
        <v>94</v>
      </c>
      <c r="EB265" t="s">
        <v>94</v>
      </c>
      <c r="EC265" t="s">
        <v>94</v>
      </c>
      <c r="ED265" t="s">
        <v>94</v>
      </c>
      <c r="EE265" t="s">
        <v>89</v>
      </c>
      <c r="EF265" t="s">
        <v>425</v>
      </c>
      <c r="EG265" t="s">
        <v>105</v>
      </c>
      <c r="EJ265" t="s">
        <v>166</v>
      </c>
      <c r="EK265" t="b">
        <v>0</v>
      </c>
      <c r="EL265" t="b">
        <v>0</v>
      </c>
      <c r="EM265" t="b">
        <v>0</v>
      </c>
    </row>
    <row r="266" spans="3:143">
      <c r="C266" s="4">
        <v>3</v>
      </c>
      <c r="D266" s="5"/>
      <c r="E266" s="5">
        <v>1</v>
      </c>
      <c r="F266" s="4">
        <v>3.55</v>
      </c>
      <c r="G266" s="5" t="s">
        <v>3666</v>
      </c>
      <c r="H266" s="4" t="s">
        <v>3656</v>
      </c>
      <c r="I266" s="4" t="s">
        <v>164</v>
      </c>
      <c r="J266" s="4" t="b">
        <v>0</v>
      </c>
      <c r="K266" s="22" t="s">
        <v>3593</v>
      </c>
      <c r="L266" s="84" t="s">
        <v>3488</v>
      </c>
      <c r="M266" s="23" t="s">
        <v>164</v>
      </c>
      <c r="N266" s="23">
        <v>43775</v>
      </c>
      <c r="O266" s="24" t="s">
        <v>102</v>
      </c>
      <c r="P266" s="24" t="s">
        <v>179</v>
      </c>
      <c r="Q266" s="24">
        <v>1</v>
      </c>
      <c r="R266" s="24">
        <v>3.55</v>
      </c>
      <c r="S266" t="s">
        <v>319</v>
      </c>
      <c r="T266">
        <v>50</v>
      </c>
      <c r="U266" s="2" t="s">
        <v>163</v>
      </c>
      <c r="V266">
        <v>43775.876898148148</v>
      </c>
      <c r="W266" s="2" t="s">
        <v>444</v>
      </c>
      <c r="X266">
        <v>43777.678854166668</v>
      </c>
      <c r="AB266" t="s">
        <v>9</v>
      </c>
      <c r="AC266" t="s">
        <v>3594</v>
      </c>
      <c r="AD266" t="s">
        <v>182</v>
      </c>
      <c r="AE266">
        <v>111256</v>
      </c>
      <c r="AF266">
        <v>111256</v>
      </c>
      <c r="AG266" t="s">
        <v>183</v>
      </c>
      <c r="AH266" t="s">
        <v>3595</v>
      </c>
      <c r="AI266" t="s">
        <v>3595</v>
      </c>
      <c r="AJ266" t="s">
        <v>584</v>
      </c>
      <c r="AK266" t="s">
        <v>585</v>
      </c>
      <c r="AL266" t="s">
        <v>3596</v>
      </c>
      <c r="AO266" t="s">
        <v>3597</v>
      </c>
      <c r="AP266" t="s">
        <v>3598</v>
      </c>
      <c r="AR266" t="s">
        <v>3599</v>
      </c>
      <c r="AS266" t="s">
        <v>3600</v>
      </c>
      <c r="AT266" t="s">
        <v>3601</v>
      </c>
      <c r="AU266" t="s">
        <v>10</v>
      </c>
      <c r="AV266" t="s">
        <v>3602</v>
      </c>
      <c r="AW266" t="s">
        <v>3603</v>
      </c>
      <c r="AX266" t="s">
        <v>3604</v>
      </c>
      <c r="AY266" t="s">
        <v>3605</v>
      </c>
      <c r="AZ266" t="s">
        <v>3455</v>
      </c>
      <c r="BA266" t="s">
        <v>186</v>
      </c>
      <c r="BB266" t="s">
        <v>187</v>
      </c>
      <c r="BC266" t="s">
        <v>188</v>
      </c>
      <c r="BD266">
        <v>518108</v>
      </c>
      <c r="BE266">
        <v>-8613713796715</v>
      </c>
      <c r="BF266" t="s">
        <v>3606</v>
      </c>
      <c r="BG266" t="b">
        <v>0</v>
      </c>
      <c r="BH266" s="6" t="s">
        <v>3607</v>
      </c>
      <c r="BI266" t="s">
        <v>3608</v>
      </c>
      <c r="BJ266">
        <v>4453163191</v>
      </c>
      <c r="BK266" t="s">
        <v>162</v>
      </c>
      <c r="BL266" t="s">
        <v>161</v>
      </c>
      <c r="BM266" s="2"/>
      <c r="BO266" t="s">
        <v>89</v>
      </c>
      <c r="BP266">
        <v>85312000</v>
      </c>
      <c r="BR266" t="s">
        <v>180</v>
      </c>
      <c r="BS266" t="s">
        <v>103</v>
      </c>
      <c r="BU266">
        <v>0</v>
      </c>
      <c r="BV266">
        <v>0</v>
      </c>
      <c r="BW266">
        <v>0</v>
      </c>
      <c r="BX266">
        <v>0</v>
      </c>
      <c r="BY266">
        <v>0</v>
      </c>
      <c r="BZ266">
        <v>0</v>
      </c>
      <c r="CA266">
        <v>0</v>
      </c>
      <c r="CF266" s="2"/>
      <c r="CH266" s="2"/>
      <c r="CJ266">
        <v>5.3142019950161101E+17</v>
      </c>
      <c r="CK266" t="s">
        <v>1849</v>
      </c>
      <c r="CL266">
        <v>43775.559629629628</v>
      </c>
      <c r="CO266" t="s">
        <v>11</v>
      </c>
      <c r="CP266" t="s">
        <v>3657</v>
      </c>
      <c r="CQ266" t="s">
        <v>11</v>
      </c>
      <c r="CR266">
        <v>353.73</v>
      </c>
      <c r="CV266" t="s">
        <v>190</v>
      </c>
      <c r="CW266" t="s">
        <v>12</v>
      </c>
      <c r="CX266" t="s">
        <v>12</v>
      </c>
      <c r="CY266" t="s">
        <v>12</v>
      </c>
      <c r="DA266" t="s">
        <v>104</v>
      </c>
      <c r="DD266" t="s">
        <v>93</v>
      </c>
      <c r="DQ266" t="s">
        <v>94</v>
      </c>
      <c r="DR266" t="s">
        <v>94</v>
      </c>
      <c r="DS266" t="s">
        <v>94</v>
      </c>
      <c r="DT266" t="s">
        <v>94</v>
      </c>
      <c r="DU266" t="s">
        <v>94</v>
      </c>
      <c r="DV266" t="s">
        <v>94</v>
      </c>
      <c r="DW266" t="s">
        <v>94</v>
      </c>
      <c r="DX266" s="2" t="s">
        <v>94</v>
      </c>
      <c r="DY266" t="s">
        <v>94</v>
      </c>
      <c r="DZ266" t="s">
        <v>94</v>
      </c>
      <c r="EA266" t="s">
        <v>94</v>
      </c>
      <c r="EB266" t="s">
        <v>94</v>
      </c>
      <c r="EC266" t="s">
        <v>94</v>
      </c>
      <c r="ED266" t="s">
        <v>94</v>
      </c>
      <c r="EE266" t="s">
        <v>89</v>
      </c>
      <c r="EF266" t="s">
        <v>425</v>
      </c>
      <c r="EG266" t="s">
        <v>105</v>
      </c>
      <c r="EJ266" t="s">
        <v>166</v>
      </c>
      <c r="EK266" t="b">
        <v>0</v>
      </c>
      <c r="EL266" t="b">
        <v>0</v>
      </c>
      <c r="EM266" t="b">
        <v>0</v>
      </c>
    </row>
    <row r="267" spans="3:143" ht="15">
      <c r="C267" s="82">
        <v>3</v>
      </c>
      <c r="D267" s="5"/>
      <c r="E267" s="4">
        <v>2</v>
      </c>
      <c r="F267" s="5">
        <v>17</v>
      </c>
      <c r="G267" s="5" t="s">
        <v>3667</v>
      </c>
      <c r="H267" s="4" t="s">
        <v>3659</v>
      </c>
      <c r="I267" s="81" t="s">
        <v>164</v>
      </c>
      <c r="J267" s="21"/>
      <c r="K267" s="22" t="s">
        <v>3625</v>
      </c>
      <c r="L267" s="84" t="s">
        <v>3488</v>
      </c>
      <c r="M267" s="23" t="s">
        <v>164</v>
      </c>
      <c r="N267" s="23">
        <v>43775</v>
      </c>
      <c r="O267" s="24" t="s">
        <v>102</v>
      </c>
      <c r="P267" s="24" t="s">
        <v>181</v>
      </c>
      <c r="Q267" s="24">
        <v>2</v>
      </c>
      <c r="R267" s="24">
        <v>17</v>
      </c>
      <c r="S267" t="s">
        <v>319</v>
      </c>
      <c r="T267">
        <v>135</v>
      </c>
      <c r="U267" s="2" t="s">
        <v>163</v>
      </c>
      <c r="V267">
        <v>43775.877002314817</v>
      </c>
      <c r="W267" s="2" t="s">
        <v>444</v>
      </c>
      <c r="X267">
        <v>43777.678101851852</v>
      </c>
      <c r="AB267" t="s">
        <v>9</v>
      </c>
      <c r="AC267" t="s">
        <v>3626</v>
      </c>
      <c r="AD267" t="s">
        <v>209</v>
      </c>
      <c r="AE267">
        <v>2049544</v>
      </c>
      <c r="AF267">
        <v>2049544</v>
      </c>
      <c r="AG267" t="s">
        <v>183</v>
      </c>
      <c r="AH267" t="s">
        <v>3627</v>
      </c>
      <c r="AI267" t="s">
        <v>3627</v>
      </c>
      <c r="AJ267" t="s">
        <v>2322</v>
      </c>
      <c r="AK267" t="s">
        <v>2323</v>
      </c>
      <c r="AL267" t="s">
        <v>3628</v>
      </c>
      <c r="AM267" t="s">
        <v>3629</v>
      </c>
      <c r="AO267" t="s">
        <v>3630</v>
      </c>
      <c r="AP267" t="s">
        <v>3631</v>
      </c>
      <c r="AQ267" t="s">
        <v>3632</v>
      </c>
      <c r="AR267" t="s">
        <v>3664</v>
      </c>
      <c r="AS267" t="s">
        <v>3665</v>
      </c>
      <c r="AT267" t="s">
        <v>3627</v>
      </c>
      <c r="AU267" t="s">
        <v>10</v>
      </c>
      <c r="AV267" t="s">
        <v>3633</v>
      </c>
      <c r="AW267" t="s">
        <v>3633</v>
      </c>
      <c r="AX267" t="s">
        <v>3634</v>
      </c>
      <c r="AY267" s="2"/>
      <c r="BA267" t="s">
        <v>520</v>
      </c>
      <c r="BB267" t="s">
        <v>223</v>
      </c>
      <c r="BC267" t="s">
        <v>188</v>
      </c>
      <c r="BD267">
        <v>510430</v>
      </c>
      <c r="BE267">
        <v>-8618718402035</v>
      </c>
      <c r="BF267" t="s">
        <v>3635</v>
      </c>
      <c r="BG267" t="b">
        <v>0</v>
      </c>
      <c r="BH267" s="6" t="s">
        <v>3636</v>
      </c>
      <c r="BI267" t="s">
        <v>3637</v>
      </c>
      <c r="BJ267">
        <v>4453163191</v>
      </c>
      <c r="BK267" t="s">
        <v>162</v>
      </c>
      <c r="BL267" t="s">
        <v>161</v>
      </c>
      <c r="BM267" s="2"/>
      <c r="BO267" t="s">
        <v>89</v>
      </c>
      <c r="BP267">
        <v>3926909090</v>
      </c>
      <c r="BR267" t="s">
        <v>189</v>
      </c>
      <c r="BS267" t="s">
        <v>103</v>
      </c>
      <c r="BU267">
        <v>95.51</v>
      </c>
      <c r="BV267">
        <v>136.58000000000001</v>
      </c>
      <c r="BW267">
        <v>0</v>
      </c>
      <c r="BX267">
        <v>0</v>
      </c>
      <c r="BY267">
        <v>0</v>
      </c>
      <c r="BZ267">
        <v>0</v>
      </c>
      <c r="CA267">
        <v>232.09</v>
      </c>
      <c r="CF267" s="2"/>
      <c r="CH267" s="2"/>
      <c r="CJ267">
        <v>5.3142019950161101E+17</v>
      </c>
      <c r="CK267" t="s">
        <v>1849</v>
      </c>
      <c r="CL267">
        <v>43775.375763888886</v>
      </c>
      <c r="CO267" t="s">
        <v>11</v>
      </c>
      <c r="CP267" t="s">
        <v>3660</v>
      </c>
      <c r="CQ267" t="s">
        <v>11</v>
      </c>
      <c r="CR267">
        <v>955.07</v>
      </c>
      <c r="CV267" t="s">
        <v>190</v>
      </c>
      <c r="CW267" t="s">
        <v>12</v>
      </c>
      <c r="CX267" t="s">
        <v>12</v>
      </c>
      <c r="CY267" t="s">
        <v>12</v>
      </c>
      <c r="DA267" t="s">
        <v>104</v>
      </c>
      <c r="DD267" t="s">
        <v>93</v>
      </c>
      <c r="DQ267" t="s">
        <v>94</v>
      </c>
      <c r="DR267" t="s">
        <v>94</v>
      </c>
      <c r="DS267" t="s">
        <v>94</v>
      </c>
      <c r="DT267" t="s">
        <v>94</v>
      </c>
      <c r="DU267" t="s">
        <v>94</v>
      </c>
      <c r="DV267" t="s">
        <v>94</v>
      </c>
      <c r="DW267" t="s">
        <v>94</v>
      </c>
      <c r="DX267" s="2" t="s">
        <v>94</v>
      </c>
      <c r="DY267" t="s">
        <v>94</v>
      </c>
      <c r="DZ267" t="s">
        <v>94</v>
      </c>
      <c r="EA267" t="s">
        <v>94</v>
      </c>
      <c r="EB267" t="s">
        <v>94</v>
      </c>
      <c r="EC267" t="s">
        <v>94</v>
      </c>
      <c r="ED267" t="s">
        <v>94</v>
      </c>
      <c r="EE267" t="s">
        <v>89</v>
      </c>
      <c r="EF267" t="s">
        <v>425</v>
      </c>
      <c r="EG267" t="s">
        <v>105</v>
      </c>
      <c r="EJ267" t="s">
        <v>166</v>
      </c>
      <c r="EK267" t="b">
        <v>0</v>
      </c>
      <c r="EL267" t="b">
        <v>0</v>
      </c>
      <c r="EM267" t="b">
        <v>0</v>
      </c>
    </row>
    <row r="268" spans="3:143">
      <c r="C268" s="4">
        <v>3</v>
      </c>
      <c r="D268" s="4"/>
      <c r="E268" s="4">
        <v>1</v>
      </c>
      <c r="F268" s="4">
        <v>0.5</v>
      </c>
      <c r="G268" s="5" t="s">
        <v>3667</v>
      </c>
      <c r="H268" s="4" t="s">
        <v>3654</v>
      </c>
      <c r="I268" s="4" t="s">
        <v>164</v>
      </c>
      <c r="J268" s="5"/>
      <c r="K268" s="22" t="s">
        <v>3609</v>
      </c>
      <c r="L268" s="84" t="s">
        <v>3488</v>
      </c>
      <c r="M268" s="23" t="s">
        <v>164</v>
      </c>
      <c r="N268" s="23">
        <v>43775</v>
      </c>
      <c r="O268" s="24" t="s">
        <v>102</v>
      </c>
      <c r="P268" s="24" t="s">
        <v>179</v>
      </c>
      <c r="Q268" s="24">
        <v>1</v>
      </c>
      <c r="R268" s="24">
        <v>0.5</v>
      </c>
      <c r="S268" t="s">
        <v>11</v>
      </c>
      <c r="T268">
        <v>120</v>
      </c>
      <c r="U268" s="2" t="s">
        <v>163</v>
      </c>
      <c r="V268">
        <v>43775.876828703702</v>
      </c>
      <c r="W268" s="2" t="s">
        <v>444</v>
      </c>
      <c r="X268">
        <v>43777.678101851852</v>
      </c>
      <c r="AB268" t="s">
        <v>9</v>
      </c>
      <c r="AC268" t="s">
        <v>3610</v>
      </c>
      <c r="AD268" t="s">
        <v>182</v>
      </c>
      <c r="AE268">
        <v>284428</v>
      </c>
      <c r="AF268">
        <v>284428</v>
      </c>
      <c r="AG268" t="s">
        <v>183</v>
      </c>
      <c r="AH268" t="s">
        <v>3611</v>
      </c>
      <c r="AI268" t="s">
        <v>3611</v>
      </c>
      <c r="AJ268" t="s">
        <v>1272</v>
      </c>
      <c r="AK268" t="s">
        <v>1273</v>
      </c>
      <c r="AL268" t="s">
        <v>3612</v>
      </c>
      <c r="AO268" t="s">
        <v>3613</v>
      </c>
      <c r="AP268" t="s">
        <v>3614</v>
      </c>
      <c r="AR268" t="s">
        <v>3615</v>
      </c>
      <c r="AS268" t="s">
        <v>3616</v>
      </c>
      <c r="AT268" t="s">
        <v>3617</v>
      </c>
      <c r="AU268" t="s">
        <v>10</v>
      </c>
      <c r="AV268" t="s">
        <v>3618</v>
      </c>
      <c r="AW268" t="s">
        <v>3618</v>
      </c>
      <c r="AX268" t="s">
        <v>3619</v>
      </c>
      <c r="AY268" t="s">
        <v>3620</v>
      </c>
      <c r="AZ268" t="s">
        <v>3621</v>
      </c>
      <c r="BA268" t="s">
        <v>194</v>
      </c>
      <c r="BB268" t="s">
        <v>187</v>
      </c>
      <c r="BC268" t="s">
        <v>188</v>
      </c>
      <c r="BD268">
        <v>518126</v>
      </c>
      <c r="BE268">
        <v>8675529929015</v>
      </c>
      <c r="BF268" t="s">
        <v>3622</v>
      </c>
      <c r="BG268" t="b">
        <v>0</v>
      </c>
      <c r="BH268" s="6" t="s">
        <v>3623</v>
      </c>
      <c r="BI268" t="s">
        <v>3624</v>
      </c>
      <c r="BJ268">
        <v>4453163191</v>
      </c>
      <c r="BK268" t="s">
        <v>162</v>
      </c>
      <c r="BL268" t="s">
        <v>161</v>
      </c>
      <c r="BM268" s="2"/>
      <c r="BO268" t="s">
        <v>89</v>
      </c>
      <c r="BP268">
        <v>85414010</v>
      </c>
      <c r="BR268" t="s">
        <v>180</v>
      </c>
      <c r="BS268" t="s">
        <v>103</v>
      </c>
      <c r="BU268">
        <v>0</v>
      </c>
      <c r="BV268">
        <v>0</v>
      </c>
      <c r="BW268">
        <v>0</v>
      </c>
      <c r="BX268">
        <v>0</v>
      </c>
      <c r="BY268">
        <v>0</v>
      </c>
      <c r="BZ268">
        <v>0</v>
      </c>
      <c r="CA268">
        <v>0</v>
      </c>
      <c r="CF268" s="2"/>
      <c r="CH268" s="2"/>
      <c r="CJ268">
        <v>5.3142019950161101E+17</v>
      </c>
      <c r="CK268" t="s">
        <v>1849</v>
      </c>
      <c r="CL268">
        <v>43775.375775462962</v>
      </c>
      <c r="CO268" t="s">
        <v>11</v>
      </c>
      <c r="CP268" t="s">
        <v>3655</v>
      </c>
      <c r="CQ268" t="s">
        <v>11</v>
      </c>
      <c r="CR268">
        <v>120</v>
      </c>
      <c r="CV268" t="s">
        <v>190</v>
      </c>
      <c r="CW268" t="s">
        <v>12</v>
      </c>
      <c r="CX268" t="s">
        <v>12</v>
      </c>
      <c r="CY268" t="s">
        <v>12</v>
      </c>
      <c r="DA268" t="s">
        <v>104</v>
      </c>
      <c r="DD268" t="s">
        <v>93</v>
      </c>
      <c r="DQ268" t="s">
        <v>94</v>
      </c>
      <c r="DR268" t="s">
        <v>94</v>
      </c>
      <c r="DS268" t="s">
        <v>94</v>
      </c>
      <c r="DT268" t="s">
        <v>94</v>
      </c>
      <c r="DU268" t="s">
        <v>94</v>
      </c>
      <c r="DV268" t="s">
        <v>94</v>
      </c>
      <c r="DW268" t="s">
        <v>94</v>
      </c>
      <c r="DX268" s="2" t="s">
        <v>94</v>
      </c>
      <c r="DY268" t="s">
        <v>94</v>
      </c>
      <c r="DZ268" t="s">
        <v>94</v>
      </c>
      <c r="EA268" t="s">
        <v>94</v>
      </c>
      <c r="EB268" t="s">
        <v>94</v>
      </c>
      <c r="EC268" t="s">
        <v>94</v>
      </c>
      <c r="ED268" t="s">
        <v>94</v>
      </c>
      <c r="EE268" t="s">
        <v>89</v>
      </c>
      <c r="EF268" t="s">
        <v>425</v>
      </c>
      <c r="EG268" t="s">
        <v>105</v>
      </c>
      <c r="EJ268" t="s">
        <v>166</v>
      </c>
      <c r="EK268" t="b">
        <v>0</v>
      </c>
      <c r="EL268" t="b">
        <v>0</v>
      </c>
      <c r="EM268" t="b">
        <v>0</v>
      </c>
    </row>
    <row r="269" spans="3:143">
      <c r="C269" s="4">
        <v>3</v>
      </c>
      <c r="D269" s="5"/>
      <c r="E269" s="5">
        <v>1</v>
      </c>
      <c r="F269" s="4">
        <v>3.55</v>
      </c>
      <c r="G269" s="5" t="s">
        <v>3667</v>
      </c>
      <c r="H269" s="4" t="s">
        <v>3656</v>
      </c>
      <c r="I269" s="4" t="s">
        <v>164</v>
      </c>
      <c r="J269" s="4"/>
      <c r="K269" s="22" t="s">
        <v>3593</v>
      </c>
      <c r="L269" s="84" t="s">
        <v>3488</v>
      </c>
      <c r="M269" s="23" t="s">
        <v>164</v>
      </c>
      <c r="N269" s="23">
        <v>43775</v>
      </c>
      <c r="O269" s="24" t="s">
        <v>102</v>
      </c>
      <c r="P269" s="24" t="s">
        <v>179</v>
      </c>
      <c r="Q269" s="24">
        <v>1</v>
      </c>
      <c r="R269" s="24">
        <v>3.55</v>
      </c>
      <c r="S269" t="s">
        <v>319</v>
      </c>
      <c r="T269">
        <v>50</v>
      </c>
      <c r="U269" s="2" t="s">
        <v>163</v>
      </c>
      <c r="V269">
        <v>43775.876898148148</v>
      </c>
      <c r="W269" s="2" t="s">
        <v>444</v>
      </c>
      <c r="X269">
        <v>43777.678854166668</v>
      </c>
      <c r="AB269" t="s">
        <v>9</v>
      </c>
      <c r="AC269" t="s">
        <v>3594</v>
      </c>
      <c r="AD269" t="s">
        <v>182</v>
      </c>
      <c r="AE269">
        <v>111256</v>
      </c>
      <c r="AF269">
        <v>111256</v>
      </c>
      <c r="AG269" t="s">
        <v>183</v>
      </c>
      <c r="AH269" t="s">
        <v>3595</v>
      </c>
      <c r="AI269" t="s">
        <v>3595</v>
      </c>
      <c r="AJ269" t="s">
        <v>584</v>
      </c>
      <c r="AK269" t="s">
        <v>585</v>
      </c>
      <c r="AL269" t="s">
        <v>3596</v>
      </c>
      <c r="AO269" t="s">
        <v>3597</v>
      </c>
      <c r="AP269" t="s">
        <v>3598</v>
      </c>
      <c r="AR269" t="s">
        <v>3599</v>
      </c>
      <c r="AS269" t="s">
        <v>3600</v>
      </c>
      <c r="AT269" t="s">
        <v>3601</v>
      </c>
      <c r="AU269" t="s">
        <v>10</v>
      </c>
      <c r="AV269" t="s">
        <v>3602</v>
      </c>
      <c r="AW269" t="s">
        <v>3603</v>
      </c>
      <c r="AX269" t="s">
        <v>3604</v>
      </c>
      <c r="AY269" t="s">
        <v>3605</v>
      </c>
      <c r="AZ269" t="s">
        <v>3455</v>
      </c>
      <c r="BA269" t="s">
        <v>186</v>
      </c>
      <c r="BB269" t="s">
        <v>187</v>
      </c>
      <c r="BC269" t="s">
        <v>188</v>
      </c>
      <c r="BD269">
        <v>518108</v>
      </c>
      <c r="BE269">
        <v>-8613713796715</v>
      </c>
      <c r="BF269" t="s">
        <v>3606</v>
      </c>
      <c r="BG269" t="b">
        <v>0</v>
      </c>
      <c r="BH269" s="6" t="s">
        <v>3607</v>
      </c>
      <c r="BI269" t="s">
        <v>3608</v>
      </c>
      <c r="BJ269">
        <v>4453163191</v>
      </c>
      <c r="BK269" t="s">
        <v>162</v>
      </c>
      <c r="BL269" t="s">
        <v>161</v>
      </c>
      <c r="BM269" s="2"/>
      <c r="BO269" t="s">
        <v>89</v>
      </c>
      <c r="BP269">
        <v>85312000</v>
      </c>
      <c r="BR269" t="s">
        <v>180</v>
      </c>
      <c r="BS269" t="s">
        <v>103</v>
      </c>
      <c r="BU269">
        <v>0</v>
      </c>
      <c r="BV269">
        <v>0</v>
      </c>
      <c r="BW269">
        <v>0</v>
      </c>
      <c r="BX269">
        <v>0</v>
      </c>
      <c r="BY269">
        <v>0</v>
      </c>
      <c r="BZ269">
        <v>0</v>
      </c>
      <c r="CA269">
        <v>0</v>
      </c>
      <c r="CF269" s="2"/>
      <c r="CH269" s="2"/>
      <c r="CJ269">
        <v>5.3142019950161101E+17</v>
      </c>
      <c r="CK269" t="s">
        <v>1849</v>
      </c>
      <c r="CL269">
        <v>43775.559629629628</v>
      </c>
      <c r="CO269" t="s">
        <v>11</v>
      </c>
      <c r="CP269" t="s">
        <v>3657</v>
      </c>
      <c r="CQ269" t="s">
        <v>11</v>
      </c>
      <c r="CR269">
        <v>353.73</v>
      </c>
      <c r="CV269" t="s">
        <v>190</v>
      </c>
      <c r="CW269" t="s">
        <v>12</v>
      </c>
      <c r="CX269" t="s">
        <v>12</v>
      </c>
      <c r="CY269" t="s">
        <v>12</v>
      </c>
      <c r="DA269" t="s">
        <v>104</v>
      </c>
      <c r="DD269" t="s">
        <v>93</v>
      </c>
      <c r="DQ269" t="s">
        <v>94</v>
      </c>
      <c r="DR269" t="s">
        <v>94</v>
      </c>
      <c r="DS269" t="s">
        <v>94</v>
      </c>
      <c r="DT269" t="s">
        <v>94</v>
      </c>
      <c r="DU269" t="s">
        <v>94</v>
      </c>
      <c r="DV269" t="s">
        <v>94</v>
      </c>
      <c r="DW269" t="s">
        <v>94</v>
      </c>
      <c r="DX269" s="2" t="s">
        <v>94</v>
      </c>
      <c r="DY269" t="s">
        <v>94</v>
      </c>
      <c r="DZ269" t="s">
        <v>94</v>
      </c>
      <c r="EA269" t="s">
        <v>94</v>
      </c>
      <c r="EB269" t="s">
        <v>94</v>
      </c>
      <c r="EC269" t="s">
        <v>94</v>
      </c>
      <c r="ED269" t="s">
        <v>94</v>
      </c>
      <c r="EE269" t="s">
        <v>89</v>
      </c>
      <c r="EF269" t="s">
        <v>425</v>
      </c>
      <c r="EG269" t="s">
        <v>105</v>
      </c>
      <c r="EJ269" t="s">
        <v>166</v>
      </c>
      <c r="EK269" t="b">
        <v>0</v>
      </c>
      <c r="EL269" t="b">
        <v>0</v>
      </c>
      <c r="EM269" t="b">
        <v>0</v>
      </c>
    </row>
    <row r="270" spans="3:143" ht="15">
      <c r="C270" s="82">
        <v>2</v>
      </c>
      <c r="D270" s="5"/>
      <c r="E270" s="4">
        <v>1</v>
      </c>
      <c r="F270" s="5">
        <v>11.7</v>
      </c>
      <c r="G270" s="5" t="s">
        <v>3668</v>
      </c>
      <c r="H270" s="4" t="s">
        <v>3662</v>
      </c>
      <c r="I270" s="81" t="s">
        <v>920</v>
      </c>
      <c r="J270" s="21"/>
      <c r="K270" s="22" t="s">
        <v>3638</v>
      </c>
      <c r="L270" s="84" t="s">
        <v>2655</v>
      </c>
      <c r="M270" s="23" t="s">
        <v>905</v>
      </c>
      <c r="N270" s="23">
        <v>43762</v>
      </c>
      <c r="O270" s="24" t="s">
        <v>102</v>
      </c>
      <c r="P270" s="24" t="s">
        <v>181</v>
      </c>
      <c r="Q270" s="24">
        <v>1</v>
      </c>
      <c r="R270" s="24">
        <v>11.7</v>
      </c>
      <c r="S270" t="s">
        <v>11</v>
      </c>
      <c r="T270">
        <v>600</v>
      </c>
      <c r="U270" s="2" t="s">
        <v>163</v>
      </c>
      <c r="V270">
        <v>43762.869201388887</v>
      </c>
      <c r="W270" s="2" t="s">
        <v>444</v>
      </c>
      <c r="X270">
        <v>43776.695532407408</v>
      </c>
      <c r="AB270" t="s">
        <v>9</v>
      </c>
      <c r="AC270" t="s">
        <v>3639</v>
      </c>
      <c r="AD270" t="s">
        <v>200</v>
      </c>
      <c r="AE270">
        <v>86746</v>
      </c>
      <c r="AF270">
        <v>86746</v>
      </c>
      <c r="AG270" t="s">
        <v>183</v>
      </c>
      <c r="AH270" t="s">
        <v>3640</v>
      </c>
      <c r="AI270" t="s">
        <v>3640</v>
      </c>
      <c r="AJ270" t="s">
        <v>211</v>
      </c>
      <c r="AK270" t="s">
        <v>212</v>
      </c>
      <c r="AL270" t="s">
        <v>3641</v>
      </c>
      <c r="AM270" t="s">
        <v>3642</v>
      </c>
      <c r="AN270" t="s">
        <v>3643</v>
      </c>
      <c r="AO270" t="s">
        <v>3644</v>
      </c>
      <c r="AP270" t="s">
        <v>3645</v>
      </c>
      <c r="AQ270" t="s">
        <v>3544</v>
      </c>
      <c r="AR270">
        <v>600001</v>
      </c>
      <c r="AS270">
        <v>4425340061</v>
      </c>
      <c r="AT270" t="s">
        <v>3646</v>
      </c>
      <c r="AU270" t="s">
        <v>10</v>
      </c>
      <c r="AV270" t="s">
        <v>3647</v>
      </c>
      <c r="AW270" t="s">
        <v>3647</v>
      </c>
      <c r="AX270" t="s">
        <v>3648</v>
      </c>
      <c r="AY270" s="2" t="s">
        <v>3649</v>
      </c>
      <c r="BA270" t="s">
        <v>2123</v>
      </c>
      <c r="BB270" t="s">
        <v>1864</v>
      </c>
      <c r="BC270" t="s">
        <v>188</v>
      </c>
      <c r="BD270">
        <v>528041</v>
      </c>
      <c r="BE270">
        <v>7511944941</v>
      </c>
      <c r="BG270" t="b">
        <v>0</v>
      </c>
      <c r="BH270" s="6" t="s">
        <v>3650</v>
      </c>
      <c r="BI270" t="s">
        <v>3651</v>
      </c>
      <c r="BJ270">
        <v>4453163191</v>
      </c>
      <c r="BK270" t="s">
        <v>162</v>
      </c>
      <c r="BL270" t="s">
        <v>161</v>
      </c>
      <c r="BM270" s="2"/>
      <c r="BO270" t="s">
        <v>89</v>
      </c>
      <c r="BP270">
        <v>25291000</v>
      </c>
      <c r="BR270" t="s">
        <v>180</v>
      </c>
      <c r="BS270" t="s">
        <v>103</v>
      </c>
      <c r="BU270">
        <v>0</v>
      </c>
      <c r="BV270">
        <v>78.78</v>
      </c>
      <c r="BW270">
        <v>0</v>
      </c>
      <c r="BX270">
        <v>0</v>
      </c>
      <c r="BY270">
        <v>0</v>
      </c>
      <c r="BZ270">
        <v>0</v>
      </c>
      <c r="CA270">
        <v>78.78</v>
      </c>
      <c r="CF270" s="2"/>
      <c r="CH270" s="2"/>
      <c r="CJ270">
        <v>5.3142019950153402E+17</v>
      </c>
      <c r="CK270" t="s">
        <v>1509</v>
      </c>
      <c r="CL270">
        <v>43762.534687500003</v>
      </c>
      <c r="CO270" t="s">
        <v>11</v>
      </c>
      <c r="CP270" t="s">
        <v>3574</v>
      </c>
      <c r="CQ270" t="s">
        <v>11</v>
      </c>
      <c r="CR270">
        <v>600</v>
      </c>
      <c r="CV270" t="s">
        <v>190</v>
      </c>
      <c r="CW270" t="s">
        <v>12</v>
      </c>
      <c r="CX270" t="s">
        <v>12</v>
      </c>
      <c r="CY270" t="s">
        <v>12</v>
      </c>
      <c r="DA270" t="s">
        <v>104</v>
      </c>
      <c r="DD270" t="s">
        <v>93</v>
      </c>
      <c r="DQ270" t="s">
        <v>94</v>
      </c>
      <c r="DR270" t="s">
        <v>94</v>
      </c>
      <c r="DS270" t="s">
        <v>94</v>
      </c>
      <c r="DT270" t="s">
        <v>94</v>
      </c>
      <c r="DU270" t="s">
        <v>94</v>
      </c>
      <c r="DV270" t="s">
        <v>94</v>
      </c>
      <c r="DW270" t="s">
        <v>94</v>
      </c>
      <c r="DX270" s="2" t="s">
        <v>94</v>
      </c>
      <c r="DY270" t="s">
        <v>94</v>
      </c>
      <c r="DZ270" t="s">
        <v>94</v>
      </c>
      <c r="EA270" t="s">
        <v>94</v>
      </c>
      <c r="EB270" t="s">
        <v>94</v>
      </c>
      <c r="EC270" t="s">
        <v>94</v>
      </c>
      <c r="ED270" t="s">
        <v>94</v>
      </c>
      <c r="EE270" t="s">
        <v>89</v>
      </c>
      <c r="EF270" t="s">
        <v>425</v>
      </c>
      <c r="EG270" t="s">
        <v>105</v>
      </c>
      <c r="EJ270" t="s">
        <v>166</v>
      </c>
      <c r="EK270" t="b">
        <v>0</v>
      </c>
      <c r="EL270" t="b">
        <v>0</v>
      </c>
      <c r="EM270" t="b">
        <v>0</v>
      </c>
    </row>
    <row r="271" spans="3:143" ht="15">
      <c r="C271" s="82">
        <v>2</v>
      </c>
      <c r="D271" s="5"/>
      <c r="E271" s="4">
        <v>1</v>
      </c>
      <c r="F271" s="5">
        <v>0.9</v>
      </c>
      <c r="G271" s="5" t="s">
        <v>3701</v>
      </c>
      <c r="H271" s="4" t="s">
        <v>3702</v>
      </c>
      <c r="I271" s="81" t="s">
        <v>920</v>
      </c>
      <c r="J271" s="21"/>
      <c r="K271" s="22" t="s">
        <v>3669</v>
      </c>
      <c r="L271" s="84" t="s">
        <v>3670</v>
      </c>
      <c r="M271" s="23" t="s">
        <v>3671</v>
      </c>
      <c r="N271" s="23">
        <v>43777</v>
      </c>
      <c r="O271" s="24" t="s">
        <v>102</v>
      </c>
      <c r="P271" s="24" t="s">
        <v>179</v>
      </c>
      <c r="Q271" s="24">
        <v>1</v>
      </c>
      <c r="R271" s="24">
        <v>0.9</v>
      </c>
      <c r="S271" t="s">
        <v>11</v>
      </c>
      <c r="T271">
        <v>300</v>
      </c>
      <c r="U271" s="2" t="s">
        <v>163</v>
      </c>
      <c r="V271">
        <v>43777.870925925927</v>
      </c>
      <c r="W271" s="2" t="s">
        <v>444</v>
      </c>
      <c r="X271">
        <v>43777.919606481482</v>
      </c>
      <c r="AB271" t="s">
        <v>9</v>
      </c>
      <c r="AC271" t="s">
        <v>599</v>
      </c>
      <c r="AD271" t="s">
        <v>209</v>
      </c>
      <c r="AE271">
        <v>842978</v>
      </c>
      <c r="AF271">
        <v>842978</v>
      </c>
      <c r="AG271" t="s">
        <v>183</v>
      </c>
      <c r="AH271" t="s">
        <v>3672</v>
      </c>
      <c r="AI271" t="s">
        <v>3672</v>
      </c>
      <c r="AJ271" t="s">
        <v>601</v>
      </c>
      <c r="AK271" t="s">
        <v>602</v>
      </c>
      <c r="AL271" t="s">
        <v>3673</v>
      </c>
      <c r="AO271" t="s">
        <v>3674</v>
      </c>
      <c r="AP271" t="s">
        <v>605</v>
      </c>
      <c r="AQ271" t="s">
        <v>606</v>
      </c>
      <c r="AR271">
        <v>20832</v>
      </c>
      <c r="AS271" t="s">
        <v>3675</v>
      </c>
      <c r="AT271" t="s">
        <v>3676</v>
      </c>
      <c r="AU271" t="s">
        <v>10</v>
      </c>
      <c r="AV271" t="s">
        <v>3677</v>
      </c>
      <c r="AW271" t="s">
        <v>3677</v>
      </c>
      <c r="AX271" t="s">
        <v>3678</v>
      </c>
      <c r="AY271" s="2" t="s">
        <v>3679</v>
      </c>
      <c r="BA271" t="s">
        <v>3680</v>
      </c>
      <c r="BB271" t="s">
        <v>3681</v>
      </c>
      <c r="BC271" t="s">
        <v>188</v>
      </c>
      <c r="BD271">
        <v>515159</v>
      </c>
      <c r="BE271">
        <v>8613692026260</v>
      </c>
      <c r="BF271" t="s">
        <v>3682</v>
      </c>
      <c r="BG271" t="b">
        <v>0</v>
      </c>
      <c r="BH271" s="6" t="s">
        <v>3683</v>
      </c>
      <c r="BI271" t="s">
        <v>3684</v>
      </c>
      <c r="BJ271">
        <v>4453163191</v>
      </c>
      <c r="BK271" t="s">
        <v>162</v>
      </c>
      <c r="BL271" t="s">
        <v>161</v>
      </c>
      <c r="BM271" s="2"/>
      <c r="BO271" t="s">
        <v>89</v>
      </c>
      <c r="BP271">
        <v>6108910010</v>
      </c>
      <c r="BR271" t="s">
        <v>180</v>
      </c>
      <c r="BS271" t="s">
        <v>103</v>
      </c>
      <c r="BU271">
        <v>0</v>
      </c>
      <c r="BV271">
        <v>0</v>
      </c>
      <c r="BW271">
        <v>0</v>
      </c>
      <c r="BX271">
        <v>0</v>
      </c>
      <c r="BY271">
        <v>0</v>
      </c>
      <c r="BZ271">
        <v>0</v>
      </c>
      <c r="CA271">
        <v>0</v>
      </c>
      <c r="CF271" s="2"/>
      <c r="CH271" s="2"/>
      <c r="CJ271">
        <v>5.3142019950162701E+17</v>
      </c>
      <c r="CK271" t="s">
        <v>1849</v>
      </c>
      <c r="CL271">
        <v>43777.375069444446</v>
      </c>
      <c r="CO271" t="s">
        <v>11</v>
      </c>
      <c r="CP271">
        <v>300</v>
      </c>
      <c r="CQ271" t="s">
        <v>11</v>
      </c>
      <c r="CR271">
        <v>300</v>
      </c>
      <c r="CV271" t="s">
        <v>190</v>
      </c>
      <c r="CW271" t="s">
        <v>12</v>
      </c>
      <c r="CX271" t="s">
        <v>12</v>
      </c>
      <c r="CY271" t="s">
        <v>12</v>
      </c>
      <c r="DA271" t="s">
        <v>104</v>
      </c>
      <c r="DD271" t="s">
        <v>93</v>
      </c>
      <c r="DQ271" t="s">
        <v>94</v>
      </c>
      <c r="DR271" t="s">
        <v>94</v>
      </c>
      <c r="DS271" t="s">
        <v>94</v>
      </c>
      <c r="DT271" t="s">
        <v>94</v>
      </c>
      <c r="DU271" t="s">
        <v>94</v>
      </c>
      <c r="DV271" t="s">
        <v>94</v>
      </c>
      <c r="DW271" t="s">
        <v>94</v>
      </c>
      <c r="DX271" s="2" t="s">
        <v>94</v>
      </c>
      <c r="DY271" t="s">
        <v>94</v>
      </c>
      <c r="DZ271" t="s">
        <v>94</v>
      </c>
      <c r="EA271" t="s">
        <v>94</v>
      </c>
      <c r="EB271" t="s">
        <v>94</v>
      </c>
      <c r="EC271" t="s">
        <v>94</v>
      </c>
      <c r="ED271" t="s">
        <v>94</v>
      </c>
      <c r="EE271" t="s">
        <v>89</v>
      </c>
      <c r="EF271" t="s">
        <v>425</v>
      </c>
      <c r="EG271" t="s">
        <v>105</v>
      </c>
      <c r="EJ271" t="s">
        <v>166</v>
      </c>
      <c r="EK271" t="b">
        <v>0</v>
      </c>
      <c r="EL271" t="b">
        <v>0</v>
      </c>
      <c r="EM271" t="b">
        <v>0</v>
      </c>
    </row>
    <row r="272" spans="3:143" ht="15">
      <c r="C272" s="82">
        <v>23</v>
      </c>
      <c r="D272" s="5"/>
      <c r="E272" s="4">
        <v>1</v>
      </c>
      <c r="F272" s="5">
        <v>0.14000000000000001</v>
      </c>
      <c r="G272" s="5" t="s">
        <v>3703</v>
      </c>
      <c r="H272" s="4" t="s">
        <v>3704</v>
      </c>
      <c r="I272" s="81" t="s">
        <v>920</v>
      </c>
      <c r="J272" s="21"/>
      <c r="K272" s="22" t="s">
        <v>3685</v>
      </c>
      <c r="L272" s="84" t="s">
        <v>3266</v>
      </c>
      <c r="M272" s="23" t="s">
        <v>920</v>
      </c>
      <c r="N272" s="23">
        <v>43775</v>
      </c>
      <c r="O272" s="24" t="s">
        <v>102</v>
      </c>
      <c r="P272" s="24" t="s">
        <v>3686</v>
      </c>
      <c r="Q272" s="24">
        <v>1</v>
      </c>
      <c r="R272" s="24">
        <v>0.14000000000000001</v>
      </c>
      <c r="S272" t="s">
        <v>11</v>
      </c>
      <c r="T272">
        <v>565</v>
      </c>
      <c r="U272" s="2" t="s">
        <v>163</v>
      </c>
      <c r="V272">
        <v>43775.449988425928</v>
      </c>
      <c r="W272" s="2" t="s">
        <v>444</v>
      </c>
      <c r="X272">
        <v>43777.672303240739</v>
      </c>
      <c r="AB272" t="s">
        <v>9</v>
      </c>
      <c r="AC272" t="s">
        <v>3335</v>
      </c>
      <c r="AD272" t="s">
        <v>756</v>
      </c>
      <c r="AE272">
        <v>758719</v>
      </c>
      <c r="AF272">
        <v>758719</v>
      </c>
      <c r="AG272" t="s">
        <v>183</v>
      </c>
      <c r="AH272" t="s">
        <v>3687</v>
      </c>
      <c r="AI272" t="s">
        <v>3688</v>
      </c>
      <c r="AJ272" t="s">
        <v>795</v>
      </c>
      <c r="AK272" t="s">
        <v>796</v>
      </c>
      <c r="AL272" t="s">
        <v>3689</v>
      </c>
      <c r="AO272" t="s">
        <v>3690</v>
      </c>
      <c r="AP272" t="s">
        <v>3339</v>
      </c>
      <c r="AQ272" t="s">
        <v>3340</v>
      </c>
      <c r="AR272">
        <v>8940</v>
      </c>
      <c r="AS272">
        <v>902155151</v>
      </c>
      <c r="AT272" t="s">
        <v>3691</v>
      </c>
      <c r="AU272" t="s">
        <v>10</v>
      </c>
      <c r="AV272" t="s">
        <v>3692</v>
      </c>
      <c r="AW272" t="s">
        <v>3693</v>
      </c>
      <c r="AX272" t="s">
        <v>3694</v>
      </c>
      <c r="AY272" s="2" t="s">
        <v>3695</v>
      </c>
      <c r="AZ272" t="s">
        <v>3696</v>
      </c>
      <c r="BA272" t="s">
        <v>765</v>
      </c>
      <c r="BB272" t="s">
        <v>766</v>
      </c>
      <c r="BC272" t="s">
        <v>765</v>
      </c>
      <c r="BD272">
        <v>400030</v>
      </c>
      <c r="BE272">
        <v>-8613983790353</v>
      </c>
      <c r="BG272" t="b">
        <v>0</v>
      </c>
      <c r="BH272" s="6" t="s">
        <v>3697</v>
      </c>
      <c r="BI272" t="s">
        <v>3698</v>
      </c>
      <c r="BM272" s="2"/>
      <c r="BO272" t="s">
        <v>3699</v>
      </c>
      <c r="BP272">
        <v>8010000</v>
      </c>
      <c r="BR272" t="s">
        <v>180</v>
      </c>
      <c r="BS272" t="s">
        <v>103</v>
      </c>
      <c r="BU272">
        <v>0</v>
      </c>
      <c r="BV272">
        <v>0</v>
      </c>
      <c r="BW272">
        <v>0</v>
      </c>
      <c r="BX272">
        <v>73.45</v>
      </c>
      <c r="BY272">
        <v>0</v>
      </c>
      <c r="BZ272">
        <v>0</v>
      </c>
      <c r="CA272">
        <v>73.45</v>
      </c>
      <c r="CF272" s="2"/>
      <c r="CH272" s="2"/>
      <c r="CJ272">
        <v>5.3142019930268403E+17</v>
      </c>
      <c r="CK272" t="s">
        <v>2261</v>
      </c>
      <c r="CL272">
        <v>43771.378958333335</v>
      </c>
      <c r="CO272" t="s">
        <v>11</v>
      </c>
      <c r="CP272">
        <v>565</v>
      </c>
      <c r="CQ272" t="s">
        <v>11</v>
      </c>
      <c r="CR272">
        <v>565</v>
      </c>
      <c r="CV272" t="s">
        <v>190</v>
      </c>
      <c r="CW272" t="s">
        <v>12</v>
      </c>
      <c r="CX272" t="s">
        <v>12</v>
      </c>
      <c r="CY272" t="s">
        <v>12</v>
      </c>
      <c r="DA272" t="s">
        <v>104</v>
      </c>
      <c r="DD272" t="s">
        <v>93</v>
      </c>
      <c r="DI272" t="s">
        <v>3700</v>
      </c>
      <c r="DJ272">
        <v>5.0010619930304998E+17</v>
      </c>
      <c r="DQ272" t="s">
        <v>94</v>
      </c>
      <c r="DR272" t="s">
        <v>94</v>
      </c>
      <c r="DS272" t="s">
        <v>94</v>
      </c>
      <c r="DT272" t="s">
        <v>94</v>
      </c>
      <c r="DU272" t="s">
        <v>94</v>
      </c>
      <c r="DV272" t="s">
        <v>94</v>
      </c>
      <c r="DW272" t="s">
        <v>94</v>
      </c>
      <c r="DX272" s="2" t="s">
        <v>94</v>
      </c>
      <c r="DY272" t="s">
        <v>94</v>
      </c>
      <c r="DZ272" t="s">
        <v>94</v>
      </c>
      <c r="EA272" t="s">
        <v>94</v>
      </c>
      <c r="EB272" t="s">
        <v>94</v>
      </c>
      <c r="EC272" t="s">
        <v>94</v>
      </c>
      <c r="ED272" t="s">
        <v>94</v>
      </c>
      <c r="EE272" t="s">
        <v>89</v>
      </c>
      <c r="EF272" t="s">
        <v>94</v>
      </c>
      <c r="EG272" t="s">
        <v>105</v>
      </c>
      <c r="EJ272" t="s">
        <v>526</v>
      </c>
      <c r="EK272" t="b">
        <v>0</v>
      </c>
      <c r="EL272" t="b">
        <v>0</v>
      </c>
      <c r="EM272" t="b">
        <v>0</v>
      </c>
    </row>
    <row r="273" spans="3:143" ht="15">
      <c r="C273" s="82">
        <v>123</v>
      </c>
      <c r="D273" s="5"/>
      <c r="E273" s="4">
        <v>1</v>
      </c>
      <c r="F273" s="5">
        <v>0.19</v>
      </c>
      <c r="G273" s="5" t="s">
        <v>3730</v>
      </c>
      <c r="H273" s="4" t="s">
        <v>203</v>
      </c>
      <c r="I273" s="81" t="s">
        <v>164</v>
      </c>
      <c r="J273" s="21"/>
      <c r="K273" s="22" t="s">
        <v>3720</v>
      </c>
      <c r="L273" s="84" t="s">
        <v>3488</v>
      </c>
      <c r="M273" s="23" t="s">
        <v>164</v>
      </c>
      <c r="N273" s="23">
        <v>43775</v>
      </c>
      <c r="O273" s="24" t="s">
        <v>102</v>
      </c>
      <c r="P273" s="24" t="s">
        <v>195</v>
      </c>
      <c r="Q273" s="24">
        <v>1</v>
      </c>
      <c r="R273" s="24">
        <v>0.19</v>
      </c>
      <c r="S273" t="s">
        <v>196</v>
      </c>
      <c r="T273">
        <v>0</v>
      </c>
      <c r="U273" s="2" t="s">
        <v>163</v>
      </c>
      <c r="V273">
        <v>43775.876840277779</v>
      </c>
      <c r="W273" s="2" t="s">
        <v>444</v>
      </c>
      <c r="X273">
        <v>43777.678101851852</v>
      </c>
      <c r="AB273" t="s">
        <v>9</v>
      </c>
      <c r="AC273" t="s">
        <v>2909</v>
      </c>
      <c r="AD273" t="s">
        <v>191</v>
      </c>
      <c r="AE273" t="s">
        <v>3731</v>
      </c>
      <c r="AF273" t="s">
        <v>3731</v>
      </c>
      <c r="AG273" t="s">
        <v>183</v>
      </c>
      <c r="AH273" t="s">
        <v>3721</v>
      </c>
      <c r="AI273" t="s">
        <v>3721</v>
      </c>
      <c r="AJ273" t="s">
        <v>2786</v>
      </c>
      <c r="AK273" t="s">
        <v>2787</v>
      </c>
      <c r="AL273" t="s">
        <v>3722</v>
      </c>
      <c r="AM273" t="s">
        <v>3723</v>
      </c>
      <c r="AO273" t="s">
        <v>3724</v>
      </c>
      <c r="AP273" t="s">
        <v>2914</v>
      </c>
      <c r="AQ273" t="s">
        <v>3725</v>
      </c>
      <c r="AR273">
        <v>22013</v>
      </c>
      <c r="AS273">
        <v>325502318</v>
      </c>
      <c r="AU273" t="s">
        <v>10</v>
      </c>
      <c r="AV273" t="s">
        <v>3726</v>
      </c>
      <c r="AW273" t="s">
        <v>3726</v>
      </c>
      <c r="AX273" t="s">
        <v>3727</v>
      </c>
      <c r="AY273" s="2" t="s">
        <v>3728</v>
      </c>
      <c r="BA273" t="s">
        <v>371</v>
      </c>
      <c r="BB273" t="s">
        <v>192</v>
      </c>
      <c r="BC273" t="s">
        <v>188</v>
      </c>
      <c r="BD273">
        <v>523839</v>
      </c>
      <c r="BE273" t="s">
        <v>3732</v>
      </c>
      <c r="BF273" t="s">
        <v>3729</v>
      </c>
      <c r="BG273" t="b">
        <v>0</v>
      </c>
      <c r="BH273" s="6" t="s">
        <v>204</v>
      </c>
      <c r="BI273" t="s">
        <v>198</v>
      </c>
      <c r="BJ273">
        <v>4453163191</v>
      </c>
      <c r="BK273" t="s">
        <v>162</v>
      </c>
      <c r="BL273" t="s">
        <v>161</v>
      </c>
      <c r="BM273" s="2"/>
      <c r="BR273" t="s">
        <v>199</v>
      </c>
      <c r="BS273" t="s">
        <v>103</v>
      </c>
      <c r="BU273">
        <v>0</v>
      </c>
      <c r="BV273">
        <v>0</v>
      </c>
      <c r="BW273">
        <v>0</v>
      </c>
      <c r="BX273">
        <v>0</v>
      </c>
      <c r="BY273">
        <v>0</v>
      </c>
      <c r="BZ273">
        <v>0</v>
      </c>
      <c r="CA273">
        <v>0</v>
      </c>
      <c r="CF273" s="2"/>
      <c r="CH273" s="2"/>
      <c r="CJ273">
        <v>5.3142019910176602E+17</v>
      </c>
      <c r="CK273" t="s">
        <v>1849</v>
      </c>
      <c r="CL273">
        <v>43775.375902777778</v>
      </c>
      <c r="CO273" t="s">
        <v>11</v>
      </c>
      <c r="CP273">
        <v>0</v>
      </c>
      <c r="CQ273" t="s">
        <v>11</v>
      </c>
      <c r="CR273">
        <v>0</v>
      </c>
      <c r="CV273" t="s">
        <v>190</v>
      </c>
      <c r="CW273" t="s">
        <v>12</v>
      </c>
      <c r="CX273" t="s">
        <v>12</v>
      </c>
      <c r="CY273" t="s">
        <v>12</v>
      </c>
      <c r="DA273" t="s">
        <v>104</v>
      </c>
      <c r="DD273" t="s">
        <v>93</v>
      </c>
      <c r="DQ273" t="s">
        <v>94</v>
      </c>
      <c r="DR273" t="s">
        <v>94</v>
      </c>
      <c r="DS273" t="s">
        <v>94</v>
      </c>
      <c r="DT273" t="s">
        <v>94</v>
      </c>
      <c r="DU273" t="s">
        <v>94</v>
      </c>
      <c r="DV273" t="s">
        <v>94</v>
      </c>
      <c r="DW273" t="s">
        <v>94</v>
      </c>
      <c r="DX273" s="2" t="s">
        <v>94</v>
      </c>
      <c r="DY273" t="s">
        <v>94</v>
      </c>
      <c r="DZ273" t="s">
        <v>94</v>
      </c>
      <c r="EA273" t="s">
        <v>94</v>
      </c>
      <c r="EB273" t="s">
        <v>94</v>
      </c>
      <c r="EC273" t="s">
        <v>94</v>
      </c>
      <c r="ED273" t="s">
        <v>94</v>
      </c>
      <c r="EE273" t="s">
        <v>89</v>
      </c>
      <c r="EF273" t="s">
        <v>94</v>
      </c>
      <c r="EG273" t="s">
        <v>105</v>
      </c>
      <c r="EJ273" t="s">
        <v>166</v>
      </c>
      <c r="EK273" t="b">
        <v>0</v>
      </c>
      <c r="EL273" t="b">
        <v>0</v>
      </c>
      <c r="EM273" t="b">
        <v>0</v>
      </c>
    </row>
    <row r="274" spans="3:143" ht="15">
      <c r="C274" s="82">
        <v>123</v>
      </c>
      <c r="D274" s="5">
        <v>43.5</v>
      </c>
      <c r="E274" s="4">
        <v>3</v>
      </c>
      <c r="F274" s="5">
        <v>43.5</v>
      </c>
      <c r="G274" s="5" t="s">
        <v>3733</v>
      </c>
      <c r="H274" s="4" t="s">
        <v>3734</v>
      </c>
      <c r="I274" s="81" t="s">
        <v>920</v>
      </c>
      <c r="J274" s="21"/>
      <c r="K274" s="22" t="s">
        <v>3705</v>
      </c>
      <c r="L274" s="84" t="s">
        <v>3670</v>
      </c>
      <c r="M274" s="23" t="s">
        <v>3671</v>
      </c>
      <c r="N274" s="23">
        <v>43777</v>
      </c>
      <c r="O274" s="24" t="s">
        <v>102</v>
      </c>
      <c r="P274" s="24" t="s">
        <v>480</v>
      </c>
      <c r="Q274" s="24">
        <v>3</v>
      </c>
      <c r="R274" s="24">
        <v>25.95</v>
      </c>
      <c r="S274" t="s">
        <v>528</v>
      </c>
      <c r="T274">
        <v>2333.2199999999998</v>
      </c>
      <c r="U274" s="2"/>
      <c r="W274" s="2"/>
      <c r="AB274" t="s">
        <v>9</v>
      </c>
      <c r="AC274" t="s">
        <v>3706</v>
      </c>
      <c r="AD274" t="s">
        <v>191</v>
      </c>
      <c r="AE274" t="s">
        <v>183</v>
      </c>
      <c r="AF274" t="s">
        <v>183</v>
      </c>
      <c r="AG274" t="s">
        <v>3735</v>
      </c>
      <c r="AH274" t="s">
        <v>3707</v>
      </c>
      <c r="AI274" t="s">
        <v>3707</v>
      </c>
      <c r="AJ274" t="s">
        <v>601</v>
      </c>
      <c r="AK274" t="s">
        <v>602</v>
      </c>
      <c r="AL274" t="s">
        <v>3708</v>
      </c>
      <c r="AO274" t="s">
        <v>3709</v>
      </c>
      <c r="AP274" t="s">
        <v>3710</v>
      </c>
      <c r="AQ274" t="s">
        <v>3711</v>
      </c>
      <c r="AR274">
        <v>80010</v>
      </c>
      <c r="AS274">
        <v>818762359</v>
      </c>
      <c r="AT274" t="s">
        <v>3712</v>
      </c>
      <c r="AU274" t="s">
        <v>10</v>
      </c>
      <c r="AV274" t="s">
        <v>3713</v>
      </c>
      <c r="AW274" t="s">
        <v>3713</v>
      </c>
      <c r="AX274" t="s">
        <v>3714</v>
      </c>
      <c r="AY274" s="2" t="s">
        <v>3715</v>
      </c>
      <c r="BA274" t="s">
        <v>371</v>
      </c>
      <c r="BB274" t="s">
        <v>192</v>
      </c>
      <c r="BC274" t="s">
        <v>188</v>
      </c>
      <c r="BD274">
        <v>523425</v>
      </c>
      <c r="BE274" t="s">
        <v>3716</v>
      </c>
      <c r="BF274" t="s">
        <v>3717</v>
      </c>
      <c r="BG274" t="b">
        <v>0</v>
      </c>
      <c r="BH274" s="6" t="s">
        <v>3718</v>
      </c>
      <c r="BI274" t="s">
        <v>3719</v>
      </c>
      <c r="BJ274">
        <v>4453163191</v>
      </c>
      <c r="BK274" t="s">
        <v>162</v>
      </c>
      <c r="BL274" t="s">
        <v>161</v>
      </c>
      <c r="BM274" s="2"/>
      <c r="BN274">
        <v>9.1441900728757504E+17</v>
      </c>
      <c r="BR274" t="s">
        <v>189</v>
      </c>
      <c r="BS274" t="s">
        <v>103</v>
      </c>
      <c r="BU274">
        <v>0</v>
      </c>
      <c r="BV274">
        <v>0</v>
      </c>
      <c r="BW274">
        <v>0</v>
      </c>
      <c r="BX274">
        <v>0</v>
      </c>
      <c r="BY274">
        <v>0</v>
      </c>
      <c r="BZ274">
        <v>0</v>
      </c>
      <c r="CA274">
        <v>0</v>
      </c>
      <c r="CF274" s="2"/>
      <c r="CH274" s="2"/>
      <c r="CK274" t="s">
        <v>1849</v>
      </c>
      <c r="CL274">
        <v>43777.563715277778</v>
      </c>
      <c r="CO274" t="s">
        <v>11</v>
      </c>
      <c r="CP274">
        <v>18211.25</v>
      </c>
      <c r="CQ274" t="s">
        <v>11</v>
      </c>
      <c r="CR274">
        <v>18211.25</v>
      </c>
      <c r="CV274" t="s">
        <v>525</v>
      </c>
      <c r="CW274" t="s">
        <v>12</v>
      </c>
      <c r="CX274" t="s">
        <v>12</v>
      </c>
      <c r="CY274" t="s">
        <v>12</v>
      </c>
      <c r="DA274" t="s">
        <v>104</v>
      </c>
      <c r="DD274" t="s">
        <v>93</v>
      </c>
      <c r="DQ274" t="s">
        <v>94</v>
      </c>
      <c r="DR274" t="s">
        <v>94</v>
      </c>
      <c r="DS274" t="s">
        <v>94</v>
      </c>
      <c r="DT274" t="s">
        <v>94</v>
      </c>
      <c r="DU274" t="s">
        <v>94</v>
      </c>
      <c r="DV274" t="s">
        <v>94</v>
      </c>
      <c r="DW274" t="s">
        <v>94</v>
      </c>
      <c r="DX274" s="2" t="s">
        <v>94</v>
      </c>
      <c r="DY274" t="s">
        <v>94</v>
      </c>
      <c r="DZ274" t="s">
        <v>94</v>
      </c>
      <c r="EA274" t="s">
        <v>94</v>
      </c>
      <c r="EB274" t="s">
        <v>94</v>
      </c>
      <c r="EC274" t="s">
        <v>94</v>
      </c>
      <c r="ED274" t="s">
        <v>94</v>
      </c>
      <c r="EE274" t="s">
        <v>89</v>
      </c>
      <c r="EF274" t="s">
        <v>425</v>
      </c>
      <c r="EG274" t="s">
        <v>105</v>
      </c>
      <c r="EJ274" t="s">
        <v>166</v>
      </c>
      <c r="EK274" t="b">
        <v>0</v>
      </c>
      <c r="EL274" t="b">
        <v>0</v>
      </c>
      <c r="EM274" t="b">
        <v>0</v>
      </c>
    </row>
    <row r="275" spans="3:143" ht="15">
      <c r="C275" s="82">
        <v>123</v>
      </c>
      <c r="D275" s="5">
        <v>43.5</v>
      </c>
      <c r="E275" s="4">
        <v>3</v>
      </c>
      <c r="F275" s="5">
        <v>43.5</v>
      </c>
      <c r="G275" s="5" t="s">
        <v>3736</v>
      </c>
      <c r="H275" s="4" t="s">
        <v>3734</v>
      </c>
      <c r="I275" s="81" t="s">
        <v>920</v>
      </c>
      <c r="J275" s="21"/>
      <c r="K275" s="22" t="s">
        <v>3705</v>
      </c>
      <c r="L275" s="84" t="s">
        <v>3670</v>
      </c>
      <c r="M275" s="23" t="s">
        <v>3671</v>
      </c>
      <c r="N275" s="23">
        <v>43777</v>
      </c>
      <c r="O275" s="24" t="s">
        <v>102</v>
      </c>
      <c r="P275" s="24" t="s">
        <v>480</v>
      </c>
      <c r="Q275" s="24">
        <v>3</v>
      </c>
      <c r="R275" s="24">
        <v>25.95</v>
      </c>
      <c r="S275" t="s">
        <v>528</v>
      </c>
      <c r="T275">
        <v>2333.2199999999998</v>
      </c>
      <c r="U275" s="2"/>
      <c r="W275" s="2"/>
      <c r="AB275" t="s">
        <v>9</v>
      </c>
      <c r="AC275" t="s">
        <v>3706</v>
      </c>
      <c r="AD275" t="s">
        <v>191</v>
      </c>
      <c r="AE275" t="s">
        <v>183</v>
      </c>
      <c r="AF275" t="s">
        <v>183</v>
      </c>
      <c r="AG275" t="s">
        <v>3735</v>
      </c>
      <c r="AH275" t="s">
        <v>3707</v>
      </c>
      <c r="AI275" t="s">
        <v>3707</v>
      </c>
      <c r="AJ275" t="s">
        <v>601</v>
      </c>
      <c r="AK275" t="s">
        <v>602</v>
      </c>
      <c r="AL275" t="s">
        <v>3708</v>
      </c>
      <c r="AO275" t="s">
        <v>3709</v>
      </c>
      <c r="AP275" t="s">
        <v>3710</v>
      </c>
      <c r="AQ275" t="s">
        <v>3711</v>
      </c>
      <c r="AR275">
        <v>80010</v>
      </c>
      <c r="AS275">
        <v>818762359</v>
      </c>
      <c r="AT275" t="s">
        <v>3712</v>
      </c>
      <c r="AU275" t="s">
        <v>10</v>
      </c>
      <c r="AV275" t="s">
        <v>3713</v>
      </c>
      <c r="AW275" t="s">
        <v>3713</v>
      </c>
      <c r="AX275" t="s">
        <v>3714</v>
      </c>
      <c r="AY275" s="2" t="s">
        <v>3715</v>
      </c>
      <c r="BA275" t="s">
        <v>371</v>
      </c>
      <c r="BB275" t="s">
        <v>192</v>
      </c>
      <c r="BC275" t="s">
        <v>188</v>
      </c>
      <c r="BD275">
        <v>523425</v>
      </c>
      <c r="BE275" t="s">
        <v>3716</v>
      </c>
      <c r="BF275" t="s">
        <v>3717</v>
      </c>
      <c r="BG275" t="b">
        <v>0</v>
      </c>
      <c r="BH275" s="6" t="s">
        <v>3718</v>
      </c>
      <c r="BI275" t="s">
        <v>3719</v>
      </c>
      <c r="BJ275">
        <v>4453163191</v>
      </c>
      <c r="BK275" t="s">
        <v>162</v>
      </c>
      <c r="BL275" t="s">
        <v>161</v>
      </c>
      <c r="BM275" s="2"/>
      <c r="BN275">
        <v>9.1441900728757504E+17</v>
      </c>
      <c r="BR275" t="s">
        <v>189</v>
      </c>
      <c r="BS275" t="s">
        <v>103</v>
      </c>
      <c r="BU275">
        <v>0</v>
      </c>
      <c r="BV275">
        <v>0</v>
      </c>
      <c r="BW275">
        <v>0</v>
      </c>
      <c r="BX275">
        <v>0</v>
      </c>
      <c r="BY275">
        <v>0</v>
      </c>
      <c r="BZ275">
        <v>0</v>
      </c>
      <c r="CA275">
        <v>0</v>
      </c>
      <c r="CF275" s="2"/>
      <c r="CH275" s="2"/>
      <c r="CK275" t="s">
        <v>1849</v>
      </c>
      <c r="CL275">
        <v>43777.563715277778</v>
      </c>
      <c r="CO275" t="s">
        <v>11</v>
      </c>
      <c r="CP275">
        <v>18211.25</v>
      </c>
      <c r="CQ275" t="s">
        <v>11</v>
      </c>
      <c r="CR275">
        <v>18211.25</v>
      </c>
      <c r="CV275" t="s">
        <v>525</v>
      </c>
      <c r="CW275" t="s">
        <v>12</v>
      </c>
      <c r="CX275" t="s">
        <v>12</v>
      </c>
      <c r="CY275" t="s">
        <v>12</v>
      </c>
      <c r="DA275" t="s">
        <v>104</v>
      </c>
      <c r="DD275" t="s">
        <v>93</v>
      </c>
      <c r="DQ275" t="s">
        <v>94</v>
      </c>
      <c r="DR275" t="s">
        <v>94</v>
      </c>
      <c r="DS275" t="s">
        <v>94</v>
      </c>
      <c r="DT275" t="s">
        <v>94</v>
      </c>
      <c r="DU275" t="s">
        <v>94</v>
      </c>
      <c r="DV275" t="s">
        <v>94</v>
      </c>
      <c r="DW275" t="s">
        <v>94</v>
      </c>
      <c r="DX275" s="2" t="s">
        <v>94</v>
      </c>
      <c r="DY275" t="s">
        <v>94</v>
      </c>
      <c r="DZ275" t="s">
        <v>94</v>
      </c>
      <c r="EA275" t="s">
        <v>94</v>
      </c>
      <c r="EB275" t="s">
        <v>94</v>
      </c>
      <c r="EC275" t="s">
        <v>94</v>
      </c>
      <c r="ED275" t="s">
        <v>94</v>
      </c>
      <c r="EE275" t="s">
        <v>89</v>
      </c>
      <c r="EF275" t="s">
        <v>425</v>
      </c>
      <c r="EG275" t="s">
        <v>105</v>
      </c>
      <c r="EJ275" t="s">
        <v>166</v>
      </c>
      <c r="EK275" t="b">
        <v>0</v>
      </c>
      <c r="EL275" t="b">
        <v>0</v>
      </c>
      <c r="EM275" t="b">
        <v>0</v>
      </c>
    </row>
    <row r="276" spans="3:143" ht="15">
      <c r="C276" s="82">
        <v>121</v>
      </c>
      <c r="D276" s="5"/>
      <c r="E276" s="4">
        <v>1</v>
      </c>
      <c r="F276" s="5">
        <v>0.85</v>
      </c>
      <c r="G276" s="5" t="s">
        <v>3751</v>
      </c>
      <c r="H276" s="4" t="s">
        <v>3752</v>
      </c>
      <c r="I276" s="81" t="s">
        <v>164</v>
      </c>
      <c r="J276" s="21"/>
      <c r="K276" s="22" t="s">
        <v>3737</v>
      </c>
      <c r="L276" s="84" t="s">
        <v>3488</v>
      </c>
      <c r="M276" s="23" t="s">
        <v>164</v>
      </c>
      <c r="N276" s="23">
        <v>43775</v>
      </c>
      <c r="O276" s="24" t="s">
        <v>102</v>
      </c>
      <c r="P276" s="24" t="s">
        <v>181</v>
      </c>
      <c r="Q276" s="24">
        <v>1</v>
      </c>
      <c r="R276" s="24">
        <v>0.85</v>
      </c>
      <c r="S276" t="s">
        <v>3738</v>
      </c>
      <c r="T276">
        <v>270</v>
      </c>
      <c r="U276" s="2" t="s">
        <v>163</v>
      </c>
      <c r="V276">
        <v>43775.876921296294</v>
      </c>
      <c r="W276" s="2" t="s">
        <v>444</v>
      </c>
      <c r="X276">
        <v>43777.678101851852</v>
      </c>
      <c r="AB276" t="s">
        <v>9</v>
      </c>
      <c r="AC276" t="s">
        <v>2360</v>
      </c>
      <c r="AD276" t="s">
        <v>275</v>
      </c>
      <c r="AE276">
        <v>2077595</v>
      </c>
      <c r="AF276">
        <v>2077595</v>
      </c>
      <c r="AH276" t="s">
        <v>3739</v>
      </c>
      <c r="AI276" t="s">
        <v>3739</v>
      </c>
      <c r="AJ276" t="s">
        <v>1214</v>
      </c>
      <c r="AK276" t="s">
        <v>1215</v>
      </c>
      <c r="AL276" t="s">
        <v>3740</v>
      </c>
      <c r="AM276" t="s">
        <v>3741</v>
      </c>
      <c r="AO276" t="s">
        <v>3742</v>
      </c>
      <c r="AP276" t="s">
        <v>2364</v>
      </c>
      <c r="AQ276" t="s">
        <v>2900</v>
      </c>
      <c r="AR276">
        <v>8953</v>
      </c>
      <c r="AS276">
        <v>629193686</v>
      </c>
      <c r="AT276" t="s">
        <v>3743</v>
      </c>
      <c r="AU276" t="s">
        <v>10</v>
      </c>
      <c r="AV276" t="s">
        <v>3744</v>
      </c>
      <c r="AW276" t="s">
        <v>3744</v>
      </c>
      <c r="AX276" t="s">
        <v>3745</v>
      </c>
      <c r="AY276" s="2" t="s">
        <v>3746</v>
      </c>
      <c r="BA276" t="s">
        <v>3747</v>
      </c>
      <c r="BB276" t="s">
        <v>286</v>
      </c>
      <c r="BC276" t="s">
        <v>287</v>
      </c>
      <c r="BD276">
        <v>610105</v>
      </c>
      <c r="BE276">
        <v>13981787729</v>
      </c>
      <c r="BF276" t="s">
        <v>3748</v>
      </c>
      <c r="BG276" t="b">
        <v>0</v>
      </c>
      <c r="BH276" s="6" t="s">
        <v>3749</v>
      </c>
      <c r="BI276" t="s">
        <v>3750</v>
      </c>
      <c r="BJ276">
        <v>4453163191</v>
      </c>
      <c r="BK276" t="s">
        <v>162</v>
      </c>
      <c r="BL276" t="s">
        <v>161</v>
      </c>
      <c r="BM276" s="2"/>
      <c r="BO276" t="s">
        <v>89</v>
      </c>
      <c r="BP276">
        <v>85389000</v>
      </c>
      <c r="BR276" t="s">
        <v>180</v>
      </c>
      <c r="BS276" t="s">
        <v>103</v>
      </c>
      <c r="BU276">
        <v>133.9</v>
      </c>
      <c r="BV276">
        <v>266.08</v>
      </c>
      <c r="BW276">
        <v>0</v>
      </c>
      <c r="BX276">
        <v>0</v>
      </c>
      <c r="BY276">
        <v>0</v>
      </c>
      <c r="BZ276">
        <v>0</v>
      </c>
      <c r="CA276">
        <v>399.98</v>
      </c>
      <c r="CF276" s="2"/>
      <c r="CH276" s="2"/>
      <c r="CJ276">
        <v>5.3142019950161101E+17</v>
      </c>
      <c r="CK276" t="s">
        <v>1849</v>
      </c>
      <c r="CL276">
        <v>43775.376817129632</v>
      </c>
      <c r="CO276" t="s">
        <v>11</v>
      </c>
      <c r="CP276">
        <v>1912.84</v>
      </c>
      <c r="CQ276" t="s">
        <v>11</v>
      </c>
      <c r="CR276">
        <v>1912.84</v>
      </c>
      <c r="CV276" t="s">
        <v>190</v>
      </c>
      <c r="CW276" t="s">
        <v>12</v>
      </c>
      <c r="CX276" t="s">
        <v>12</v>
      </c>
      <c r="CY276" t="s">
        <v>12</v>
      </c>
      <c r="DA276" t="s">
        <v>104</v>
      </c>
      <c r="DD276" t="s">
        <v>93</v>
      </c>
      <c r="DQ276" t="s">
        <v>94</v>
      </c>
      <c r="DR276" t="s">
        <v>94</v>
      </c>
      <c r="DS276" t="s">
        <v>94</v>
      </c>
      <c r="DT276" t="s">
        <v>94</v>
      </c>
      <c r="DU276" t="s">
        <v>94</v>
      </c>
      <c r="DV276" t="s">
        <v>94</v>
      </c>
      <c r="DW276" t="s">
        <v>94</v>
      </c>
      <c r="DX276" s="2" t="s">
        <v>94</v>
      </c>
      <c r="DY276" t="s">
        <v>94</v>
      </c>
      <c r="DZ276" t="s">
        <v>94</v>
      </c>
      <c r="EA276" t="s">
        <v>94</v>
      </c>
      <c r="EB276" t="s">
        <v>94</v>
      </c>
      <c r="EC276" t="s">
        <v>94</v>
      </c>
      <c r="ED276" t="s">
        <v>94</v>
      </c>
      <c r="EE276" t="s">
        <v>89</v>
      </c>
      <c r="EF276" t="s">
        <v>425</v>
      </c>
      <c r="EG276" t="s">
        <v>105</v>
      </c>
      <c r="EJ276" t="s">
        <v>166</v>
      </c>
      <c r="EK276" t="b">
        <v>0</v>
      </c>
      <c r="EL276" t="b">
        <v>0</v>
      </c>
      <c r="EM276" t="b">
        <v>0</v>
      </c>
    </row>
    <row r="277" spans="3:143" ht="15">
      <c r="C277" s="82">
        <v>232</v>
      </c>
      <c r="D277" s="5"/>
      <c r="E277" s="4">
        <v>1</v>
      </c>
      <c r="F277" s="5">
        <v>1</v>
      </c>
      <c r="G277" s="5" t="s">
        <v>3833</v>
      </c>
      <c r="H277" s="4" t="s">
        <v>3834</v>
      </c>
      <c r="I277" s="81" t="s">
        <v>164</v>
      </c>
      <c r="J277" s="21"/>
      <c r="K277" s="22" t="s">
        <v>3822</v>
      </c>
      <c r="L277" s="84" t="s">
        <v>3488</v>
      </c>
      <c r="M277" s="23" t="s">
        <v>926</v>
      </c>
      <c r="N277" s="23">
        <v>43775</v>
      </c>
      <c r="O277" s="24" t="s">
        <v>102</v>
      </c>
      <c r="P277" s="24" t="s">
        <v>181</v>
      </c>
      <c r="Q277" s="24">
        <v>1</v>
      </c>
      <c r="R277" s="24">
        <v>1</v>
      </c>
      <c r="S277" t="s">
        <v>11</v>
      </c>
      <c r="T277">
        <v>400</v>
      </c>
      <c r="U277" s="2" t="s">
        <v>163</v>
      </c>
      <c r="V277">
        <v>43775.449664351851</v>
      </c>
      <c r="W277" s="2" t="s">
        <v>444</v>
      </c>
      <c r="X277">
        <v>43777.667060185187</v>
      </c>
      <c r="AB277" t="s">
        <v>9</v>
      </c>
      <c r="AC277" t="s">
        <v>2981</v>
      </c>
      <c r="AD277" t="s">
        <v>182</v>
      </c>
      <c r="AE277" t="s">
        <v>3835</v>
      </c>
      <c r="AF277" t="s">
        <v>3835</v>
      </c>
      <c r="AG277" t="s">
        <v>183</v>
      </c>
      <c r="AH277" t="s">
        <v>3823</v>
      </c>
      <c r="AI277" t="s">
        <v>3823</v>
      </c>
      <c r="AJ277" t="s">
        <v>2983</v>
      </c>
      <c r="AK277" t="s">
        <v>2984</v>
      </c>
      <c r="AL277" t="s">
        <v>3824</v>
      </c>
      <c r="AO277" t="s">
        <v>2986</v>
      </c>
      <c r="AP277" t="s">
        <v>2987</v>
      </c>
      <c r="AR277">
        <v>1103</v>
      </c>
      <c r="AS277">
        <v>-36706395608</v>
      </c>
      <c r="AT277" t="s">
        <v>3825</v>
      </c>
      <c r="AU277" t="s">
        <v>10</v>
      </c>
      <c r="AV277" t="s">
        <v>3826</v>
      </c>
      <c r="AW277" t="s">
        <v>3827</v>
      </c>
      <c r="AX277" t="s">
        <v>3828</v>
      </c>
      <c r="AY277" s="2"/>
      <c r="BA277" t="s">
        <v>2525</v>
      </c>
      <c r="BB277" t="s">
        <v>272</v>
      </c>
      <c r="BC277" t="s">
        <v>188</v>
      </c>
      <c r="BD277">
        <v>518031</v>
      </c>
      <c r="BE277" t="s">
        <v>3829</v>
      </c>
      <c r="BF277" t="s">
        <v>3830</v>
      </c>
      <c r="BG277" t="b">
        <v>0</v>
      </c>
      <c r="BH277" s="6" t="s">
        <v>3831</v>
      </c>
      <c r="BI277" t="s">
        <v>3832</v>
      </c>
      <c r="BJ277" t="s">
        <v>668</v>
      </c>
      <c r="BK277" t="s">
        <v>162</v>
      </c>
      <c r="BL277" t="s">
        <v>161</v>
      </c>
      <c r="BM277" s="2"/>
      <c r="BO277" t="s">
        <v>89</v>
      </c>
      <c r="BP277">
        <v>8543709990</v>
      </c>
      <c r="BR277" t="s">
        <v>189</v>
      </c>
      <c r="BS277" t="s">
        <v>103</v>
      </c>
      <c r="BU277">
        <v>0</v>
      </c>
      <c r="BV277">
        <v>52</v>
      </c>
      <c r="BW277">
        <v>0</v>
      </c>
      <c r="BX277">
        <v>0</v>
      </c>
      <c r="BY277">
        <v>0</v>
      </c>
      <c r="BZ277">
        <v>0</v>
      </c>
      <c r="CA277">
        <v>52</v>
      </c>
      <c r="CF277" s="2"/>
      <c r="CH277" s="2"/>
      <c r="CJ277">
        <v>5.3142019950160499E+17</v>
      </c>
      <c r="CK277" t="s">
        <v>2710</v>
      </c>
      <c r="CL277">
        <v>43764.376018518517</v>
      </c>
      <c r="CO277" t="s">
        <v>11</v>
      </c>
      <c r="CP277" t="s">
        <v>3836</v>
      </c>
      <c r="CQ277" t="s">
        <v>11</v>
      </c>
      <c r="CR277">
        <v>400</v>
      </c>
      <c r="CV277" t="s">
        <v>190</v>
      </c>
      <c r="CW277" t="s">
        <v>12</v>
      </c>
      <c r="CX277" t="s">
        <v>12</v>
      </c>
      <c r="CY277" t="s">
        <v>12</v>
      </c>
      <c r="DA277" t="s">
        <v>104</v>
      </c>
      <c r="DD277" t="s">
        <v>93</v>
      </c>
      <c r="DQ277" t="s">
        <v>94</v>
      </c>
      <c r="DR277" t="s">
        <v>94</v>
      </c>
      <c r="DS277" t="s">
        <v>94</v>
      </c>
      <c r="DT277" t="s">
        <v>94</v>
      </c>
      <c r="DU277" t="s">
        <v>94</v>
      </c>
      <c r="DV277" t="s">
        <v>94</v>
      </c>
      <c r="DW277" t="s">
        <v>94</v>
      </c>
      <c r="DX277" s="2" t="s">
        <v>94</v>
      </c>
      <c r="DY277" t="s">
        <v>94</v>
      </c>
      <c r="DZ277" t="s">
        <v>94</v>
      </c>
      <c r="EA277" t="s">
        <v>94</v>
      </c>
      <c r="EB277" t="s">
        <v>94</v>
      </c>
      <c r="EC277" t="s">
        <v>94</v>
      </c>
      <c r="ED277" t="s">
        <v>94</v>
      </c>
      <c r="EE277" t="s">
        <v>89</v>
      </c>
      <c r="EF277" t="s">
        <v>94</v>
      </c>
      <c r="EG277" t="s">
        <v>105</v>
      </c>
      <c r="EJ277" t="s">
        <v>526</v>
      </c>
      <c r="EK277" t="b">
        <v>0</v>
      </c>
      <c r="EL277" t="b">
        <v>0</v>
      </c>
      <c r="EM277" t="b">
        <v>0</v>
      </c>
    </row>
    <row r="278" spans="3:143" ht="15">
      <c r="C278" s="82">
        <v>23</v>
      </c>
      <c r="D278" s="5"/>
      <c r="E278" s="4">
        <v>1</v>
      </c>
      <c r="F278" s="5">
        <v>2.09</v>
      </c>
      <c r="G278" s="5" t="s">
        <v>3837</v>
      </c>
      <c r="H278" s="4" t="s">
        <v>3838</v>
      </c>
      <c r="I278" s="81" t="s">
        <v>920</v>
      </c>
      <c r="J278" s="21"/>
      <c r="K278" s="22" t="s">
        <v>3794</v>
      </c>
      <c r="L278" s="84" t="s">
        <v>3266</v>
      </c>
      <c r="M278" s="23" t="s">
        <v>920</v>
      </c>
      <c r="N278" s="23">
        <v>43771</v>
      </c>
      <c r="O278" s="24" t="s">
        <v>102</v>
      </c>
      <c r="P278" s="24" t="s">
        <v>179</v>
      </c>
      <c r="Q278" s="24">
        <v>1</v>
      </c>
      <c r="R278" s="24">
        <v>2.09</v>
      </c>
      <c r="S278" t="s">
        <v>319</v>
      </c>
      <c r="T278">
        <v>40</v>
      </c>
      <c r="U278" s="2" t="s">
        <v>163</v>
      </c>
      <c r="V278">
        <v>43771.862268518518</v>
      </c>
      <c r="W278" s="2" t="s">
        <v>444</v>
      </c>
      <c r="X278">
        <v>43774.471585648149</v>
      </c>
      <c r="AB278" t="s">
        <v>9</v>
      </c>
      <c r="AC278" t="s">
        <v>3795</v>
      </c>
      <c r="AD278" t="s">
        <v>191</v>
      </c>
      <c r="AE278" t="s">
        <v>183</v>
      </c>
      <c r="AF278" t="s">
        <v>183</v>
      </c>
      <c r="AG278" t="s">
        <v>3839</v>
      </c>
      <c r="AH278" t="s">
        <v>3796</v>
      </c>
      <c r="AI278" t="s">
        <v>3796</v>
      </c>
      <c r="AJ278" t="s">
        <v>795</v>
      </c>
      <c r="AK278" t="s">
        <v>796</v>
      </c>
      <c r="AL278" t="s">
        <v>3797</v>
      </c>
      <c r="AO278" t="s">
        <v>3798</v>
      </c>
      <c r="AP278" t="s">
        <v>2234</v>
      </c>
      <c r="AQ278" t="s">
        <v>3798</v>
      </c>
      <c r="AR278">
        <v>17005</v>
      </c>
      <c r="AS278">
        <v>637172838</v>
      </c>
      <c r="AT278" t="s">
        <v>3796</v>
      </c>
      <c r="AU278" t="s">
        <v>10</v>
      </c>
      <c r="AV278" t="s">
        <v>3799</v>
      </c>
      <c r="AW278" t="s">
        <v>3799</v>
      </c>
      <c r="AX278" t="s">
        <v>3800</v>
      </c>
      <c r="AY278" s="2" t="s">
        <v>166</v>
      </c>
      <c r="BA278" t="s">
        <v>371</v>
      </c>
      <c r="BB278" t="s">
        <v>192</v>
      </c>
      <c r="BC278" t="s">
        <v>188</v>
      </c>
      <c r="BD278">
        <v>523750</v>
      </c>
      <c r="BE278" t="s">
        <v>3801</v>
      </c>
      <c r="BF278" t="s">
        <v>3802</v>
      </c>
      <c r="BG278" t="b">
        <v>0</v>
      </c>
      <c r="BH278" s="6" t="s">
        <v>3803</v>
      </c>
      <c r="BI278" t="s">
        <v>3804</v>
      </c>
      <c r="BJ278" t="s">
        <v>668</v>
      </c>
      <c r="BK278" t="s">
        <v>162</v>
      </c>
      <c r="BL278" t="s">
        <v>161</v>
      </c>
      <c r="BM278" s="2"/>
      <c r="BN278" t="s">
        <v>3805</v>
      </c>
      <c r="BO278" t="s">
        <v>89</v>
      </c>
      <c r="BP278">
        <v>61033900</v>
      </c>
      <c r="BR278" t="s">
        <v>180</v>
      </c>
      <c r="BS278" t="s">
        <v>103</v>
      </c>
      <c r="BU278">
        <v>0</v>
      </c>
      <c r="BV278">
        <v>0</v>
      </c>
      <c r="BW278">
        <v>0</v>
      </c>
      <c r="BX278">
        <v>0</v>
      </c>
      <c r="BY278">
        <v>0</v>
      </c>
      <c r="BZ278">
        <v>0</v>
      </c>
      <c r="CA278">
        <v>0</v>
      </c>
      <c r="CF278" s="2"/>
      <c r="CH278" s="2"/>
      <c r="CJ278">
        <v>5.3142019950159098E+17</v>
      </c>
      <c r="CK278" t="s">
        <v>2261</v>
      </c>
      <c r="CL278">
        <v>43771.378541666665</v>
      </c>
      <c r="CO278" t="s">
        <v>11</v>
      </c>
      <c r="CP278" t="s">
        <v>3840</v>
      </c>
      <c r="CQ278" t="s">
        <v>11</v>
      </c>
      <c r="CR278">
        <v>282.98</v>
      </c>
      <c r="CV278" t="s">
        <v>525</v>
      </c>
      <c r="CW278" t="s">
        <v>12</v>
      </c>
      <c r="CX278" t="s">
        <v>12</v>
      </c>
      <c r="CY278" t="s">
        <v>12</v>
      </c>
      <c r="DA278" t="s">
        <v>104</v>
      </c>
      <c r="DD278" t="s">
        <v>93</v>
      </c>
      <c r="DQ278" t="s">
        <v>94</v>
      </c>
      <c r="DR278" t="s">
        <v>94</v>
      </c>
      <c r="DS278" t="s">
        <v>94</v>
      </c>
      <c r="DT278" t="s">
        <v>94</v>
      </c>
      <c r="DU278" t="s">
        <v>94</v>
      </c>
      <c r="DV278" t="s">
        <v>94</v>
      </c>
      <c r="DW278" t="s">
        <v>94</v>
      </c>
      <c r="DX278" s="2" t="s">
        <v>94</v>
      </c>
      <c r="DY278" t="s">
        <v>94</v>
      </c>
      <c r="DZ278" t="s">
        <v>94</v>
      </c>
      <c r="EA278" t="s">
        <v>94</v>
      </c>
      <c r="EB278" t="s">
        <v>94</v>
      </c>
      <c r="EC278" t="s">
        <v>94</v>
      </c>
      <c r="ED278" t="s">
        <v>94</v>
      </c>
      <c r="EE278" t="s">
        <v>89</v>
      </c>
      <c r="EF278" t="s">
        <v>425</v>
      </c>
      <c r="EG278" t="s">
        <v>105</v>
      </c>
      <c r="EJ278" t="s">
        <v>166</v>
      </c>
      <c r="EK278" t="b">
        <v>0</v>
      </c>
      <c r="EL278" t="b">
        <v>0</v>
      </c>
      <c r="EM278" t="b">
        <v>0</v>
      </c>
    </row>
    <row r="279" spans="3:143" ht="15">
      <c r="C279" s="82">
        <v>13</v>
      </c>
      <c r="D279" s="5"/>
      <c r="E279" s="4">
        <v>1</v>
      </c>
      <c r="F279" s="5">
        <v>3.05</v>
      </c>
      <c r="G279" s="5" t="s">
        <v>3841</v>
      </c>
      <c r="H279" s="4" t="s">
        <v>1405</v>
      </c>
      <c r="I279" s="81" t="s">
        <v>817</v>
      </c>
      <c r="J279" s="21"/>
      <c r="K279" s="22" t="s">
        <v>3809</v>
      </c>
      <c r="L279" s="84" t="s">
        <v>3806</v>
      </c>
      <c r="M279" s="23" t="s">
        <v>817</v>
      </c>
      <c r="N279" s="23">
        <v>43779</v>
      </c>
      <c r="O279" s="24" t="s">
        <v>102</v>
      </c>
      <c r="P279" s="24" t="s">
        <v>179</v>
      </c>
      <c r="Q279" s="24">
        <v>1</v>
      </c>
      <c r="R279" s="24">
        <v>3.05</v>
      </c>
      <c r="S279" t="s">
        <v>528</v>
      </c>
      <c r="T279">
        <v>22</v>
      </c>
      <c r="U279" s="2" t="s">
        <v>163</v>
      </c>
      <c r="V279">
        <v>43779.844537037039</v>
      </c>
      <c r="W279" s="2" t="s">
        <v>444</v>
      </c>
      <c r="X279">
        <v>43781.60050925926</v>
      </c>
      <c r="AB279" t="s">
        <v>9</v>
      </c>
      <c r="AC279" t="s">
        <v>3810</v>
      </c>
      <c r="AD279" t="s">
        <v>182</v>
      </c>
      <c r="AE279" t="s">
        <v>3842</v>
      </c>
      <c r="AF279" t="s">
        <v>3842</v>
      </c>
      <c r="AG279" t="s">
        <v>183</v>
      </c>
      <c r="AH279" t="s">
        <v>3811</v>
      </c>
      <c r="AI279" t="s">
        <v>3811</v>
      </c>
      <c r="AJ279" t="s">
        <v>821</v>
      </c>
      <c r="AK279" t="s">
        <v>822</v>
      </c>
      <c r="AL279" t="s">
        <v>3812</v>
      </c>
      <c r="AO279" t="s">
        <v>3813</v>
      </c>
      <c r="AP279" t="s">
        <v>3814</v>
      </c>
      <c r="AR279">
        <v>2870</v>
      </c>
      <c r="AS279">
        <v>-3238444533</v>
      </c>
      <c r="AT279" t="s">
        <v>3815</v>
      </c>
      <c r="AU279" t="s">
        <v>10</v>
      </c>
      <c r="AV279" t="s">
        <v>1718</v>
      </c>
      <c r="AW279" t="s">
        <v>1718</v>
      </c>
      <c r="AX279" t="s">
        <v>3816</v>
      </c>
      <c r="AY279" s="2" t="s">
        <v>3817</v>
      </c>
      <c r="AZ279" t="s">
        <v>3818</v>
      </c>
      <c r="BA279" t="s">
        <v>2046</v>
      </c>
      <c r="BB279" t="s">
        <v>187</v>
      </c>
      <c r="BC279" t="s">
        <v>188</v>
      </c>
      <c r="BD279">
        <v>518103</v>
      </c>
      <c r="BE279" t="s">
        <v>3843</v>
      </c>
      <c r="BF279" t="s">
        <v>3819</v>
      </c>
      <c r="BG279" t="b">
        <v>0</v>
      </c>
      <c r="BH279" s="6" t="s">
        <v>3820</v>
      </c>
      <c r="BI279" t="s">
        <v>3821</v>
      </c>
      <c r="BJ279" t="s">
        <v>668</v>
      </c>
      <c r="BK279" t="s">
        <v>162</v>
      </c>
      <c r="BL279" t="s">
        <v>161</v>
      </c>
      <c r="BM279" s="2"/>
      <c r="BO279" t="s">
        <v>89</v>
      </c>
      <c r="BP279">
        <v>94054090</v>
      </c>
      <c r="BR279" t="s">
        <v>180</v>
      </c>
      <c r="BS279" t="s">
        <v>103</v>
      </c>
      <c r="BU279">
        <v>0</v>
      </c>
      <c r="BV279">
        <v>0</v>
      </c>
      <c r="BW279">
        <v>0</v>
      </c>
      <c r="BX279">
        <v>0</v>
      </c>
      <c r="BY279">
        <v>0</v>
      </c>
      <c r="BZ279">
        <v>0</v>
      </c>
      <c r="CA279">
        <v>0</v>
      </c>
      <c r="CF279" s="2"/>
      <c r="CH279" s="2"/>
      <c r="CJ279">
        <v>5.3142019950163501E+17</v>
      </c>
      <c r="CK279" t="s">
        <v>1509</v>
      </c>
      <c r="CL279">
        <v>43779.375520833331</v>
      </c>
      <c r="CO279" t="s">
        <v>11</v>
      </c>
      <c r="CP279" t="s">
        <v>3844</v>
      </c>
      <c r="CQ279" t="s">
        <v>11</v>
      </c>
      <c r="CR279">
        <v>171.71</v>
      </c>
      <c r="CV279" t="s">
        <v>190</v>
      </c>
      <c r="CW279" t="s">
        <v>12</v>
      </c>
      <c r="CX279" t="s">
        <v>12</v>
      </c>
      <c r="CY279" t="s">
        <v>12</v>
      </c>
      <c r="DA279" t="s">
        <v>104</v>
      </c>
      <c r="DD279" t="s">
        <v>93</v>
      </c>
      <c r="DQ279" t="s">
        <v>94</v>
      </c>
      <c r="DR279" t="s">
        <v>94</v>
      </c>
      <c r="DS279" t="s">
        <v>94</v>
      </c>
      <c r="DT279" t="s">
        <v>94</v>
      </c>
      <c r="DU279" t="s">
        <v>94</v>
      </c>
      <c r="DV279" t="s">
        <v>94</v>
      </c>
      <c r="DW279" t="s">
        <v>94</v>
      </c>
      <c r="DX279" s="2" t="s">
        <v>94</v>
      </c>
      <c r="DY279" t="s">
        <v>94</v>
      </c>
      <c r="DZ279" t="s">
        <v>94</v>
      </c>
      <c r="EA279" t="s">
        <v>94</v>
      </c>
      <c r="EB279" t="s">
        <v>94</v>
      </c>
      <c r="EC279" t="s">
        <v>94</v>
      </c>
      <c r="ED279" t="s">
        <v>94</v>
      </c>
      <c r="EE279" t="s">
        <v>89</v>
      </c>
      <c r="EF279" t="s">
        <v>425</v>
      </c>
      <c r="EG279" t="s">
        <v>105</v>
      </c>
      <c r="EJ279" t="s">
        <v>166</v>
      </c>
      <c r="EK279" t="b">
        <v>0</v>
      </c>
      <c r="EL279" t="b">
        <v>0</v>
      </c>
      <c r="EM279" t="b">
        <v>0</v>
      </c>
    </row>
    <row r="280" spans="3:143">
      <c r="C280" s="4">
        <v>123</v>
      </c>
      <c r="D280" s="4"/>
      <c r="E280" s="4">
        <v>1</v>
      </c>
      <c r="F280" s="4">
        <v>2.09</v>
      </c>
      <c r="G280" s="5" t="s">
        <v>3841</v>
      </c>
      <c r="H280" s="4" t="s">
        <v>3845</v>
      </c>
      <c r="I280" s="4" t="s">
        <v>817</v>
      </c>
      <c r="J280" s="5"/>
      <c r="K280" s="22" t="s">
        <v>3794</v>
      </c>
      <c r="L280" s="84" t="s">
        <v>3806</v>
      </c>
      <c r="M280" s="23" t="s">
        <v>817</v>
      </c>
      <c r="N280" s="23">
        <v>43779</v>
      </c>
      <c r="O280" s="24" t="s">
        <v>102</v>
      </c>
      <c r="P280" s="24" t="s">
        <v>181</v>
      </c>
      <c r="Q280" s="24">
        <v>1</v>
      </c>
      <c r="R280" s="24">
        <v>2.09</v>
      </c>
      <c r="S280" t="s">
        <v>319</v>
      </c>
      <c r="T280">
        <v>156.22</v>
      </c>
      <c r="U280" s="2" t="s">
        <v>163</v>
      </c>
      <c r="V280">
        <v>43779.844143518516</v>
      </c>
      <c r="W280" s="2" t="s">
        <v>444</v>
      </c>
      <c r="X280">
        <v>43781.600995370369</v>
      </c>
      <c r="AB280" t="s">
        <v>9</v>
      </c>
      <c r="AC280" t="s">
        <v>3795</v>
      </c>
      <c r="AD280" t="s">
        <v>191</v>
      </c>
      <c r="AE280" t="s">
        <v>183</v>
      </c>
      <c r="AF280" t="s">
        <v>183</v>
      </c>
      <c r="AG280" t="s">
        <v>3839</v>
      </c>
      <c r="AH280" t="s">
        <v>3796</v>
      </c>
      <c r="AI280" t="s">
        <v>3796</v>
      </c>
      <c r="AJ280" t="s">
        <v>795</v>
      </c>
      <c r="AK280" t="s">
        <v>796</v>
      </c>
      <c r="AL280" t="s">
        <v>3797</v>
      </c>
      <c r="AO280" t="s">
        <v>3798</v>
      </c>
      <c r="AP280" t="s">
        <v>2234</v>
      </c>
      <c r="AQ280" t="s">
        <v>3798</v>
      </c>
      <c r="AR280">
        <v>17005</v>
      </c>
      <c r="AS280">
        <v>637172838</v>
      </c>
      <c r="AT280" t="s">
        <v>3796</v>
      </c>
      <c r="AU280" t="s">
        <v>10</v>
      </c>
      <c r="AV280" t="s">
        <v>3807</v>
      </c>
      <c r="AW280" t="s">
        <v>3799</v>
      </c>
      <c r="AX280" t="s">
        <v>3800</v>
      </c>
      <c r="AY280" t="s">
        <v>166</v>
      </c>
      <c r="BA280" t="s">
        <v>371</v>
      </c>
      <c r="BB280" t="s">
        <v>192</v>
      </c>
      <c r="BC280" t="s">
        <v>188</v>
      </c>
      <c r="BD280">
        <v>523750</v>
      </c>
      <c r="BE280" t="s">
        <v>3801</v>
      </c>
      <c r="BF280" t="s">
        <v>3802</v>
      </c>
      <c r="BG280" t="b">
        <v>0</v>
      </c>
      <c r="BH280" s="6" t="s">
        <v>3803</v>
      </c>
      <c r="BI280" t="s">
        <v>3808</v>
      </c>
      <c r="BJ280" t="s">
        <v>668</v>
      </c>
      <c r="BK280" t="s">
        <v>162</v>
      </c>
      <c r="BL280" t="s">
        <v>161</v>
      </c>
      <c r="BM280" s="2"/>
      <c r="BN280" t="s">
        <v>3805</v>
      </c>
      <c r="BO280" t="s">
        <v>89</v>
      </c>
      <c r="BP280">
        <v>61033200</v>
      </c>
      <c r="BR280" t="s">
        <v>180</v>
      </c>
      <c r="BS280" t="s">
        <v>103</v>
      </c>
      <c r="BU280">
        <v>82.06</v>
      </c>
      <c r="BV280">
        <v>154.33000000000001</v>
      </c>
      <c r="BW280">
        <v>0</v>
      </c>
      <c r="BX280">
        <v>0</v>
      </c>
      <c r="BY280">
        <v>0</v>
      </c>
      <c r="BZ280">
        <v>0</v>
      </c>
      <c r="CA280">
        <v>236.39</v>
      </c>
      <c r="CF280" s="2"/>
      <c r="CH280" s="2"/>
      <c r="CJ280">
        <v>5.3142019950163501E+17</v>
      </c>
      <c r="CK280" t="s">
        <v>500</v>
      </c>
      <c r="CL280">
        <v>43779.429016203707</v>
      </c>
      <c r="CO280" t="s">
        <v>11</v>
      </c>
      <c r="CP280" t="s">
        <v>3846</v>
      </c>
      <c r="CQ280" t="s">
        <v>11</v>
      </c>
      <c r="CR280">
        <v>1105.19</v>
      </c>
      <c r="CV280" t="s">
        <v>525</v>
      </c>
      <c r="CW280" t="s">
        <v>12</v>
      </c>
      <c r="CX280" t="s">
        <v>12</v>
      </c>
      <c r="CY280" t="s">
        <v>12</v>
      </c>
      <c r="DA280" t="s">
        <v>104</v>
      </c>
      <c r="DD280" t="s">
        <v>93</v>
      </c>
      <c r="DQ280" t="s">
        <v>94</v>
      </c>
      <c r="DR280" t="s">
        <v>94</v>
      </c>
      <c r="DS280" t="s">
        <v>94</v>
      </c>
      <c r="DT280" t="s">
        <v>94</v>
      </c>
      <c r="DU280" t="s">
        <v>94</v>
      </c>
      <c r="DV280" t="s">
        <v>94</v>
      </c>
      <c r="DW280" t="s">
        <v>94</v>
      </c>
      <c r="DX280" s="2" t="s">
        <v>94</v>
      </c>
      <c r="DY280" t="s">
        <v>94</v>
      </c>
      <c r="DZ280" t="s">
        <v>94</v>
      </c>
      <c r="EA280" t="s">
        <v>94</v>
      </c>
      <c r="EB280" t="s">
        <v>94</v>
      </c>
      <c r="EC280" t="s">
        <v>94</v>
      </c>
      <c r="ED280" t="s">
        <v>94</v>
      </c>
      <c r="EE280" t="s">
        <v>89</v>
      </c>
      <c r="EF280" t="s">
        <v>94</v>
      </c>
      <c r="EG280" t="s">
        <v>543</v>
      </c>
      <c r="EJ280" t="s">
        <v>166</v>
      </c>
      <c r="EK280" t="b">
        <v>0</v>
      </c>
      <c r="EL280" t="b">
        <v>0</v>
      </c>
      <c r="EM280" t="b">
        <v>0</v>
      </c>
    </row>
    <row r="281" spans="3:143" ht="15">
      <c r="C281" s="82">
        <v>3</v>
      </c>
      <c r="D281" s="5"/>
      <c r="E281" s="4">
        <v>1</v>
      </c>
      <c r="F281" s="5">
        <v>2.1</v>
      </c>
      <c r="G281" s="5" t="s">
        <v>3931</v>
      </c>
      <c r="H281" s="4" t="s">
        <v>2849</v>
      </c>
      <c r="I281" s="81" t="s">
        <v>817</v>
      </c>
      <c r="J281" s="21"/>
      <c r="K281" s="22" t="s">
        <v>3899</v>
      </c>
      <c r="L281" s="84" t="s">
        <v>3806</v>
      </c>
      <c r="M281" s="23" t="s">
        <v>817</v>
      </c>
      <c r="N281" s="23">
        <v>43779</v>
      </c>
      <c r="O281" s="24" t="s">
        <v>102</v>
      </c>
      <c r="P281" s="24" t="s">
        <v>179</v>
      </c>
      <c r="Q281" s="24">
        <v>1</v>
      </c>
      <c r="R281" s="24">
        <v>2.1</v>
      </c>
      <c r="S281" t="s">
        <v>372</v>
      </c>
      <c r="T281">
        <v>22</v>
      </c>
      <c r="U281" s="2" t="s">
        <v>163</v>
      </c>
      <c r="V281">
        <v>43779.844212962962</v>
      </c>
      <c r="W281" s="2" t="s">
        <v>444</v>
      </c>
      <c r="X281">
        <v>43781.60050925926</v>
      </c>
      <c r="AB281" t="s">
        <v>9</v>
      </c>
      <c r="AC281" t="s">
        <v>3900</v>
      </c>
      <c r="AD281" t="s">
        <v>191</v>
      </c>
      <c r="AE281">
        <v>2447344</v>
      </c>
      <c r="AF281">
        <v>2447344</v>
      </c>
      <c r="AG281" t="s">
        <v>183</v>
      </c>
      <c r="AH281" t="s">
        <v>3901</v>
      </c>
      <c r="AI281" t="s">
        <v>3901</v>
      </c>
      <c r="AJ281" t="s">
        <v>184</v>
      </c>
      <c r="AK281" t="s">
        <v>185</v>
      </c>
      <c r="AL281" t="s">
        <v>3902</v>
      </c>
      <c r="AM281" t="s">
        <v>3903</v>
      </c>
      <c r="AO281" t="s">
        <v>3904</v>
      </c>
      <c r="AP281" t="s">
        <v>3905</v>
      </c>
      <c r="AQ281" t="s">
        <v>3906</v>
      </c>
      <c r="AR281" t="s">
        <v>3907</v>
      </c>
      <c r="AS281">
        <v>1225667979</v>
      </c>
      <c r="AT281" t="s">
        <v>3908</v>
      </c>
      <c r="AU281" t="s">
        <v>10</v>
      </c>
      <c r="AV281" t="s">
        <v>3909</v>
      </c>
      <c r="AW281" t="s">
        <v>3909</v>
      </c>
      <c r="AX281" t="s">
        <v>3910</v>
      </c>
      <c r="AY281" s="2" t="s">
        <v>3911</v>
      </c>
      <c r="AZ281" t="s">
        <v>3912</v>
      </c>
      <c r="BA281" t="s">
        <v>371</v>
      </c>
      <c r="BB281" t="s">
        <v>192</v>
      </c>
      <c r="BC281" t="s">
        <v>188</v>
      </c>
      <c r="BD281">
        <v>523740</v>
      </c>
      <c r="BE281">
        <v>-18680501158</v>
      </c>
      <c r="BF281" t="s">
        <v>3913</v>
      </c>
      <c r="BG281" t="b">
        <v>0</v>
      </c>
      <c r="BH281" s="6" t="s">
        <v>3914</v>
      </c>
      <c r="BI281" t="s">
        <v>3915</v>
      </c>
      <c r="BJ281">
        <v>4453163191</v>
      </c>
      <c r="BK281" t="s">
        <v>162</v>
      </c>
      <c r="BL281" t="s">
        <v>161</v>
      </c>
      <c r="BM281" s="2"/>
      <c r="BO281" t="s">
        <v>89</v>
      </c>
      <c r="BP281">
        <v>4202910090</v>
      </c>
      <c r="BR281" t="s">
        <v>189</v>
      </c>
      <c r="BS281" t="s">
        <v>103</v>
      </c>
      <c r="BU281">
        <v>0</v>
      </c>
      <c r="BV281">
        <v>0</v>
      </c>
      <c r="BW281">
        <v>0</v>
      </c>
      <c r="BX281">
        <v>0</v>
      </c>
      <c r="BY281">
        <v>0</v>
      </c>
      <c r="BZ281">
        <v>0</v>
      </c>
      <c r="CA281">
        <v>0</v>
      </c>
      <c r="CF281" s="2"/>
      <c r="CH281" s="2"/>
      <c r="CJ281">
        <v>5.3142019950163501E+17</v>
      </c>
      <c r="CK281" t="s">
        <v>1509</v>
      </c>
      <c r="CL281">
        <v>43779.376099537039</v>
      </c>
      <c r="CO281" t="s">
        <v>11</v>
      </c>
      <c r="CP281" t="s">
        <v>3932</v>
      </c>
      <c r="CQ281" t="s">
        <v>11</v>
      </c>
      <c r="CR281">
        <v>198.55</v>
      </c>
      <c r="CV281" t="s">
        <v>190</v>
      </c>
      <c r="CW281" t="s">
        <v>12</v>
      </c>
      <c r="CX281" t="s">
        <v>12</v>
      </c>
      <c r="CY281" t="s">
        <v>12</v>
      </c>
      <c r="DA281" t="s">
        <v>104</v>
      </c>
      <c r="DD281" t="s">
        <v>93</v>
      </c>
      <c r="DQ281" t="s">
        <v>94</v>
      </c>
      <c r="DR281" t="s">
        <v>94</v>
      </c>
      <c r="DS281" t="s">
        <v>94</v>
      </c>
      <c r="DT281" t="s">
        <v>94</v>
      </c>
      <c r="DU281" t="s">
        <v>94</v>
      </c>
      <c r="DV281" t="s">
        <v>94</v>
      </c>
      <c r="DW281" t="s">
        <v>94</v>
      </c>
      <c r="DX281" s="2" t="s">
        <v>94</v>
      </c>
      <c r="DY281" t="s">
        <v>94</v>
      </c>
      <c r="DZ281" t="s">
        <v>94</v>
      </c>
      <c r="EA281" t="s">
        <v>94</v>
      </c>
      <c r="EB281" t="s">
        <v>94</v>
      </c>
      <c r="EC281" t="s">
        <v>94</v>
      </c>
      <c r="ED281" t="s">
        <v>94</v>
      </c>
      <c r="EE281" t="s">
        <v>89</v>
      </c>
      <c r="EF281" t="s">
        <v>425</v>
      </c>
      <c r="EG281" t="s">
        <v>105</v>
      </c>
      <c r="EJ281" t="s">
        <v>166</v>
      </c>
      <c r="EK281" t="b">
        <v>0</v>
      </c>
      <c r="EL281" t="b">
        <v>0</v>
      </c>
      <c r="EM281" t="b">
        <v>0</v>
      </c>
    </row>
    <row r="282" spans="3:143">
      <c r="C282" s="4">
        <v>3</v>
      </c>
      <c r="D282" s="4"/>
      <c r="E282" s="4">
        <v>1</v>
      </c>
      <c r="F282" s="4">
        <v>0.64</v>
      </c>
      <c r="G282" s="5" t="s">
        <v>3931</v>
      </c>
      <c r="H282" s="4" t="s">
        <v>2385</v>
      </c>
      <c r="I282" s="4" t="s">
        <v>817</v>
      </c>
      <c r="J282" s="5"/>
      <c r="K282" s="22" t="s">
        <v>3889</v>
      </c>
      <c r="L282" s="84" t="s">
        <v>3806</v>
      </c>
      <c r="M282" s="23" t="s">
        <v>817</v>
      </c>
      <c r="N282" s="23">
        <v>43779</v>
      </c>
      <c r="O282" s="24" t="s">
        <v>102</v>
      </c>
      <c r="P282" s="24" t="s">
        <v>179</v>
      </c>
      <c r="Q282" s="24">
        <v>1</v>
      </c>
      <c r="R282" s="24">
        <v>0.64</v>
      </c>
      <c r="S282" t="s">
        <v>319</v>
      </c>
      <c r="T282">
        <v>23</v>
      </c>
      <c r="U282" s="2" t="s">
        <v>163</v>
      </c>
      <c r="V282">
        <v>43779.844155092593</v>
      </c>
      <c r="W282" s="2" t="s">
        <v>444</v>
      </c>
      <c r="X282">
        <v>43781.60050925926</v>
      </c>
      <c r="AB282" t="s">
        <v>9</v>
      </c>
      <c r="AC282" t="s">
        <v>2131</v>
      </c>
      <c r="AD282" t="s">
        <v>191</v>
      </c>
      <c r="AE282">
        <v>2001603</v>
      </c>
      <c r="AF282">
        <v>2001603</v>
      </c>
      <c r="AG282" t="s">
        <v>183</v>
      </c>
      <c r="AH282" t="s">
        <v>3890</v>
      </c>
      <c r="AI282" t="s">
        <v>3890</v>
      </c>
      <c r="AJ282" t="s">
        <v>1257</v>
      </c>
      <c r="AK282" t="s">
        <v>1258</v>
      </c>
      <c r="AL282" t="s">
        <v>3891</v>
      </c>
      <c r="AO282" t="s">
        <v>3892</v>
      </c>
      <c r="AP282" t="s">
        <v>2135</v>
      </c>
      <c r="AR282" t="s">
        <v>3933</v>
      </c>
      <c r="AS282">
        <v>33939050</v>
      </c>
      <c r="AT282" t="s">
        <v>3893</v>
      </c>
      <c r="AU282" t="s">
        <v>10</v>
      </c>
      <c r="AV282" t="s">
        <v>3894</v>
      </c>
      <c r="AW282" t="s">
        <v>3894</v>
      </c>
      <c r="AX282" t="s">
        <v>3895</v>
      </c>
      <c r="AY282" t="s">
        <v>3896</v>
      </c>
      <c r="BA282" t="s">
        <v>726</v>
      </c>
      <c r="BB282" t="s">
        <v>192</v>
      </c>
      <c r="BC282" t="s">
        <v>188</v>
      </c>
      <c r="BD282">
        <v>523622</v>
      </c>
      <c r="BE282">
        <v>-23554173</v>
      </c>
      <c r="BF282" t="s">
        <v>3897</v>
      </c>
      <c r="BG282" t="b">
        <v>0</v>
      </c>
      <c r="BH282" s="6" t="s">
        <v>3898</v>
      </c>
      <c r="BI282" t="s">
        <v>2358</v>
      </c>
      <c r="BJ282">
        <v>4453163191</v>
      </c>
      <c r="BK282" t="s">
        <v>162</v>
      </c>
      <c r="BL282" t="s">
        <v>161</v>
      </c>
      <c r="BM282" s="2"/>
      <c r="BO282" t="s">
        <v>89</v>
      </c>
      <c r="BP282">
        <v>65050099</v>
      </c>
      <c r="BR282" t="s">
        <v>189</v>
      </c>
      <c r="BS282" t="s">
        <v>103</v>
      </c>
      <c r="BU282">
        <v>0</v>
      </c>
      <c r="BV282">
        <v>0</v>
      </c>
      <c r="BW282">
        <v>0</v>
      </c>
      <c r="BX282">
        <v>0</v>
      </c>
      <c r="BY282">
        <v>0</v>
      </c>
      <c r="BZ282">
        <v>0</v>
      </c>
      <c r="CA282">
        <v>0</v>
      </c>
      <c r="CF282" s="2"/>
      <c r="CH282" s="2"/>
      <c r="CJ282">
        <v>5.3142019950163501E+17</v>
      </c>
      <c r="CK282" t="s">
        <v>1509</v>
      </c>
      <c r="CL282">
        <v>43779.376122685186</v>
      </c>
      <c r="CO282" t="s">
        <v>11</v>
      </c>
      <c r="CP282" t="s">
        <v>3934</v>
      </c>
      <c r="CQ282" t="s">
        <v>11</v>
      </c>
      <c r="CR282">
        <v>162.72</v>
      </c>
      <c r="CV282" t="s">
        <v>190</v>
      </c>
      <c r="CW282" t="s">
        <v>12</v>
      </c>
      <c r="CX282" t="s">
        <v>12</v>
      </c>
      <c r="CY282" t="s">
        <v>12</v>
      </c>
      <c r="DA282" t="s">
        <v>104</v>
      </c>
      <c r="DD282" t="s">
        <v>93</v>
      </c>
      <c r="DQ282" t="s">
        <v>94</v>
      </c>
      <c r="DR282" t="s">
        <v>94</v>
      </c>
      <c r="DS282" t="s">
        <v>94</v>
      </c>
      <c r="DT282" t="s">
        <v>94</v>
      </c>
      <c r="DU282" t="s">
        <v>94</v>
      </c>
      <c r="DV282" t="s">
        <v>94</v>
      </c>
      <c r="DW282" t="s">
        <v>94</v>
      </c>
      <c r="DX282" s="2" t="s">
        <v>94</v>
      </c>
      <c r="DY282" t="s">
        <v>94</v>
      </c>
      <c r="DZ282" t="s">
        <v>94</v>
      </c>
      <c r="EA282" t="s">
        <v>94</v>
      </c>
      <c r="EB282" t="s">
        <v>94</v>
      </c>
      <c r="EC282" t="s">
        <v>94</v>
      </c>
      <c r="ED282" t="s">
        <v>94</v>
      </c>
      <c r="EE282" t="s">
        <v>89</v>
      </c>
      <c r="EF282" t="s">
        <v>425</v>
      </c>
      <c r="EG282" t="s">
        <v>105</v>
      </c>
      <c r="EJ282" t="s">
        <v>166</v>
      </c>
      <c r="EK282" t="b">
        <v>0</v>
      </c>
      <c r="EL282" t="b">
        <v>0</v>
      </c>
      <c r="EM282" t="b">
        <v>0</v>
      </c>
    </row>
    <row r="283" spans="3:143" ht="15">
      <c r="C283" s="82">
        <v>3</v>
      </c>
      <c r="D283" s="5"/>
      <c r="E283" s="4">
        <v>2</v>
      </c>
      <c r="F283" s="5">
        <v>16.100000000000001</v>
      </c>
      <c r="G283" s="5" t="s">
        <v>3936</v>
      </c>
      <c r="H283" s="4" t="s">
        <v>3937</v>
      </c>
      <c r="I283" s="81" t="s">
        <v>920</v>
      </c>
      <c r="J283" s="21"/>
      <c r="K283" s="22" t="s">
        <v>3916</v>
      </c>
      <c r="L283" s="84" t="s">
        <v>3935</v>
      </c>
      <c r="M283" s="23" t="s">
        <v>920</v>
      </c>
      <c r="N283" s="23">
        <v>43778</v>
      </c>
      <c r="O283" s="24" t="s">
        <v>102</v>
      </c>
      <c r="P283" s="24" t="s">
        <v>181</v>
      </c>
      <c r="Q283" s="24">
        <v>2</v>
      </c>
      <c r="R283" s="24">
        <v>16.100000000000001</v>
      </c>
      <c r="S283" t="s">
        <v>11</v>
      </c>
      <c r="T283">
        <v>4440</v>
      </c>
      <c r="U283" s="2" t="s">
        <v>163</v>
      </c>
      <c r="V283">
        <v>43781.600046296298</v>
      </c>
      <c r="W283" s="2" t="s">
        <v>444</v>
      </c>
      <c r="X283">
        <v>43781.617094907408</v>
      </c>
      <c r="AB283" t="s">
        <v>9</v>
      </c>
      <c r="AC283" t="s">
        <v>3917</v>
      </c>
      <c r="AD283" t="s">
        <v>209</v>
      </c>
      <c r="AE283">
        <v>2025566</v>
      </c>
      <c r="AF283">
        <v>2025566</v>
      </c>
      <c r="AG283" t="s">
        <v>183</v>
      </c>
      <c r="AH283" t="s">
        <v>3918</v>
      </c>
      <c r="AI283" t="s">
        <v>3918</v>
      </c>
      <c r="AJ283" t="s">
        <v>2322</v>
      </c>
      <c r="AK283" t="s">
        <v>2323</v>
      </c>
      <c r="AL283" t="s">
        <v>3919</v>
      </c>
      <c r="AM283" t="s">
        <v>3920</v>
      </c>
      <c r="AN283" t="s">
        <v>3921</v>
      </c>
      <c r="AO283" t="s">
        <v>3922</v>
      </c>
      <c r="AP283" t="s">
        <v>3923</v>
      </c>
      <c r="AQ283" t="s">
        <v>3924</v>
      </c>
      <c r="AR283">
        <v>34337</v>
      </c>
      <c r="AS283">
        <v>2122873682</v>
      </c>
      <c r="AU283" t="s">
        <v>10</v>
      </c>
      <c r="AV283" t="s">
        <v>3925</v>
      </c>
      <c r="AW283" t="s">
        <v>3926</v>
      </c>
      <c r="AX283" t="s">
        <v>3927</v>
      </c>
      <c r="AY283" s="2" t="s">
        <v>3928</v>
      </c>
      <c r="BA283" t="s">
        <v>299</v>
      </c>
      <c r="BB283" t="s">
        <v>300</v>
      </c>
      <c r="BC283" t="s">
        <v>188</v>
      </c>
      <c r="BD283">
        <v>511442</v>
      </c>
      <c r="BE283">
        <v>18122299468</v>
      </c>
      <c r="BG283" t="b">
        <v>0</v>
      </c>
      <c r="BH283" s="6" t="s">
        <v>3929</v>
      </c>
      <c r="BI283" t="s">
        <v>3930</v>
      </c>
      <c r="BJ283">
        <v>4453163191</v>
      </c>
      <c r="BK283" t="s">
        <v>162</v>
      </c>
      <c r="BL283" t="s">
        <v>161</v>
      </c>
      <c r="BM283" s="2"/>
      <c r="BO283" t="s">
        <v>89</v>
      </c>
      <c r="BP283">
        <v>6204430090</v>
      </c>
      <c r="BR283" t="s">
        <v>180</v>
      </c>
      <c r="BS283" t="s">
        <v>103</v>
      </c>
      <c r="BU283">
        <v>355.2</v>
      </c>
      <c r="BV283">
        <v>623.36</v>
      </c>
      <c r="BW283">
        <v>0</v>
      </c>
      <c r="BX283">
        <v>0</v>
      </c>
      <c r="BY283">
        <v>0</v>
      </c>
      <c r="BZ283">
        <v>0</v>
      </c>
      <c r="CA283">
        <v>978.56</v>
      </c>
      <c r="CF283" s="2"/>
      <c r="CH283" s="2"/>
      <c r="CJ283">
        <v>5.3142019950164102E+17</v>
      </c>
      <c r="CK283" t="s">
        <v>1849</v>
      </c>
      <c r="CL283">
        <v>43777.374212962961</v>
      </c>
      <c r="CO283" t="s">
        <v>11</v>
      </c>
      <c r="CP283" t="s">
        <v>3938</v>
      </c>
      <c r="CQ283" t="s">
        <v>11</v>
      </c>
      <c r="CR283">
        <v>4440</v>
      </c>
      <c r="CV283" t="s">
        <v>190</v>
      </c>
      <c r="CW283" t="s">
        <v>12</v>
      </c>
      <c r="CX283" t="s">
        <v>12</v>
      </c>
      <c r="CY283" t="s">
        <v>12</v>
      </c>
      <c r="DA283" t="s">
        <v>104</v>
      </c>
      <c r="DD283" t="s">
        <v>93</v>
      </c>
      <c r="DQ283" t="s">
        <v>94</v>
      </c>
      <c r="DR283" t="s">
        <v>94</v>
      </c>
      <c r="DS283" t="s">
        <v>94</v>
      </c>
      <c r="DT283" t="s">
        <v>94</v>
      </c>
      <c r="DU283" t="s">
        <v>94</v>
      </c>
      <c r="DV283" t="s">
        <v>94</v>
      </c>
      <c r="DW283" t="s">
        <v>94</v>
      </c>
      <c r="DX283" s="2" t="s">
        <v>94</v>
      </c>
      <c r="DY283" t="s">
        <v>94</v>
      </c>
      <c r="DZ283" t="s">
        <v>94</v>
      </c>
      <c r="EA283" t="s">
        <v>94</v>
      </c>
      <c r="EB283" t="s">
        <v>94</v>
      </c>
      <c r="EC283" t="s">
        <v>94</v>
      </c>
      <c r="ED283" t="s">
        <v>94</v>
      </c>
      <c r="EE283" t="s">
        <v>89</v>
      </c>
      <c r="EF283" t="s">
        <v>425</v>
      </c>
      <c r="EG283" t="s">
        <v>105</v>
      </c>
      <c r="EJ283" t="s">
        <v>526</v>
      </c>
      <c r="EK283" t="b">
        <v>0</v>
      </c>
      <c r="EL283" t="b">
        <v>0</v>
      </c>
      <c r="EM283" t="b">
        <v>0</v>
      </c>
    </row>
    <row r="284" spans="3:143" ht="15">
      <c r="C284" s="82">
        <v>3</v>
      </c>
      <c r="D284" s="5"/>
      <c r="E284" s="4">
        <v>1</v>
      </c>
      <c r="F284" s="5">
        <v>0.3</v>
      </c>
      <c r="G284" s="5" t="s">
        <v>3939</v>
      </c>
      <c r="H284" s="4" t="s">
        <v>3369</v>
      </c>
      <c r="I284" s="81" t="s">
        <v>920</v>
      </c>
      <c r="J284" s="21"/>
      <c r="K284" s="22" t="s">
        <v>3876</v>
      </c>
      <c r="L284" s="84" t="s">
        <v>3266</v>
      </c>
      <c r="M284" s="23" t="s">
        <v>920</v>
      </c>
      <c r="N284" s="23">
        <v>43771</v>
      </c>
      <c r="O284" s="24" t="s">
        <v>102</v>
      </c>
      <c r="P284" s="24" t="s">
        <v>181</v>
      </c>
      <c r="Q284" s="24">
        <v>1</v>
      </c>
      <c r="R284" s="24">
        <v>0.3</v>
      </c>
      <c r="S284" t="s">
        <v>528</v>
      </c>
      <c r="T284">
        <v>100</v>
      </c>
      <c r="U284" s="2" t="s">
        <v>163</v>
      </c>
      <c r="V284">
        <v>43771.862349537034</v>
      </c>
      <c r="W284" s="2" t="s">
        <v>444</v>
      </c>
      <c r="X284">
        <v>43771.870625000003</v>
      </c>
      <c r="AB284" t="s">
        <v>9</v>
      </c>
      <c r="AC284" t="s">
        <v>3877</v>
      </c>
      <c r="AD284" t="s">
        <v>191</v>
      </c>
      <c r="AE284">
        <v>8970148</v>
      </c>
      <c r="AF284">
        <v>8970148</v>
      </c>
      <c r="AG284" t="s">
        <v>183</v>
      </c>
      <c r="AH284" t="s">
        <v>3878</v>
      </c>
      <c r="AI284" t="s">
        <v>3878</v>
      </c>
      <c r="AJ284" t="s">
        <v>508</v>
      </c>
      <c r="AK284" t="s">
        <v>509</v>
      </c>
      <c r="AL284" t="s">
        <v>3879</v>
      </c>
      <c r="AO284" t="s">
        <v>3880</v>
      </c>
      <c r="AP284" t="s">
        <v>509</v>
      </c>
      <c r="AR284">
        <v>75002</v>
      </c>
      <c r="AS284">
        <v>-33185093690</v>
      </c>
      <c r="AT284" t="s">
        <v>3881</v>
      </c>
      <c r="AU284" t="s">
        <v>10</v>
      </c>
      <c r="AV284" t="s">
        <v>3882</v>
      </c>
      <c r="AW284" t="s">
        <v>3882</v>
      </c>
      <c r="AX284" t="s">
        <v>3883</v>
      </c>
      <c r="AY284" s="2" t="s">
        <v>3884</v>
      </c>
      <c r="AZ284" t="s">
        <v>3885</v>
      </c>
      <c r="BA284" t="s">
        <v>371</v>
      </c>
      <c r="BB284" t="s">
        <v>192</v>
      </c>
      <c r="BC284" t="s">
        <v>188</v>
      </c>
      <c r="BD284">
        <v>523770</v>
      </c>
      <c r="BE284">
        <v>-8676939003605</v>
      </c>
      <c r="BF284" t="s">
        <v>3886</v>
      </c>
      <c r="BG284" t="b">
        <v>0</v>
      </c>
      <c r="BH284" s="6" t="s">
        <v>3887</v>
      </c>
      <c r="BI284" t="s">
        <v>3888</v>
      </c>
      <c r="BJ284">
        <v>4453163191</v>
      </c>
      <c r="BK284" t="s">
        <v>162</v>
      </c>
      <c r="BL284" t="s">
        <v>161</v>
      </c>
      <c r="BM284" s="2"/>
      <c r="BO284" t="s">
        <v>89</v>
      </c>
      <c r="BP284">
        <v>5208490090</v>
      </c>
      <c r="BR284" t="s">
        <v>180</v>
      </c>
      <c r="BS284" t="s">
        <v>103</v>
      </c>
      <c r="BU284">
        <v>62.44</v>
      </c>
      <c r="BV284">
        <v>109.58</v>
      </c>
      <c r="BW284">
        <v>0</v>
      </c>
      <c r="BX284">
        <v>0</v>
      </c>
      <c r="BY284">
        <v>0</v>
      </c>
      <c r="BZ284">
        <v>0</v>
      </c>
      <c r="CA284">
        <v>172.02</v>
      </c>
      <c r="CF284" s="2"/>
      <c r="CH284" s="2"/>
      <c r="CJ284">
        <v>5.3142019950159098E+17</v>
      </c>
      <c r="CK284" t="s">
        <v>2261</v>
      </c>
      <c r="CL284">
        <v>43771.37777777778</v>
      </c>
      <c r="CO284" t="s">
        <v>11</v>
      </c>
      <c r="CP284" t="s">
        <v>3940</v>
      </c>
      <c r="CQ284" t="s">
        <v>11</v>
      </c>
      <c r="CR284">
        <v>780.52</v>
      </c>
      <c r="CV284" t="s">
        <v>190</v>
      </c>
      <c r="CW284" t="s">
        <v>12</v>
      </c>
      <c r="CX284" t="s">
        <v>12</v>
      </c>
      <c r="CY284" t="s">
        <v>12</v>
      </c>
      <c r="DA284" t="s">
        <v>104</v>
      </c>
      <c r="DD284" t="s">
        <v>93</v>
      </c>
      <c r="DQ284" t="s">
        <v>94</v>
      </c>
      <c r="DR284" t="s">
        <v>94</v>
      </c>
      <c r="DS284" t="s">
        <v>94</v>
      </c>
      <c r="DT284" t="s">
        <v>94</v>
      </c>
      <c r="DU284" t="s">
        <v>94</v>
      </c>
      <c r="DV284" t="s">
        <v>94</v>
      </c>
      <c r="DW284" t="s">
        <v>94</v>
      </c>
      <c r="DX284" s="2" t="s">
        <v>94</v>
      </c>
      <c r="DY284" t="s">
        <v>94</v>
      </c>
      <c r="DZ284" t="s">
        <v>94</v>
      </c>
      <c r="EA284" t="s">
        <v>94</v>
      </c>
      <c r="EB284" t="s">
        <v>94</v>
      </c>
      <c r="EC284" t="s">
        <v>94</v>
      </c>
      <c r="ED284" t="s">
        <v>94</v>
      </c>
      <c r="EE284" t="s">
        <v>89</v>
      </c>
      <c r="EF284" t="s">
        <v>425</v>
      </c>
      <c r="EG284" t="s">
        <v>105</v>
      </c>
      <c r="EJ284" t="s">
        <v>166</v>
      </c>
      <c r="EK284" t="b">
        <v>0</v>
      </c>
      <c r="EL284" t="b">
        <v>0</v>
      </c>
      <c r="EM284" t="b">
        <v>0</v>
      </c>
    </row>
    <row r="285" spans="3:143" ht="15">
      <c r="C285" s="82">
        <v>3</v>
      </c>
      <c r="D285" s="5"/>
      <c r="E285" s="4">
        <v>1</v>
      </c>
      <c r="F285" s="5">
        <v>4.1500000000000004</v>
      </c>
      <c r="G285" s="5" t="s">
        <v>3941</v>
      </c>
      <c r="H285" s="4" t="s">
        <v>3942</v>
      </c>
      <c r="I285" s="81" t="s">
        <v>920</v>
      </c>
      <c r="J285" s="21"/>
      <c r="K285" s="22" t="s">
        <v>3862</v>
      </c>
      <c r="L285" s="84" t="s">
        <v>3848</v>
      </c>
      <c r="M285" s="23" t="s">
        <v>920</v>
      </c>
      <c r="N285" s="23">
        <v>43776</v>
      </c>
      <c r="O285" s="24" t="s">
        <v>102</v>
      </c>
      <c r="P285" s="24" t="s">
        <v>179</v>
      </c>
      <c r="Q285" s="24">
        <v>1</v>
      </c>
      <c r="R285" s="24">
        <v>4.1500000000000004</v>
      </c>
      <c r="S285" t="s">
        <v>11</v>
      </c>
      <c r="T285">
        <v>250</v>
      </c>
      <c r="U285" s="2" t="s">
        <v>163</v>
      </c>
      <c r="V285">
        <v>43776.872037037036</v>
      </c>
      <c r="W285" s="2" t="s">
        <v>444</v>
      </c>
      <c r="X285">
        <v>43778.687905092593</v>
      </c>
      <c r="AB285" t="s">
        <v>9</v>
      </c>
      <c r="AC285" t="s">
        <v>3863</v>
      </c>
      <c r="AD285" t="s">
        <v>191</v>
      </c>
      <c r="AE285">
        <v>22952</v>
      </c>
      <c r="AF285">
        <v>22952</v>
      </c>
      <c r="AG285" t="s">
        <v>183</v>
      </c>
      <c r="AH285" t="s">
        <v>3864</v>
      </c>
      <c r="AI285" t="s">
        <v>3864</v>
      </c>
      <c r="AJ285" t="s">
        <v>2637</v>
      </c>
      <c r="AK285" t="s">
        <v>2638</v>
      </c>
      <c r="AL285" t="s">
        <v>3865</v>
      </c>
      <c r="AO285" t="s">
        <v>3866</v>
      </c>
      <c r="AP285" t="s">
        <v>3867</v>
      </c>
      <c r="AR285">
        <v>6136</v>
      </c>
      <c r="AS285">
        <v>-7001628</v>
      </c>
      <c r="AT285" t="s">
        <v>3868</v>
      </c>
      <c r="AU285" t="s">
        <v>10</v>
      </c>
      <c r="AV285" t="s">
        <v>3869</v>
      </c>
      <c r="AW285" t="s">
        <v>3869</v>
      </c>
      <c r="AX285" t="s">
        <v>3870</v>
      </c>
      <c r="AY285" s="2" t="s">
        <v>3871</v>
      </c>
      <c r="AZ285" t="s">
        <v>3872</v>
      </c>
      <c r="BA285" t="s">
        <v>726</v>
      </c>
      <c r="BB285" t="s">
        <v>192</v>
      </c>
      <c r="BC285" t="s">
        <v>188</v>
      </c>
      <c r="BD285">
        <v>523757</v>
      </c>
      <c r="BE285">
        <v>-8676938854328</v>
      </c>
      <c r="BF285" t="s">
        <v>3873</v>
      </c>
      <c r="BG285" t="b">
        <v>0</v>
      </c>
      <c r="BH285" s="6" t="s">
        <v>3874</v>
      </c>
      <c r="BI285" t="s">
        <v>3875</v>
      </c>
      <c r="BJ285">
        <v>4453163191</v>
      </c>
      <c r="BK285" t="s">
        <v>162</v>
      </c>
      <c r="BL285" t="s">
        <v>161</v>
      </c>
      <c r="BM285" s="2"/>
      <c r="BO285" t="s">
        <v>89</v>
      </c>
      <c r="BP285">
        <v>94054090</v>
      </c>
      <c r="BR285" t="s">
        <v>180</v>
      </c>
      <c r="BS285" t="s">
        <v>103</v>
      </c>
      <c r="BU285">
        <v>0</v>
      </c>
      <c r="BV285">
        <v>0</v>
      </c>
      <c r="BW285">
        <v>0</v>
      </c>
      <c r="BX285">
        <v>0</v>
      </c>
      <c r="BY285">
        <v>0</v>
      </c>
      <c r="BZ285">
        <v>0</v>
      </c>
      <c r="CA285">
        <v>0</v>
      </c>
      <c r="CF285" s="2"/>
      <c r="CH285" s="2"/>
      <c r="CJ285">
        <v>5.3142019950161901E+17</v>
      </c>
      <c r="CK285" t="s">
        <v>1849</v>
      </c>
      <c r="CL285">
        <v>43776.395138888889</v>
      </c>
      <c r="CO285" t="s">
        <v>11</v>
      </c>
      <c r="CP285" t="s">
        <v>3943</v>
      </c>
      <c r="CQ285" t="s">
        <v>11</v>
      </c>
      <c r="CR285">
        <v>250</v>
      </c>
      <c r="CV285" t="s">
        <v>190</v>
      </c>
      <c r="CW285" t="s">
        <v>12</v>
      </c>
      <c r="CX285" t="s">
        <v>12</v>
      </c>
      <c r="CY285" t="s">
        <v>12</v>
      </c>
      <c r="DA285" t="s">
        <v>104</v>
      </c>
      <c r="DD285" t="s">
        <v>93</v>
      </c>
      <c r="DQ285" t="s">
        <v>94</v>
      </c>
      <c r="DR285" t="s">
        <v>94</v>
      </c>
      <c r="DS285" t="s">
        <v>94</v>
      </c>
      <c r="DT285" t="s">
        <v>94</v>
      </c>
      <c r="DU285" t="s">
        <v>94</v>
      </c>
      <c r="DV285" t="s">
        <v>94</v>
      </c>
      <c r="DW285" t="s">
        <v>94</v>
      </c>
      <c r="DX285" s="2" t="s">
        <v>94</v>
      </c>
      <c r="DY285" t="s">
        <v>94</v>
      </c>
      <c r="DZ285" t="s">
        <v>94</v>
      </c>
      <c r="EA285" t="s">
        <v>94</v>
      </c>
      <c r="EB285" t="s">
        <v>94</v>
      </c>
      <c r="EC285" t="s">
        <v>94</v>
      </c>
      <c r="ED285" t="s">
        <v>94</v>
      </c>
      <c r="EE285" t="s">
        <v>89</v>
      </c>
      <c r="EF285" t="s">
        <v>425</v>
      </c>
      <c r="EG285" t="s">
        <v>105</v>
      </c>
      <c r="EJ285" t="s">
        <v>166</v>
      </c>
      <c r="EK285" t="b">
        <v>0</v>
      </c>
      <c r="EL285" t="b">
        <v>0</v>
      </c>
      <c r="EM285" t="b">
        <v>0</v>
      </c>
    </row>
    <row r="286" spans="3:143">
      <c r="C286" s="4">
        <v>3</v>
      </c>
      <c r="D286" s="4"/>
      <c r="E286" s="4">
        <v>1</v>
      </c>
      <c r="F286" s="4">
        <v>0.5</v>
      </c>
      <c r="G286" s="5" t="s">
        <v>3941</v>
      </c>
      <c r="H286" s="4" t="s">
        <v>3944</v>
      </c>
      <c r="I286" s="4" t="s">
        <v>920</v>
      </c>
      <c r="J286" s="5"/>
      <c r="K286" s="22" t="s">
        <v>3847</v>
      </c>
      <c r="L286" s="84" t="s">
        <v>3848</v>
      </c>
      <c r="M286" s="23" t="s">
        <v>920</v>
      </c>
      <c r="N286" s="23">
        <v>43776</v>
      </c>
      <c r="O286" s="24" t="s">
        <v>102</v>
      </c>
      <c r="P286" s="24" t="s">
        <v>179</v>
      </c>
      <c r="Q286" s="24">
        <v>1</v>
      </c>
      <c r="R286" s="24">
        <v>0.5</v>
      </c>
      <c r="S286" t="s">
        <v>319</v>
      </c>
      <c r="T286">
        <v>24</v>
      </c>
      <c r="U286" s="2" t="s">
        <v>163</v>
      </c>
      <c r="V286">
        <v>43776.872013888889</v>
      </c>
      <c r="W286" s="2" t="s">
        <v>444</v>
      </c>
      <c r="X286">
        <v>43778.687905092593</v>
      </c>
      <c r="AB286" t="s">
        <v>9</v>
      </c>
      <c r="AC286" t="s">
        <v>3849</v>
      </c>
      <c r="AD286" t="s">
        <v>1602</v>
      </c>
      <c r="AE286">
        <v>1016497</v>
      </c>
      <c r="AF286">
        <v>1016497</v>
      </c>
      <c r="AG286" t="s">
        <v>183</v>
      </c>
      <c r="AH286" t="s">
        <v>3850</v>
      </c>
      <c r="AI286" t="s">
        <v>3850</v>
      </c>
      <c r="AJ286" t="s">
        <v>601</v>
      </c>
      <c r="AK286" t="s">
        <v>602</v>
      </c>
      <c r="AL286" t="s">
        <v>3851</v>
      </c>
      <c r="AO286" t="s">
        <v>3852</v>
      </c>
      <c r="AP286" t="s">
        <v>3853</v>
      </c>
      <c r="AQ286" t="s">
        <v>3854</v>
      </c>
      <c r="AR286">
        <v>20156</v>
      </c>
      <c r="AS286">
        <v>283451201</v>
      </c>
      <c r="AT286" t="s">
        <v>3855</v>
      </c>
      <c r="AU286" t="s">
        <v>10</v>
      </c>
      <c r="AV286" t="s">
        <v>3856</v>
      </c>
      <c r="AW286" t="s">
        <v>3856</v>
      </c>
      <c r="AX286" t="s">
        <v>3857</v>
      </c>
      <c r="AY286" t="s">
        <v>3858</v>
      </c>
      <c r="BA286" t="s">
        <v>1980</v>
      </c>
      <c r="BB286" t="s">
        <v>1616</v>
      </c>
      <c r="BC286" t="s">
        <v>188</v>
      </c>
      <c r="BD286">
        <v>528415</v>
      </c>
      <c r="BE286">
        <v>36919433</v>
      </c>
      <c r="BF286" t="s">
        <v>3859</v>
      </c>
      <c r="BG286" t="b">
        <v>0</v>
      </c>
      <c r="BH286" s="6" t="s">
        <v>3860</v>
      </c>
      <c r="BI286" t="s">
        <v>3861</v>
      </c>
      <c r="BJ286">
        <v>4453163191</v>
      </c>
      <c r="BK286" t="s">
        <v>162</v>
      </c>
      <c r="BL286" t="s">
        <v>161</v>
      </c>
      <c r="BM286" s="2"/>
      <c r="BO286" t="s">
        <v>89</v>
      </c>
      <c r="BP286">
        <v>85369011</v>
      </c>
      <c r="BR286" t="s">
        <v>180</v>
      </c>
      <c r="BS286" t="s">
        <v>103</v>
      </c>
      <c r="BU286">
        <v>0</v>
      </c>
      <c r="BV286">
        <v>0</v>
      </c>
      <c r="BW286">
        <v>0</v>
      </c>
      <c r="BX286">
        <v>0</v>
      </c>
      <c r="BY286">
        <v>0</v>
      </c>
      <c r="BZ286">
        <v>0</v>
      </c>
      <c r="CA286">
        <v>0</v>
      </c>
      <c r="CF286" s="2"/>
      <c r="CH286" s="2"/>
      <c r="CJ286">
        <v>5.3142019950161901E+17</v>
      </c>
      <c r="CK286" t="s">
        <v>1849</v>
      </c>
      <c r="CL286">
        <v>43776.396192129629</v>
      </c>
      <c r="CO286" t="s">
        <v>11</v>
      </c>
      <c r="CP286" t="s">
        <v>3945</v>
      </c>
      <c r="CQ286" t="s">
        <v>11</v>
      </c>
      <c r="CR286">
        <v>169.79</v>
      </c>
      <c r="CV286" t="s">
        <v>190</v>
      </c>
      <c r="CW286" t="s">
        <v>12</v>
      </c>
      <c r="CX286" t="s">
        <v>12</v>
      </c>
      <c r="CY286" t="s">
        <v>12</v>
      </c>
      <c r="DA286" t="s">
        <v>104</v>
      </c>
      <c r="DD286" t="s">
        <v>93</v>
      </c>
      <c r="DQ286" t="s">
        <v>94</v>
      </c>
      <c r="DR286" t="s">
        <v>94</v>
      </c>
      <c r="DS286" t="s">
        <v>94</v>
      </c>
      <c r="DT286" t="s">
        <v>94</v>
      </c>
      <c r="DU286" t="s">
        <v>94</v>
      </c>
      <c r="DV286" t="s">
        <v>94</v>
      </c>
      <c r="DW286" t="s">
        <v>94</v>
      </c>
      <c r="DX286" s="2" t="s">
        <v>94</v>
      </c>
      <c r="DY286" t="s">
        <v>94</v>
      </c>
      <c r="DZ286" t="s">
        <v>94</v>
      </c>
      <c r="EA286" t="s">
        <v>94</v>
      </c>
      <c r="EB286" t="s">
        <v>94</v>
      </c>
      <c r="EC286" t="s">
        <v>94</v>
      </c>
      <c r="ED286" t="s">
        <v>94</v>
      </c>
      <c r="EE286" t="s">
        <v>89</v>
      </c>
      <c r="EF286" t="s">
        <v>425</v>
      </c>
      <c r="EG286" t="s">
        <v>105</v>
      </c>
      <c r="EJ286" t="s">
        <v>166</v>
      </c>
      <c r="EK286" t="b">
        <v>0</v>
      </c>
      <c r="EL286" t="b">
        <v>0</v>
      </c>
      <c r="EM286" t="b">
        <v>0</v>
      </c>
    </row>
    <row r="287" spans="3:143" ht="15">
      <c r="C287" s="82">
        <v>5646</v>
      </c>
      <c r="D287" s="5"/>
      <c r="E287" s="4">
        <v>1</v>
      </c>
      <c r="F287" s="5">
        <v>3.1</v>
      </c>
      <c r="G287" s="5" t="s">
        <v>3961</v>
      </c>
      <c r="H287" s="4" t="s">
        <v>3962</v>
      </c>
      <c r="I287" s="81" t="s">
        <v>817</v>
      </c>
      <c r="J287" s="21"/>
      <c r="K287" s="22" t="s">
        <v>3946</v>
      </c>
      <c r="L287" s="84" t="s">
        <v>3806</v>
      </c>
      <c r="M287" s="23" t="s">
        <v>817</v>
      </c>
      <c r="N287" s="23">
        <v>43779</v>
      </c>
      <c r="O287" s="24" t="s">
        <v>102</v>
      </c>
      <c r="P287" s="24" t="s">
        <v>181</v>
      </c>
      <c r="Q287" s="24">
        <v>1</v>
      </c>
      <c r="R287" s="24">
        <v>3.1</v>
      </c>
      <c r="S287" t="s">
        <v>319</v>
      </c>
      <c r="T287">
        <v>135</v>
      </c>
      <c r="U287" s="2" t="s">
        <v>163</v>
      </c>
      <c r="V287">
        <v>43779.844293981485</v>
      </c>
      <c r="W287" s="2" t="s">
        <v>444</v>
      </c>
      <c r="X287">
        <v>43781.60050925926</v>
      </c>
      <c r="AB287" t="s">
        <v>9</v>
      </c>
      <c r="AC287" t="s">
        <v>2784</v>
      </c>
      <c r="AD287" t="s">
        <v>1602</v>
      </c>
      <c r="AE287" t="s">
        <v>183</v>
      </c>
      <c r="AF287" t="s">
        <v>183</v>
      </c>
      <c r="AG287">
        <v>3014196</v>
      </c>
      <c r="AH287" t="s">
        <v>3947</v>
      </c>
      <c r="AI287" t="s">
        <v>3947</v>
      </c>
      <c r="AJ287" t="s">
        <v>2786</v>
      </c>
      <c r="AK287" t="s">
        <v>2787</v>
      </c>
      <c r="AL287" t="s">
        <v>3948</v>
      </c>
      <c r="AM287" t="s">
        <v>3949</v>
      </c>
      <c r="AN287" t="s">
        <v>3950</v>
      </c>
      <c r="AO287" t="s">
        <v>3951</v>
      </c>
      <c r="AP287" t="s">
        <v>2791</v>
      </c>
      <c r="AQ287" t="s">
        <v>3952</v>
      </c>
      <c r="AR287">
        <v>8572</v>
      </c>
      <c r="AS287">
        <v>1082952877</v>
      </c>
      <c r="AT287" t="s">
        <v>3953</v>
      </c>
      <c r="AU287" t="s">
        <v>10</v>
      </c>
      <c r="AV287" t="s">
        <v>3954</v>
      </c>
      <c r="AW287" t="s">
        <v>3955</v>
      </c>
      <c r="AX287" t="s">
        <v>3956</v>
      </c>
      <c r="AY287" s="2"/>
      <c r="BA287" t="s">
        <v>2525</v>
      </c>
      <c r="BB287" t="s">
        <v>272</v>
      </c>
      <c r="BC287" t="s">
        <v>188</v>
      </c>
      <c r="BD287">
        <v>518031</v>
      </c>
      <c r="BE287" t="s">
        <v>3957</v>
      </c>
      <c r="BF287" t="s">
        <v>3958</v>
      </c>
      <c r="BG287" t="b">
        <v>0</v>
      </c>
      <c r="BH287" s="6" t="s">
        <v>3959</v>
      </c>
      <c r="BI287" t="s">
        <v>3960</v>
      </c>
      <c r="BJ287">
        <v>4453163191</v>
      </c>
      <c r="BK287" t="s">
        <v>162</v>
      </c>
      <c r="BL287" t="s">
        <v>161</v>
      </c>
      <c r="BM287" s="2"/>
      <c r="BN287">
        <v>9.1440300674810995E+17</v>
      </c>
      <c r="BO287" t="s">
        <v>89</v>
      </c>
      <c r="BP287">
        <v>85312000</v>
      </c>
      <c r="BR287" t="s">
        <v>189</v>
      </c>
      <c r="BS287" t="s">
        <v>103</v>
      </c>
      <c r="BU287">
        <v>0</v>
      </c>
      <c r="BV287">
        <v>124.16</v>
      </c>
      <c r="BW287">
        <v>0</v>
      </c>
      <c r="BX287">
        <v>0</v>
      </c>
      <c r="BY287">
        <v>0</v>
      </c>
      <c r="BZ287">
        <v>0</v>
      </c>
      <c r="CA287">
        <v>124.16</v>
      </c>
      <c r="CF287" s="2"/>
      <c r="CH287" s="2"/>
      <c r="CJ287">
        <v>5.3142019950163501E+17</v>
      </c>
      <c r="CK287" t="s">
        <v>1509</v>
      </c>
      <c r="CL287">
        <v>43779.375821759262</v>
      </c>
      <c r="CO287" t="s">
        <v>11</v>
      </c>
      <c r="CP287">
        <v>955.07</v>
      </c>
      <c r="CQ287" t="s">
        <v>11</v>
      </c>
      <c r="CR287">
        <v>955.07</v>
      </c>
      <c r="CV287" t="s">
        <v>525</v>
      </c>
      <c r="CW287" t="s">
        <v>12</v>
      </c>
      <c r="CX287" t="s">
        <v>12</v>
      </c>
      <c r="CY287" t="s">
        <v>12</v>
      </c>
      <c r="DA287" t="s">
        <v>104</v>
      </c>
      <c r="DD287" t="s">
        <v>93</v>
      </c>
      <c r="DQ287" t="s">
        <v>94</v>
      </c>
      <c r="DR287" t="s">
        <v>94</v>
      </c>
      <c r="DS287" t="s">
        <v>94</v>
      </c>
      <c r="DT287" t="s">
        <v>94</v>
      </c>
      <c r="DU287" t="s">
        <v>94</v>
      </c>
      <c r="DV287" t="s">
        <v>94</v>
      </c>
      <c r="DW287" t="s">
        <v>94</v>
      </c>
      <c r="DX287" s="2" t="s">
        <v>94</v>
      </c>
      <c r="DY287" t="s">
        <v>94</v>
      </c>
      <c r="DZ287" t="s">
        <v>94</v>
      </c>
      <c r="EA287" t="s">
        <v>94</v>
      </c>
      <c r="EB287" t="s">
        <v>94</v>
      </c>
      <c r="EC287" t="s">
        <v>94</v>
      </c>
      <c r="ED287" t="s">
        <v>94</v>
      </c>
      <c r="EE287" t="s">
        <v>89</v>
      </c>
      <c r="EF287" t="s">
        <v>425</v>
      </c>
      <c r="EG287" t="s">
        <v>105</v>
      </c>
      <c r="EJ287" t="s">
        <v>166</v>
      </c>
      <c r="EK287" t="b">
        <v>0</v>
      </c>
      <c r="EL287" t="b">
        <v>0</v>
      </c>
      <c r="EM287" t="b">
        <v>0</v>
      </c>
    </row>
    <row r="288" spans="3:143" ht="15">
      <c r="C288" s="82">
        <v>3</v>
      </c>
      <c r="D288" s="5"/>
      <c r="E288" s="4">
        <v>1</v>
      </c>
      <c r="F288" s="5">
        <v>3.05</v>
      </c>
      <c r="G288" s="5" t="s">
        <v>3963</v>
      </c>
      <c r="H288" s="4" t="s">
        <v>1405</v>
      </c>
      <c r="I288" s="81" t="s">
        <v>817</v>
      </c>
      <c r="J288" s="21"/>
      <c r="K288" s="22" t="s">
        <v>3809</v>
      </c>
      <c r="L288" s="84" t="s">
        <v>3806</v>
      </c>
      <c r="M288" s="23" t="s">
        <v>817</v>
      </c>
      <c r="N288" s="23">
        <v>43779</v>
      </c>
      <c r="O288" s="24" t="s">
        <v>102</v>
      </c>
      <c r="P288" s="24" t="s">
        <v>179</v>
      </c>
      <c r="Q288" s="24">
        <v>1</v>
      </c>
      <c r="R288" s="24">
        <v>3.05</v>
      </c>
      <c r="S288" t="s">
        <v>528</v>
      </c>
      <c r="T288">
        <v>22</v>
      </c>
      <c r="U288" s="2" t="s">
        <v>163</v>
      </c>
      <c r="V288">
        <v>43779.844537037039</v>
      </c>
      <c r="W288" s="2" t="s">
        <v>444</v>
      </c>
      <c r="X288">
        <v>43781.60050925926</v>
      </c>
      <c r="AB288" t="s">
        <v>9</v>
      </c>
      <c r="AC288" t="s">
        <v>3810</v>
      </c>
      <c r="AD288" t="s">
        <v>182</v>
      </c>
      <c r="AE288" t="s">
        <v>3842</v>
      </c>
      <c r="AF288" t="s">
        <v>3842</v>
      </c>
      <c r="AG288" t="s">
        <v>183</v>
      </c>
      <c r="AH288" t="s">
        <v>3811</v>
      </c>
      <c r="AI288" t="s">
        <v>3811</v>
      </c>
      <c r="AJ288" t="s">
        <v>821</v>
      </c>
      <c r="AK288" t="s">
        <v>822</v>
      </c>
      <c r="AL288" t="s">
        <v>3812</v>
      </c>
      <c r="AO288" t="s">
        <v>3813</v>
      </c>
      <c r="AP288" t="s">
        <v>3814</v>
      </c>
      <c r="AR288" t="s">
        <v>3964</v>
      </c>
      <c r="AS288">
        <v>-3238444533</v>
      </c>
      <c r="AT288" t="s">
        <v>3815</v>
      </c>
      <c r="AU288" t="s">
        <v>10</v>
      </c>
      <c r="AV288" t="s">
        <v>1718</v>
      </c>
      <c r="AW288" t="s">
        <v>1718</v>
      </c>
      <c r="AX288" t="s">
        <v>3816</v>
      </c>
      <c r="AY288" s="2" t="s">
        <v>3817</v>
      </c>
      <c r="AZ288" t="s">
        <v>3818</v>
      </c>
      <c r="BA288" t="s">
        <v>2046</v>
      </c>
      <c r="BB288" t="s">
        <v>187</v>
      </c>
      <c r="BC288" t="s">
        <v>188</v>
      </c>
      <c r="BD288">
        <v>518103</v>
      </c>
      <c r="BE288" t="s">
        <v>3843</v>
      </c>
      <c r="BF288" t="s">
        <v>3819</v>
      </c>
      <c r="BG288" t="b">
        <v>0</v>
      </c>
      <c r="BH288" s="6" t="s">
        <v>3820</v>
      </c>
      <c r="BI288" t="s">
        <v>3821</v>
      </c>
      <c r="BJ288" t="s">
        <v>668</v>
      </c>
      <c r="BK288" t="s">
        <v>162</v>
      </c>
      <c r="BL288" t="s">
        <v>161</v>
      </c>
      <c r="BM288" s="2"/>
      <c r="BO288" t="s">
        <v>89</v>
      </c>
      <c r="BP288">
        <v>94054090</v>
      </c>
      <c r="BR288" t="s">
        <v>180</v>
      </c>
      <c r="BS288" t="s">
        <v>103</v>
      </c>
      <c r="BU288">
        <v>0</v>
      </c>
      <c r="BV288">
        <v>0</v>
      </c>
      <c r="BW288">
        <v>0</v>
      </c>
      <c r="BX288">
        <v>0</v>
      </c>
      <c r="BY288">
        <v>0</v>
      </c>
      <c r="BZ288">
        <v>0</v>
      </c>
      <c r="CA288">
        <v>0</v>
      </c>
      <c r="CF288" s="2"/>
      <c r="CH288" s="2"/>
      <c r="CJ288">
        <v>5.3142019950163501E+17</v>
      </c>
      <c r="CK288" t="s">
        <v>1509</v>
      </c>
      <c r="CL288">
        <v>43779.375520833331</v>
      </c>
      <c r="CO288" t="s">
        <v>11</v>
      </c>
      <c r="CP288" t="s">
        <v>3844</v>
      </c>
      <c r="CQ288" t="s">
        <v>11</v>
      </c>
      <c r="CR288">
        <v>171.71</v>
      </c>
      <c r="CV288" t="s">
        <v>190</v>
      </c>
      <c r="CW288" t="s">
        <v>12</v>
      </c>
      <c r="CX288" t="s">
        <v>12</v>
      </c>
      <c r="CY288" t="s">
        <v>12</v>
      </c>
      <c r="DA288" t="s">
        <v>104</v>
      </c>
      <c r="DD288" t="s">
        <v>93</v>
      </c>
      <c r="DQ288" t="s">
        <v>94</v>
      </c>
      <c r="DR288" t="s">
        <v>94</v>
      </c>
      <c r="DS288" t="s">
        <v>94</v>
      </c>
      <c r="DT288" t="s">
        <v>94</v>
      </c>
      <c r="DU288" t="s">
        <v>94</v>
      </c>
      <c r="DV288" t="s">
        <v>94</v>
      </c>
      <c r="DW288" t="s">
        <v>94</v>
      </c>
      <c r="DX288" s="2" t="s">
        <v>94</v>
      </c>
      <c r="DY288" t="s">
        <v>94</v>
      </c>
      <c r="DZ288" t="s">
        <v>94</v>
      </c>
      <c r="EA288" t="s">
        <v>94</v>
      </c>
      <c r="EB288" t="s">
        <v>94</v>
      </c>
      <c r="EC288" t="s">
        <v>94</v>
      </c>
      <c r="ED288" t="s">
        <v>94</v>
      </c>
      <c r="EE288" t="s">
        <v>89</v>
      </c>
      <c r="EF288" t="s">
        <v>425</v>
      </c>
      <c r="EG288" t="s">
        <v>105</v>
      </c>
      <c r="EJ288" t="s">
        <v>166</v>
      </c>
      <c r="EK288" t="b">
        <v>0</v>
      </c>
      <c r="EL288" t="b">
        <v>0</v>
      </c>
      <c r="EM288" t="b">
        <v>0</v>
      </c>
    </row>
    <row r="289" spans="3:143">
      <c r="C289" s="4">
        <v>3</v>
      </c>
      <c r="D289" s="4"/>
      <c r="E289" s="4">
        <v>1</v>
      </c>
      <c r="F289" s="4">
        <v>3.1</v>
      </c>
      <c r="G289" s="5" t="s">
        <v>3963</v>
      </c>
      <c r="H289" s="4" t="s">
        <v>3962</v>
      </c>
      <c r="I289" s="4" t="s">
        <v>817</v>
      </c>
      <c r="J289" s="5"/>
      <c r="K289" s="22" t="s">
        <v>3946</v>
      </c>
      <c r="L289" s="84" t="s">
        <v>3806</v>
      </c>
      <c r="M289" s="23" t="s">
        <v>817</v>
      </c>
      <c r="N289" s="23">
        <v>43779</v>
      </c>
      <c r="O289" s="24" t="s">
        <v>102</v>
      </c>
      <c r="P289" s="24" t="s">
        <v>181</v>
      </c>
      <c r="Q289" s="24">
        <v>1</v>
      </c>
      <c r="R289" s="24">
        <v>3.1</v>
      </c>
      <c r="S289" t="s">
        <v>319</v>
      </c>
      <c r="T289">
        <v>135</v>
      </c>
      <c r="U289" s="2" t="s">
        <v>163</v>
      </c>
      <c r="V289">
        <v>43779.844293981485</v>
      </c>
      <c r="W289" s="2" t="s">
        <v>444</v>
      </c>
      <c r="X289">
        <v>43781.60050925926</v>
      </c>
      <c r="AB289" t="s">
        <v>9</v>
      </c>
      <c r="AC289" t="s">
        <v>2784</v>
      </c>
      <c r="AD289" t="s">
        <v>1602</v>
      </c>
      <c r="AE289" t="s">
        <v>183</v>
      </c>
      <c r="AF289" t="s">
        <v>183</v>
      </c>
      <c r="AG289" t="s">
        <v>3965</v>
      </c>
      <c r="AH289" t="s">
        <v>3947</v>
      </c>
      <c r="AI289" t="s">
        <v>3947</v>
      </c>
      <c r="AJ289" t="s">
        <v>2786</v>
      </c>
      <c r="AK289" t="s">
        <v>2787</v>
      </c>
      <c r="AL289" t="s">
        <v>3948</v>
      </c>
      <c r="AM289" t="s">
        <v>3949</v>
      </c>
      <c r="AN289" t="s">
        <v>3950</v>
      </c>
      <c r="AO289" t="s">
        <v>3951</v>
      </c>
      <c r="AP289" t="s">
        <v>2791</v>
      </c>
      <c r="AQ289" t="s">
        <v>3952</v>
      </c>
      <c r="AR289" t="s">
        <v>3966</v>
      </c>
      <c r="AS289">
        <v>1082952877</v>
      </c>
      <c r="AT289" t="s">
        <v>3953</v>
      </c>
      <c r="AU289" t="s">
        <v>10</v>
      </c>
      <c r="AV289" t="s">
        <v>3954</v>
      </c>
      <c r="AW289" t="s">
        <v>3955</v>
      </c>
      <c r="AX289" t="s">
        <v>3956</v>
      </c>
      <c r="BA289" t="s">
        <v>2525</v>
      </c>
      <c r="BB289" t="s">
        <v>272</v>
      </c>
      <c r="BC289" t="s">
        <v>188</v>
      </c>
      <c r="BD289">
        <v>518031</v>
      </c>
      <c r="BE289" t="s">
        <v>3957</v>
      </c>
      <c r="BF289" t="s">
        <v>3958</v>
      </c>
      <c r="BG289" t="b">
        <v>0</v>
      </c>
      <c r="BH289" s="6" t="s">
        <v>3959</v>
      </c>
      <c r="BI289" t="s">
        <v>3960</v>
      </c>
      <c r="BJ289" t="s">
        <v>668</v>
      </c>
      <c r="BK289" t="s">
        <v>162</v>
      </c>
      <c r="BL289" t="s">
        <v>161</v>
      </c>
      <c r="BM289" s="2"/>
      <c r="BN289" t="s">
        <v>3967</v>
      </c>
      <c r="BO289" t="s">
        <v>89</v>
      </c>
      <c r="BP289">
        <v>85312000</v>
      </c>
      <c r="BR289" t="s">
        <v>189</v>
      </c>
      <c r="BS289" t="s">
        <v>103</v>
      </c>
      <c r="BU289">
        <v>0</v>
      </c>
      <c r="BV289">
        <v>124.16</v>
      </c>
      <c r="BW289">
        <v>0</v>
      </c>
      <c r="BX289">
        <v>0</v>
      </c>
      <c r="BY289">
        <v>0</v>
      </c>
      <c r="BZ289">
        <v>0</v>
      </c>
      <c r="CA289">
        <v>124.16</v>
      </c>
      <c r="CF289" s="2"/>
      <c r="CH289" s="2"/>
      <c r="CJ289">
        <v>5.3142019950163501E+17</v>
      </c>
      <c r="CK289" t="s">
        <v>1509</v>
      </c>
      <c r="CL289">
        <v>43779.375821759262</v>
      </c>
      <c r="CO289" t="s">
        <v>11</v>
      </c>
      <c r="CP289" t="s">
        <v>3660</v>
      </c>
      <c r="CQ289" t="s">
        <v>11</v>
      </c>
      <c r="CR289">
        <v>955.07</v>
      </c>
      <c r="CV289" t="s">
        <v>525</v>
      </c>
      <c r="CW289" t="s">
        <v>12</v>
      </c>
      <c r="CX289" t="s">
        <v>12</v>
      </c>
      <c r="CY289" t="s">
        <v>12</v>
      </c>
      <c r="DA289" t="s">
        <v>104</v>
      </c>
      <c r="DD289" t="s">
        <v>93</v>
      </c>
      <c r="DQ289" t="s">
        <v>94</v>
      </c>
      <c r="DR289" t="s">
        <v>94</v>
      </c>
      <c r="DS289" t="s">
        <v>94</v>
      </c>
      <c r="DT289" t="s">
        <v>94</v>
      </c>
      <c r="DU289" t="s">
        <v>94</v>
      </c>
      <c r="DV289" t="s">
        <v>94</v>
      </c>
      <c r="DW289" t="s">
        <v>94</v>
      </c>
      <c r="DX289" s="2" t="s">
        <v>94</v>
      </c>
      <c r="DY289" t="s">
        <v>94</v>
      </c>
      <c r="DZ289" t="s">
        <v>94</v>
      </c>
      <c r="EA289" t="s">
        <v>94</v>
      </c>
      <c r="EB289" t="s">
        <v>94</v>
      </c>
      <c r="EC289" t="s">
        <v>94</v>
      </c>
      <c r="ED289" t="s">
        <v>94</v>
      </c>
      <c r="EE289" t="s">
        <v>89</v>
      </c>
      <c r="EF289" t="s">
        <v>425</v>
      </c>
      <c r="EG289" t="s">
        <v>105</v>
      </c>
      <c r="EJ289" t="s">
        <v>166</v>
      </c>
      <c r="EK289" t="b">
        <v>0</v>
      </c>
      <c r="EL289" t="b">
        <v>0</v>
      </c>
      <c r="EM289" t="b">
        <v>0</v>
      </c>
    </row>
    <row r="290" spans="3:143">
      <c r="C290" s="4">
        <v>3</v>
      </c>
      <c r="D290" s="5"/>
      <c r="E290" s="5">
        <v>1</v>
      </c>
      <c r="F290" s="4">
        <v>2.1</v>
      </c>
      <c r="G290" s="5" t="s">
        <v>3963</v>
      </c>
      <c r="H290" s="4" t="s">
        <v>2849</v>
      </c>
      <c r="I290" s="4" t="s">
        <v>817</v>
      </c>
      <c r="J290" s="4"/>
      <c r="K290" s="22" t="s">
        <v>3899</v>
      </c>
      <c r="L290" s="84" t="s">
        <v>3806</v>
      </c>
      <c r="M290" s="23" t="s">
        <v>817</v>
      </c>
      <c r="N290" s="23">
        <v>43779</v>
      </c>
      <c r="O290" s="24" t="s">
        <v>102</v>
      </c>
      <c r="P290" s="24" t="s">
        <v>179</v>
      </c>
      <c r="Q290" s="24">
        <v>1</v>
      </c>
      <c r="R290" s="24">
        <v>2.1</v>
      </c>
      <c r="S290" t="s">
        <v>372</v>
      </c>
      <c r="T290">
        <v>22</v>
      </c>
      <c r="U290" s="2" t="s">
        <v>163</v>
      </c>
      <c r="V290">
        <v>43779.844212962962</v>
      </c>
      <c r="W290" s="2" t="s">
        <v>444</v>
      </c>
      <c r="X290">
        <v>43781.60050925926</v>
      </c>
      <c r="AB290" t="s">
        <v>9</v>
      </c>
      <c r="AC290" t="s">
        <v>3900</v>
      </c>
      <c r="AD290" t="s">
        <v>191</v>
      </c>
      <c r="AE290" t="s">
        <v>3968</v>
      </c>
      <c r="AF290" t="s">
        <v>3968</v>
      </c>
      <c r="AG290" t="s">
        <v>183</v>
      </c>
      <c r="AH290" t="s">
        <v>3901</v>
      </c>
      <c r="AI290" t="s">
        <v>3901</v>
      </c>
      <c r="AJ290" t="s">
        <v>184</v>
      </c>
      <c r="AK290" t="s">
        <v>185</v>
      </c>
      <c r="AL290" t="s">
        <v>3902</v>
      </c>
      <c r="AM290" t="s">
        <v>3903</v>
      </c>
      <c r="AO290" t="s">
        <v>3904</v>
      </c>
      <c r="AP290" t="s">
        <v>3905</v>
      </c>
      <c r="AQ290" t="s">
        <v>3906</v>
      </c>
      <c r="AR290" t="s">
        <v>3907</v>
      </c>
      <c r="AS290">
        <v>1225667979</v>
      </c>
      <c r="AT290" t="s">
        <v>3908</v>
      </c>
      <c r="AU290" t="s">
        <v>10</v>
      </c>
      <c r="AV290" t="s">
        <v>3909</v>
      </c>
      <c r="AW290" t="s">
        <v>3909</v>
      </c>
      <c r="AX290" t="s">
        <v>3910</v>
      </c>
      <c r="AY290" t="s">
        <v>3911</v>
      </c>
      <c r="AZ290" t="s">
        <v>3912</v>
      </c>
      <c r="BA290" t="s">
        <v>371</v>
      </c>
      <c r="BB290" t="s">
        <v>192</v>
      </c>
      <c r="BC290" t="s">
        <v>188</v>
      </c>
      <c r="BD290">
        <v>523740</v>
      </c>
      <c r="BE290" t="s">
        <v>3969</v>
      </c>
      <c r="BF290" t="s">
        <v>3913</v>
      </c>
      <c r="BG290" t="b">
        <v>0</v>
      </c>
      <c r="BH290" s="6" t="s">
        <v>3914</v>
      </c>
      <c r="BI290" t="s">
        <v>3915</v>
      </c>
      <c r="BJ290" t="s">
        <v>668</v>
      </c>
      <c r="BK290" t="s">
        <v>162</v>
      </c>
      <c r="BL290" t="s">
        <v>161</v>
      </c>
      <c r="BM290" s="2"/>
      <c r="BO290" t="s">
        <v>89</v>
      </c>
      <c r="BP290">
        <v>4202910090</v>
      </c>
      <c r="BR290" t="s">
        <v>189</v>
      </c>
      <c r="BS290" t="s">
        <v>103</v>
      </c>
      <c r="BU290">
        <v>0</v>
      </c>
      <c r="BV290">
        <v>0</v>
      </c>
      <c r="BW290">
        <v>0</v>
      </c>
      <c r="BX290">
        <v>0</v>
      </c>
      <c r="BY290">
        <v>0</v>
      </c>
      <c r="BZ290">
        <v>0</v>
      </c>
      <c r="CA290">
        <v>0</v>
      </c>
      <c r="CF290" s="2"/>
      <c r="CH290" s="2"/>
      <c r="CJ290">
        <v>5.3142019950163501E+17</v>
      </c>
      <c r="CK290" t="s">
        <v>1509</v>
      </c>
      <c r="CL290">
        <v>43779.376099537039</v>
      </c>
      <c r="CO290" t="s">
        <v>11</v>
      </c>
      <c r="CP290" t="s">
        <v>3932</v>
      </c>
      <c r="CQ290" t="s">
        <v>11</v>
      </c>
      <c r="CR290">
        <v>198.55</v>
      </c>
      <c r="CV290" t="s">
        <v>190</v>
      </c>
      <c r="CW290" t="s">
        <v>12</v>
      </c>
      <c r="CX290" t="s">
        <v>12</v>
      </c>
      <c r="CY290" t="s">
        <v>12</v>
      </c>
      <c r="DA290" t="s">
        <v>104</v>
      </c>
      <c r="DD290" t="s">
        <v>93</v>
      </c>
      <c r="DQ290" t="s">
        <v>94</v>
      </c>
      <c r="DR290" t="s">
        <v>94</v>
      </c>
      <c r="DS290" t="s">
        <v>94</v>
      </c>
      <c r="DT290" t="s">
        <v>94</v>
      </c>
      <c r="DU290" t="s">
        <v>94</v>
      </c>
      <c r="DV290" t="s">
        <v>94</v>
      </c>
      <c r="DW290" t="s">
        <v>94</v>
      </c>
      <c r="DX290" s="2" t="s">
        <v>94</v>
      </c>
      <c r="DY290" t="s">
        <v>94</v>
      </c>
      <c r="DZ290" t="s">
        <v>94</v>
      </c>
      <c r="EA290" t="s">
        <v>94</v>
      </c>
      <c r="EB290" t="s">
        <v>94</v>
      </c>
      <c r="EC290" t="s">
        <v>94</v>
      </c>
      <c r="ED290" t="s">
        <v>94</v>
      </c>
      <c r="EE290" t="s">
        <v>89</v>
      </c>
      <c r="EF290" t="s">
        <v>425</v>
      </c>
      <c r="EG290" t="s">
        <v>105</v>
      </c>
      <c r="EJ290" t="s">
        <v>166</v>
      </c>
      <c r="EK290" t="b">
        <v>0</v>
      </c>
      <c r="EL290" t="b">
        <v>0</v>
      </c>
      <c r="EM290" t="b">
        <v>0</v>
      </c>
    </row>
    <row r="291" spans="3:143">
      <c r="C291" s="4">
        <v>3</v>
      </c>
      <c r="D291" s="5"/>
      <c r="E291" s="4">
        <v>1</v>
      </c>
      <c r="F291" s="4">
        <v>0.64</v>
      </c>
      <c r="G291" s="5" t="s">
        <v>3963</v>
      </c>
      <c r="H291" s="4" t="s">
        <v>2385</v>
      </c>
      <c r="I291" s="4" t="s">
        <v>817</v>
      </c>
      <c r="J291" s="4"/>
      <c r="K291" s="22" t="s">
        <v>3889</v>
      </c>
      <c r="L291" s="84" t="s">
        <v>3806</v>
      </c>
      <c r="M291" s="23" t="s">
        <v>817</v>
      </c>
      <c r="N291" s="23">
        <v>43779</v>
      </c>
      <c r="O291" s="24" t="s">
        <v>102</v>
      </c>
      <c r="P291" s="24" t="s">
        <v>179</v>
      </c>
      <c r="Q291" s="24">
        <v>1</v>
      </c>
      <c r="R291" s="24">
        <v>0.64</v>
      </c>
      <c r="S291" t="s">
        <v>319</v>
      </c>
      <c r="T291">
        <v>23</v>
      </c>
      <c r="U291" s="2" t="s">
        <v>163</v>
      </c>
      <c r="V291">
        <v>43779.844155092593</v>
      </c>
      <c r="W291" s="2" t="s">
        <v>444</v>
      </c>
      <c r="X291">
        <v>43781.60050925926</v>
      </c>
      <c r="AB291" t="s">
        <v>9</v>
      </c>
      <c r="AC291" t="s">
        <v>2131</v>
      </c>
      <c r="AD291" t="s">
        <v>191</v>
      </c>
      <c r="AE291" t="s">
        <v>3970</v>
      </c>
      <c r="AF291" t="s">
        <v>3970</v>
      </c>
      <c r="AG291" t="s">
        <v>183</v>
      </c>
      <c r="AH291" t="s">
        <v>3890</v>
      </c>
      <c r="AI291" t="s">
        <v>3890</v>
      </c>
      <c r="AJ291" t="s">
        <v>1257</v>
      </c>
      <c r="AK291" t="s">
        <v>1258</v>
      </c>
      <c r="AL291" t="s">
        <v>3891</v>
      </c>
      <c r="AO291" t="s">
        <v>3892</v>
      </c>
      <c r="AP291" t="s">
        <v>2135</v>
      </c>
      <c r="AR291" t="s">
        <v>3933</v>
      </c>
      <c r="AS291">
        <v>33939050</v>
      </c>
      <c r="AT291" t="s">
        <v>3893</v>
      </c>
      <c r="AU291" t="s">
        <v>10</v>
      </c>
      <c r="AV291" t="s">
        <v>3894</v>
      </c>
      <c r="AW291" t="s">
        <v>3894</v>
      </c>
      <c r="AX291" t="s">
        <v>3895</v>
      </c>
      <c r="AY291" t="s">
        <v>3896</v>
      </c>
      <c r="BA291" t="s">
        <v>726</v>
      </c>
      <c r="BB291" t="s">
        <v>192</v>
      </c>
      <c r="BC291" t="s">
        <v>188</v>
      </c>
      <c r="BD291">
        <v>523622</v>
      </c>
      <c r="BE291" t="s">
        <v>3971</v>
      </c>
      <c r="BF291" t="s">
        <v>3897</v>
      </c>
      <c r="BG291" t="b">
        <v>0</v>
      </c>
      <c r="BH291" s="6" t="s">
        <v>3898</v>
      </c>
      <c r="BI291" t="s">
        <v>2358</v>
      </c>
      <c r="BJ291" t="s">
        <v>668</v>
      </c>
      <c r="BK291" t="s">
        <v>162</v>
      </c>
      <c r="BL291" t="s">
        <v>161</v>
      </c>
      <c r="BM291" s="2"/>
      <c r="BO291" t="s">
        <v>89</v>
      </c>
      <c r="BP291">
        <v>65050099</v>
      </c>
      <c r="BR291" t="s">
        <v>189</v>
      </c>
      <c r="BS291" t="s">
        <v>103</v>
      </c>
      <c r="BU291">
        <v>0</v>
      </c>
      <c r="BV291">
        <v>0</v>
      </c>
      <c r="BW291">
        <v>0</v>
      </c>
      <c r="BX291">
        <v>0</v>
      </c>
      <c r="BY291">
        <v>0</v>
      </c>
      <c r="BZ291">
        <v>0</v>
      </c>
      <c r="CA291">
        <v>0</v>
      </c>
      <c r="CF291" s="2"/>
      <c r="CH291" s="2"/>
      <c r="CJ291">
        <v>5.3142019950163501E+17</v>
      </c>
      <c r="CK291" t="s">
        <v>1509</v>
      </c>
      <c r="CL291">
        <v>43779.376122685186</v>
      </c>
      <c r="CO291" t="s">
        <v>11</v>
      </c>
      <c r="CP291" t="s">
        <v>3934</v>
      </c>
      <c r="CQ291" t="s">
        <v>11</v>
      </c>
      <c r="CR291">
        <v>162.72</v>
      </c>
      <c r="CV291" t="s">
        <v>190</v>
      </c>
      <c r="CW291" t="s">
        <v>12</v>
      </c>
      <c r="CX291" t="s">
        <v>12</v>
      </c>
      <c r="CY291" t="s">
        <v>12</v>
      </c>
      <c r="DA291" t="s">
        <v>104</v>
      </c>
      <c r="DD291" t="s">
        <v>93</v>
      </c>
      <c r="DQ291" t="s">
        <v>94</v>
      </c>
      <c r="DR291" t="s">
        <v>94</v>
      </c>
      <c r="DS291" t="s">
        <v>94</v>
      </c>
      <c r="DT291" t="s">
        <v>94</v>
      </c>
      <c r="DU291" t="s">
        <v>94</v>
      </c>
      <c r="DV291" t="s">
        <v>94</v>
      </c>
      <c r="DW291" t="s">
        <v>94</v>
      </c>
      <c r="DX291" s="2" t="s">
        <v>94</v>
      </c>
      <c r="DY291" t="s">
        <v>94</v>
      </c>
      <c r="DZ291" t="s">
        <v>94</v>
      </c>
      <c r="EA291" t="s">
        <v>94</v>
      </c>
      <c r="EB291" t="s">
        <v>94</v>
      </c>
      <c r="EC291" t="s">
        <v>94</v>
      </c>
      <c r="ED291" t="s">
        <v>94</v>
      </c>
      <c r="EE291" t="s">
        <v>89</v>
      </c>
      <c r="EF291" t="s">
        <v>425</v>
      </c>
      <c r="EG291" t="s">
        <v>105</v>
      </c>
      <c r="EJ291" t="s">
        <v>166</v>
      </c>
      <c r="EK291" t="b">
        <v>0</v>
      </c>
      <c r="EL291" t="b">
        <v>0</v>
      </c>
      <c r="EM291" t="b">
        <v>0</v>
      </c>
    </row>
    <row r="292" spans="3:143">
      <c r="C292" s="4">
        <v>3</v>
      </c>
      <c r="D292" s="5"/>
      <c r="E292" s="4">
        <v>1</v>
      </c>
      <c r="F292" s="4">
        <v>2.09</v>
      </c>
      <c r="G292" s="5" t="s">
        <v>3963</v>
      </c>
      <c r="H292" s="5" t="s">
        <v>3845</v>
      </c>
      <c r="I292" s="4" t="s">
        <v>817</v>
      </c>
      <c r="J292" s="4"/>
      <c r="K292" s="22" t="s">
        <v>3794</v>
      </c>
      <c r="L292" s="84" t="s">
        <v>3806</v>
      </c>
      <c r="M292" s="23" t="s">
        <v>817</v>
      </c>
      <c r="N292" s="23">
        <v>43779</v>
      </c>
      <c r="O292" s="24" t="s">
        <v>102</v>
      </c>
      <c r="P292" s="24" t="s">
        <v>181</v>
      </c>
      <c r="Q292" s="24">
        <v>1</v>
      </c>
      <c r="R292" s="24">
        <v>2.09</v>
      </c>
      <c r="S292" t="s">
        <v>319</v>
      </c>
      <c r="T292">
        <v>156.22</v>
      </c>
      <c r="U292" t="s">
        <v>163</v>
      </c>
      <c r="V292">
        <v>43779.844143518516</v>
      </c>
      <c r="W292" t="s">
        <v>444</v>
      </c>
      <c r="X292">
        <v>43781.600995370369</v>
      </c>
      <c r="AB292" t="s">
        <v>9</v>
      </c>
      <c r="AC292" t="s">
        <v>3795</v>
      </c>
      <c r="AD292" t="s">
        <v>191</v>
      </c>
      <c r="AE292" t="s">
        <v>183</v>
      </c>
      <c r="AF292" t="s">
        <v>183</v>
      </c>
      <c r="AG292" t="s">
        <v>3839</v>
      </c>
      <c r="AH292" t="s">
        <v>3796</v>
      </c>
      <c r="AI292" t="s">
        <v>3796</v>
      </c>
      <c r="AJ292" t="s">
        <v>795</v>
      </c>
      <c r="AK292" t="s">
        <v>796</v>
      </c>
      <c r="AL292" t="s">
        <v>3797</v>
      </c>
      <c r="AO292" t="s">
        <v>3798</v>
      </c>
      <c r="AP292" t="s">
        <v>2234</v>
      </c>
      <c r="AQ292" t="s">
        <v>3798</v>
      </c>
      <c r="AR292" t="s">
        <v>3972</v>
      </c>
      <c r="AS292">
        <v>637172838</v>
      </c>
      <c r="AT292" t="s">
        <v>3796</v>
      </c>
      <c r="AU292" t="s">
        <v>10</v>
      </c>
      <c r="AV292" t="s">
        <v>3807</v>
      </c>
      <c r="AW292" t="s">
        <v>3799</v>
      </c>
      <c r="AX292" t="s">
        <v>3800</v>
      </c>
      <c r="AY292" t="s">
        <v>166</v>
      </c>
      <c r="BA292" t="s">
        <v>371</v>
      </c>
      <c r="BB292" t="s">
        <v>192</v>
      </c>
      <c r="BC292" t="s">
        <v>188</v>
      </c>
      <c r="BD292">
        <v>523750</v>
      </c>
      <c r="BE292" t="s">
        <v>3801</v>
      </c>
      <c r="BF292" t="s">
        <v>3802</v>
      </c>
      <c r="BG292" t="b">
        <v>0</v>
      </c>
      <c r="BH292" s="6" t="s">
        <v>3803</v>
      </c>
      <c r="BI292" t="s">
        <v>3808</v>
      </c>
      <c r="BJ292" t="s">
        <v>668</v>
      </c>
      <c r="BK292" t="s">
        <v>162</v>
      </c>
      <c r="BL292" t="s">
        <v>161</v>
      </c>
      <c r="BM292" s="2"/>
      <c r="BN292" t="s">
        <v>3805</v>
      </c>
      <c r="BO292" t="s">
        <v>89</v>
      </c>
      <c r="BP292">
        <v>61033200</v>
      </c>
      <c r="BR292" t="s">
        <v>180</v>
      </c>
      <c r="BS292" t="s">
        <v>103</v>
      </c>
      <c r="BU292">
        <v>82.06</v>
      </c>
      <c r="BV292">
        <v>154.33000000000001</v>
      </c>
      <c r="BW292">
        <v>0</v>
      </c>
      <c r="BX292">
        <v>0</v>
      </c>
      <c r="BY292">
        <v>0</v>
      </c>
      <c r="BZ292">
        <v>0</v>
      </c>
      <c r="CA292">
        <v>236.39</v>
      </c>
      <c r="CJ292">
        <v>5.3142019950163501E+17</v>
      </c>
      <c r="CK292" t="s">
        <v>500</v>
      </c>
      <c r="CL292">
        <v>43779.429016203707</v>
      </c>
      <c r="CO292" t="s">
        <v>11</v>
      </c>
      <c r="CP292" t="s">
        <v>3846</v>
      </c>
      <c r="CQ292" t="s">
        <v>11</v>
      </c>
      <c r="CR292">
        <v>1105.19</v>
      </c>
      <c r="CV292" t="s">
        <v>525</v>
      </c>
      <c r="CW292" t="s">
        <v>12</v>
      </c>
      <c r="CX292" t="s">
        <v>12</v>
      </c>
      <c r="CY292" t="s">
        <v>12</v>
      </c>
      <c r="DA292" t="s">
        <v>104</v>
      </c>
      <c r="DD292" t="s">
        <v>93</v>
      </c>
      <c r="DQ292" t="s">
        <v>94</v>
      </c>
      <c r="DR292" t="s">
        <v>94</v>
      </c>
      <c r="DS292" t="s">
        <v>94</v>
      </c>
      <c r="DT292" t="s">
        <v>94</v>
      </c>
      <c r="DU292" t="s">
        <v>94</v>
      </c>
      <c r="DV292" t="s">
        <v>94</v>
      </c>
      <c r="DW292" t="s">
        <v>94</v>
      </c>
      <c r="DX292" s="2" t="s">
        <v>94</v>
      </c>
      <c r="DY292" t="s">
        <v>94</v>
      </c>
      <c r="DZ292" t="s">
        <v>94</v>
      </c>
      <c r="EA292" t="s">
        <v>94</v>
      </c>
      <c r="EB292" t="s">
        <v>94</v>
      </c>
      <c r="EC292" t="s">
        <v>94</v>
      </c>
      <c r="ED292" t="s">
        <v>94</v>
      </c>
      <c r="EE292" t="s">
        <v>89</v>
      </c>
      <c r="EF292" t="s">
        <v>94</v>
      </c>
      <c r="EG292" t="s">
        <v>543</v>
      </c>
      <c r="EJ292" t="s">
        <v>166</v>
      </c>
      <c r="EK292" t="b">
        <v>0</v>
      </c>
      <c r="EL292" t="b">
        <v>0</v>
      </c>
      <c r="EM292" t="b">
        <v>0</v>
      </c>
    </row>
    <row r="293" spans="3:143" ht="15">
      <c r="C293" s="82" t="s">
        <v>3973</v>
      </c>
      <c r="D293" s="5"/>
      <c r="E293" s="4">
        <v>1</v>
      </c>
      <c r="F293" s="5">
        <v>0.3</v>
      </c>
      <c r="G293" s="5" t="s">
        <v>3974</v>
      </c>
      <c r="H293" s="4" t="s">
        <v>3369</v>
      </c>
      <c r="I293" s="81" t="s">
        <v>920</v>
      </c>
      <c r="J293" s="21"/>
      <c r="K293" s="22" t="s">
        <v>3876</v>
      </c>
      <c r="L293" s="84" t="s">
        <v>3266</v>
      </c>
      <c r="M293" s="23" t="s">
        <v>920</v>
      </c>
      <c r="N293" s="23">
        <v>43771</v>
      </c>
      <c r="O293" s="24" t="s">
        <v>102</v>
      </c>
      <c r="P293" s="24" t="s">
        <v>181</v>
      </c>
      <c r="Q293" s="24">
        <v>1</v>
      </c>
      <c r="R293" s="24">
        <v>0.3</v>
      </c>
      <c r="S293" t="s">
        <v>528</v>
      </c>
      <c r="T293">
        <v>100</v>
      </c>
      <c r="U293" s="2" t="s">
        <v>163</v>
      </c>
      <c r="V293">
        <v>43771.862349537034</v>
      </c>
      <c r="W293" s="2" t="s">
        <v>444</v>
      </c>
      <c r="X293">
        <v>43771.870625000003</v>
      </c>
      <c r="AB293" t="s">
        <v>9</v>
      </c>
      <c r="AC293" t="s">
        <v>3877</v>
      </c>
      <c r="AD293" t="s">
        <v>191</v>
      </c>
      <c r="AE293">
        <v>8970148</v>
      </c>
      <c r="AF293">
        <v>8970148</v>
      </c>
      <c r="AG293" t="s">
        <v>183</v>
      </c>
      <c r="AH293" t="s">
        <v>3878</v>
      </c>
      <c r="AI293" t="s">
        <v>3878</v>
      </c>
      <c r="AJ293" t="s">
        <v>508</v>
      </c>
      <c r="AK293" t="s">
        <v>509</v>
      </c>
      <c r="AL293" t="s">
        <v>3879</v>
      </c>
      <c r="AO293" t="s">
        <v>3880</v>
      </c>
      <c r="AP293" t="s">
        <v>509</v>
      </c>
      <c r="AR293">
        <v>75002</v>
      </c>
      <c r="AS293">
        <v>-33185093690</v>
      </c>
      <c r="AT293" t="s">
        <v>3881</v>
      </c>
      <c r="AU293" t="s">
        <v>10</v>
      </c>
      <c r="AV293" t="s">
        <v>3882</v>
      </c>
      <c r="AW293" t="s">
        <v>3882</v>
      </c>
      <c r="AX293" t="s">
        <v>3883</v>
      </c>
      <c r="AY293" s="2" t="s">
        <v>3884</v>
      </c>
      <c r="AZ293" t="s">
        <v>3885</v>
      </c>
      <c r="BA293" t="s">
        <v>371</v>
      </c>
      <c r="BB293" t="s">
        <v>192</v>
      </c>
      <c r="BC293" t="s">
        <v>188</v>
      </c>
      <c r="BD293">
        <v>523770</v>
      </c>
      <c r="BE293" t="s">
        <v>3975</v>
      </c>
      <c r="BF293" t="s">
        <v>3886</v>
      </c>
      <c r="BG293" t="b">
        <v>0</v>
      </c>
      <c r="BH293" s="6" t="s">
        <v>3887</v>
      </c>
      <c r="BI293" t="s">
        <v>3888</v>
      </c>
      <c r="BJ293" t="s">
        <v>668</v>
      </c>
      <c r="BK293" t="s">
        <v>162</v>
      </c>
      <c r="BL293" t="s">
        <v>161</v>
      </c>
      <c r="BM293" s="2"/>
      <c r="BO293" t="s">
        <v>89</v>
      </c>
      <c r="BP293">
        <v>5208490090</v>
      </c>
      <c r="BR293" t="s">
        <v>180</v>
      </c>
      <c r="BS293" t="s">
        <v>103</v>
      </c>
      <c r="BU293">
        <v>62.44</v>
      </c>
      <c r="BV293">
        <v>109.58</v>
      </c>
      <c r="BW293">
        <v>0</v>
      </c>
      <c r="BX293">
        <v>0</v>
      </c>
      <c r="BY293">
        <v>0</v>
      </c>
      <c r="BZ293">
        <v>0</v>
      </c>
      <c r="CA293">
        <v>172.02</v>
      </c>
      <c r="CF293" s="2"/>
      <c r="CH293" s="2"/>
      <c r="CJ293">
        <v>5.3142019950159098E+17</v>
      </c>
      <c r="CK293" t="s">
        <v>2261</v>
      </c>
      <c r="CL293">
        <v>43771.37777777778</v>
      </c>
      <c r="CO293" t="s">
        <v>11</v>
      </c>
      <c r="CP293">
        <v>780.52</v>
      </c>
      <c r="CQ293" t="s">
        <v>11</v>
      </c>
      <c r="CR293">
        <v>780.52</v>
      </c>
      <c r="CV293" t="s">
        <v>190</v>
      </c>
      <c r="CW293" t="s">
        <v>12</v>
      </c>
      <c r="CX293" t="s">
        <v>12</v>
      </c>
      <c r="CY293" t="s">
        <v>12</v>
      </c>
      <c r="DA293" t="s">
        <v>104</v>
      </c>
      <c r="DD293" t="s">
        <v>93</v>
      </c>
      <c r="DQ293" t="s">
        <v>94</v>
      </c>
      <c r="DR293" t="s">
        <v>94</v>
      </c>
      <c r="DS293" t="s">
        <v>94</v>
      </c>
      <c r="DT293" t="s">
        <v>94</v>
      </c>
      <c r="DU293" t="s">
        <v>94</v>
      </c>
      <c r="DV293" t="s">
        <v>94</v>
      </c>
      <c r="DW293" t="s">
        <v>94</v>
      </c>
      <c r="DX293" s="2" t="s">
        <v>94</v>
      </c>
      <c r="DY293" t="s">
        <v>94</v>
      </c>
      <c r="DZ293" t="s">
        <v>94</v>
      </c>
      <c r="EA293" t="s">
        <v>94</v>
      </c>
      <c r="EB293" t="s">
        <v>94</v>
      </c>
      <c r="EC293" t="s">
        <v>94</v>
      </c>
      <c r="ED293" t="s">
        <v>94</v>
      </c>
      <c r="EE293" t="s">
        <v>89</v>
      </c>
      <c r="EF293" t="s">
        <v>425</v>
      </c>
      <c r="EG293" t="s">
        <v>105</v>
      </c>
      <c r="EJ293" t="s">
        <v>166</v>
      </c>
      <c r="EK293" t="b">
        <v>0</v>
      </c>
      <c r="EL293" t="b">
        <v>0</v>
      </c>
      <c r="EM293" t="b">
        <v>0</v>
      </c>
    </row>
    <row r="294" spans="3:143">
      <c r="C294" s="4" t="s">
        <v>3973</v>
      </c>
      <c r="D294" s="4"/>
      <c r="E294" s="4">
        <v>1</v>
      </c>
      <c r="F294" s="4">
        <v>2.09</v>
      </c>
      <c r="G294" s="5" t="s">
        <v>3974</v>
      </c>
      <c r="H294" s="4" t="s">
        <v>3838</v>
      </c>
      <c r="I294" s="4" t="s">
        <v>920</v>
      </c>
      <c r="J294" s="5"/>
      <c r="K294" s="22" t="s">
        <v>3794</v>
      </c>
      <c r="L294" s="84" t="s">
        <v>3266</v>
      </c>
      <c r="M294" s="23" t="s">
        <v>920</v>
      </c>
      <c r="N294" s="23">
        <v>43771</v>
      </c>
      <c r="O294" s="24" t="s">
        <v>102</v>
      </c>
      <c r="P294" s="24" t="s">
        <v>179</v>
      </c>
      <c r="Q294" s="24">
        <v>1</v>
      </c>
      <c r="R294" s="24">
        <v>2.09</v>
      </c>
      <c r="S294" t="s">
        <v>319</v>
      </c>
      <c r="T294">
        <v>40</v>
      </c>
      <c r="U294" s="2" t="s">
        <v>163</v>
      </c>
      <c r="V294">
        <v>43771.862268518518</v>
      </c>
      <c r="W294" s="2" t="s">
        <v>444</v>
      </c>
      <c r="X294">
        <v>43774.471585648149</v>
      </c>
      <c r="AB294" t="s">
        <v>9</v>
      </c>
      <c r="AC294" t="s">
        <v>3795</v>
      </c>
      <c r="AD294" t="s">
        <v>191</v>
      </c>
      <c r="AG294" t="s">
        <v>3839</v>
      </c>
      <c r="AH294" t="s">
        <v>3796</v>
      </c>
      <c r="AI294" t="s">
        <v>3796</v>
      </c>
      <c r="AJ294" t="s">
        <v>795</v>
      </c>
      <c r="AK294" t="s">
        <v>796</v>
      </c>
      <c r="AL294" t="s">
        <v>3797</v>
      </c>
      <c r="AO294" t="s">
        <v>3798</v>
      </c>
      <c r="AP294" t="s">
        <v>2234</v>
      </c>
      <c r="AQ294" t="s">
        <v>3798</v>
      </c>
      <c r="AR294">
        <v>17005</v>
      </c>
      <c r="AS294">
        <v>637172838</v>
      </c>
      <c r="AT294" t="s">
        <v>3796</v>
      </c>
      <c r="AU294" t="s">
        <v>10</v>
      </c>
      <c r="AV294" t="s">
        <v>3799</v>
      </c>
      <c r="AW294" t="s">
        <v>3799</v>
      </c>
      <c r="AX294" t="s">
        <v>3800</v>
      </c>
      <c r="AY294" t="s">
        <v>166</v>
      </c>
      <c r="BA294" t="s">
        <v>371</v>
      </c>
      <c r="BB294" t="s">
        <v>192</v>
      </c>
      <c r="BC294" t="s">
        <v>188</v>
      </c>
      <c r="BD294">
        <v>523750</v>
      </c>
      <c r="BE294" t="s">
        <v>3801</v>
      </c>
      <c r="BF294" t="s">
        <v>3802</v>
      </c>
      <c r="BG294" t="b">
        <v>0</v>
      </c>
      <c r="BH294" s="6" t="s">
        <v>3803</v>
      </c>
      <c r="BI294" t="s">
        <v>3804</v>
      </c>
      <c r="BJ294" t="s">
        <v>668</v>
      </c>
      <c r="BK294" t="s">
        <v>162</v>
      </c>
      <c r="BL294" t="s">
        <v>161</v>
      </c>
      <c r="BM294" s="2"/>
      <c r="BN294" t="s">
        <v>3805</v>
      </c>
      <c r="BO294" t="s">
        <v>89</v>
      </c>
      <c r="BP294">
        <v>61033900</v>
      </c>
      <c r="BR294" t="s">
        <v>180</v>
      </c>
      <c r="BS294" t="s">
        <v>103</v>
      </c>
      <c r="BU294">
        <v>0</v>
      </c>
      <c r="BV294">
        <v>0</v>
      </c>
      <c r="BW294">
        <v>0</v>
      </c>
      <c r="BX294">
        <v>0</v>
      </c>
      <c r="BY294">
        <v>0</v>
      </c>
      <c r="BZ294">
        <v>0</v>
      </c>
      <c r="CA294">
        <v>0</v>
      </c>
      <c r="CF294" s="2"/>
      <c r="CH294" s="2"/>
      <c r="CJ294">
        <v>5.3142019950159098E+17</v>
      </c>
      <c r="CK294" t="s">
        <v>2261</v>
      </c>
      <c r="CL294">
        <v>43771.378541666665</v>
      </c>
      <c r="CO294" t="s">
        <v>11</v>
      </c>
      <c r="CP294">
        <v>282.98</v>
      </c>
      <c r="CQ294" t="s">
        <v>11</v>
      </c>
      <c r="CR294">
        <v>282.98</v>
      </c>
      <c r="CV294" t="s">
        <v>525</v>
      </c>
      <c r="CW294" t="s">
        <v>12</v>
      </c>
      <c r="CX294" t="s">
        <v>12</v>
      </c>
      <c r="CY294" t="s">
        <v>12</v>
      </c>
      <c r="DA294" t="s">
        <v>104</v>
      </c>
      <c r="DD294" t="s">
        <v>93</v>
      </c>
      <c r="DQ294" t="s">
        <v>94</v>
      </c>
      <c r="DR294" t="s">
        <v>94</v>
      </c>
      <c r="DS294" t="s">
        <v>94</v>
      </c>
      <c r="DT294" t="s">
        <v>94</v>
      </c>
      <c r="DU294" t="s">
        <v>94</v>
      </c>
      <c r="DV294" t="s">
        <v>94</v>
      </c>
      <c r="DW294" t="s">
        <v>94</v>
      </c>
      <c r="DX294" s="2" t="s">
        <v>94</v>
      </c>
      <c r="DY294" t="s">
        <v>94</v>
      </c>
      <c r="DZ294" t="s">
        <v>94</v>
      </c>
      <c r="EA294" t="s">
        <v>94</v>
      </c>
      <c r="EB294" t="s">
        <v>94</v>
      </c>
      <c r="EC294" t="s">
        <v>94</v>
      </c>
      <c r="ED294" t="s">
        <v>94</v>
      </c>
      <c r="EE294" t="s">
        <v>89</v>
      </c>
      <c r="EF294" t="s">
        <v>425</v>
      </c>
      <c r="EG294" t="s">
        <v>105</v>
      </c>
      <c r="EJ294" t="s">
        <v>166</v>
      </c>
      <c r="EK294" t="b">
        <v>0</v>
      </c>
      <c r="EL294" t="b">
        <v>0</v>
      </c>
      <c r="EM294" t="b">
        <v>0</v>
      </c>
    </row>
    <row r="295" spans="3:143" ht="15">
      <c r="C295" s="82" t="s">
        <v>205</v>
      </c>
      <c r="D295" s="5"/>
      <c r="E295" s="4">
        <v>1</v>
      </c>
      <c r="F295" s="5">
        <v>4.1500000000000004</v>
      </c>
      <c r="G295" s="5" t="s">
        <v>3976</v>
      </c>
      <c r="H295" s="4" t="s">
        <v>3942</v>
      </c>
      <c r="I295" s="81" t="s">
        <v>920</v>
      </c>
      <c r="J295" s="21"/>
      <c r="K295" s="22" t="s">
        <v>3862</v>
      </c>
      <c r="L295" s="84" t="s">
        <v>3848</v>
      </c>
      <c r="M295" s="23" t="s">
        <v>920</v>
      </c>
      <c r="N295" s="23">
        <v>43776</v>
      </c>
      <c r="O295" s="24" t="s">
        <v>102</v>
      </c>
      <c r="P295" s="24" t="s">
        <v>179</v>
      </c>
      <c r="Q295" s="24">
        <v>1</v>
      </c>
      <c r="R295" s="24">
        <v>4.1500000000000004</v>
      </c>
      <c r="S295" t="s">
        <v>11</v>
      </c>
      <c r="T295">
        <v>250</v>
      </c>
      <c r="U295" s="2" t="s">
        <v>163</v>
      </c>
      <c r="V295">
        <v>43776.872037037036</v>
      </c>
      <c r="W295" s="2" t="s">
        <v>444</v>
      </c>
      <c r="X295">
        <v>43778.687905092593</v>
      </c>
      <c r="AB295" t="s">
        <v>9</v>
      </c>
      <c r="AC295" t="s">
        <v>3863</v>
      </c>
      <c r="AD295" t="s">
        <v>191</v>
      </c>
      <c r="AE295">
        <v>22952</v>
      </c>
      <c r="AF295">
        <v>22952</v>
      </c>
      <c r="AG295" t="s">
        <v>183</v>
      </c>
      <c r="AH295" t="s">
        <v>3864</v>
      </c>
      <c r="AI295" t="s">
        <v>3864</v>
      </c>
      <c r="AJ295" t="s">
        <v>2637</v>
      </c>
      <c r="AK295" t="s">
        <v>2638</v>
      </c>
      <c r="AL295" t="s">
        <v>3865</v>
      </c>
      <c r="AO295" t="s">
        <v>3866</v>
      </c>
      <c r="AP295" t="s">
        <v>3867</v>
      </c>
      <c r="AR295">
        <v>6136</v>
      </c>
      <c r="AS295">
        <v>-7001628</v>
      </c>
      <c r="AT295" t="s">
        <v>3868</v>
      </c>
      <c r="AU295" t="s">
        <v>10</v>
      </c>
      <c r="AV295" t="s">
        <v>3869</v>
      </c>
      <c r="AW295" t="s">
        <v>3869</v>
      </c>
      <c r="AX295" t="s">
        <v>3870</v>
      </c>
      <c r="AY295" s="2" t="s">
        <v>3871</v>
      </c>
      <c r="AZ295" t="s">
        <v>3872</v>
      </c>
      <c r="BA295" t="s">
        <v>726</v>
      </c>
      <c r="BB295" t="s">
        <v>192</v>
      </c>
      <c r="BC295" t="s">
        <v>188</v>
      </c>
      <c r="BD295">
        <v>523757</v>
      </c>
      <c r="BE295" t="s">
        <v>3977</v>
      </c>
      <c r="BF295" t="s">
        <v>3873</v>
      </c>
      <c r="BG295" t="b">
        <v>0</v>
      </c>
      <c r="BH295" s="6" t="s">
        <v>3874</v>
      </c>
      <c r="BI295" t="s">
        <v>3875</v>
      </c>
      <c r="BJ295" t="s">
        <v>668</v>
      </c>
      <c r="BK295" t="s">
        <v>162</v>
      </c>
      <c r="BL295" t="s">
        <v>161</v>
      </c>
      <c r="BM295" s="2"/>
      <c r="BO295" t="s">
        <v>89</v>
      </c>
      <c r="BP295">
        <v>94054090</v>
      </c>
      <c r="BR295" t="s">
        <v>180</v>
      </c>
      <c r="BS295" t="s">
        <v>103</v>
      </c>
      <c r="BU295">
        <v>0</v>
      </c>
      <c r="BV295">
        <v>0</v>
      </c>
      <c r="BW295">
        <v>0</v>
      </c>
      <c r="BX295">
        <v>0</v>
      </c>
      <c r="BY295">
        <v>0</v>
      </c>
      <c r="BZ295">
        <v>0</v>
      </c>
      <c r="CA295">
        <v>0</v>
      </c>
      <c r="CF295" s="2"/>
      <c r="CH295" s="2"/>
      <c r="CJ295">
        <v>5.3142019950161901E+17</v>
      </c>
      <c r="CK295" t="s">
        <v>1849</v>
      </c>
      <c r="CL295">
        <v>43776.395138888889</v>
      </c>
      <c r="CO295" t="s">
        <v>11</v>
      </c>
      <c r="CP295">
        <v>250</v>
      </c>
      <c r="CQ295" t="s">
        <v>11</v>
      </c>
      <c r="CR295">
        <v>250</v>
      </c>
      <c r="CV295" t="s">
        <v>190</v>
      </c>
      <c r="CW295" t="s">
        <v>12</v>
      </c>
      <c r="CX295" t="s">
        <v>12</v>
      </c>
      <c r="CY295" t="s">
        <v>12</v>
      </c>
      <c r="DA295" t="s">
        <v>104</v>
      </c>
      <c r="DD295" t="s">
        <v>93</v>
      </c>
      <c r="DQ295" t="s">
        <v>94</v>
      </c>
      <c r="DR295" t="s">
        <v>94</v>
      </c>
      <c r="DS295" t="s">
        <v>94</v>
      </c>
      <c r="DT295" t="s">
        <v>94</v>
      </c>
      <c r="DU295" t="s">
        <v>94</v>
      </c>
      <c r="DV295" t="s">
        <v>94</v>
      </c>
      <c r="DW295" t="s">
        <v>94</v>
      </c>
      <c r="DX295" s="2" t="s">
        <v>94</v>
      </c>
      <c r="DY295" t="s">
        <v>94</v>
      </c>
      <c r="DZ295" t="s">
        <v>94</v>
      </c>
      <c r="EA295" t="s">
        <v>94</v>
      </c>
      <c r="EB295" t="s">
        <v>94</v>
      </c>
      <c r="EC295" t="s">
        <v>94</v>
      </c>
      <c r="ED295" t="s">
        <v>94</v>
      </c>
      <c r="EE295" t="s">
        <v>89</v>
      </c>
      <c r="EF295" t="s">
        <v>425</v>
      </c>
      <c r="EG295" t="s">
        <v>105</v>
      </c>
      <c r="EJ295" t="s">
        <v>166</v>
      </c>
      <c r="EK295" t="b">
        <v>0</v>
      </c>
      <c r="EL295" t="b">
        <v>0</v>
      </c>
      <c r="EM295" t="b">
        <v>0</v>
      </c>
    </row>
    <row r="296" spans="3:143">
      <c r="C296" s="4" t="s">
        <v>205</v>
      </c>
      <c r="D296" s="4"/>
      <c r="E296" s="4">
        <v>1</v>
      </c>
      <c r="F296" s="4">
        <v>0.5</v>
      </c>
      <c r="G296" s="5" t="s">
        <v>3976</v>
      </c>
      <c r="H296" s="4" t="s">
        <v>3944</v>
      </c>
      <c r="I296" s="4" t="s">
        <v>920</v>
      </c>
      <c r="J296" s="5"/>
      <c r="K296" s="22" t="s">
        <v>3847</v>
      </c>
      <c r="L296" s="84" t="s">
        <v>3848</v>
      </c>
      <c r="M296" s="23" t="s">
        <v>920</v>
      </c>
      <c r="N296" s="23">
        <v>43776</v>
      </c>
      <c r="O296" s="24" t="s">
        <v>102</v>
      </c>
      <c r="P296" s="24" t="s">
        <v>179</v>
      </c>
      <c r="Q296" s="24">
        <v>1</v>
      </c>
      <c r="R296" s="24">
        <v>0.5</v>
      </c>
      <c r="S296" t="s">
        <v>319</v>
      </c>
      <c r="T296">
        <v>24</v>
      </c>
      <c r="U296" s="2" t="s">
        <v>163</v>
      </c>
      <c r="V296">
        <v>43776.872013888889</v>
      </c>
      <c r="W296" s="2" t="s">
        <v>444</v>
      </c>
      <c r="X296">
        <v>43778.687905092593</v>
      </c>
      <c r="AB296" t="s">
        <v>9</v>
      </c>
      <c r="AC296" t="s">
        <v>3849</v>
      </c>
      <c r="AD296" t="s">
        <v>1602</v>
      </c>
      <c r="AE296">
        <v>1016497</v>
      </c>
      <c r="AF296">
        <v>1016497</v>
      </c>
      <c r="AG296" t="s">
        <v>183</v>
      </c>
      <c r="AH296" t="s">
        <v>3850</v>
      </c>
      <c r="AI296" t="s">
        <v>3850</v>
      </c>
      <c r="AJ296" t="s">
        <v>601</v>
      </c>
      <c r="AK296" t="s">
        <v>602</v>
      </c>
      <c r="AL296" t="s">
        <v>3851</v>
      </c>
      <c r="AO296" t="s">
        <v>3852</v>
      </c>
      <c r="AP296" t="s">
        <v>3853</v>
      </c>
      <c r="AQ296" t="s">
        <v>3854</v>
      </c>
      <c r="AR296">
        <v>20156</v>
      </c>
      <c r="AS296">
        <v>283451201</v>
      </c>
      <c r="AT296" t="s">
        <v>3855</v>
      </c>
      <c r="AU296" t="s">
        <v>10</v>
      </c>
      <c r="AV296" t="s">
        <v>3856</v>
      </c>
      <c r="AW296" t="s">
        <v>3856</v>
      </c>
      <c r="AX296" t="s">
        <v>3857</v>
      </c>
      <c r="AY296" t="s">
        <v>3858</v>
      </c>
      <c r="BA296" t="s">
        <v>1980</v>
      </c>
      <c r="BB296" t="s">
        <v>1616</v>
      </c>
      <c r="BC296" t="s">
        <v>188</v>
      </c>
      <c r="BD296">
        <v>528415</v>
      </c>
      <c r="BE296" t="s">
        <v>3978</v>
      </c>
      <c r="BF296" t="s">
        <v>3859</v>
      </c>
      <c r="BG296" t="b">
        <v>0</v>
      </c>
      <c r="BH296" s="6" t="s">
        <v>3860</v>
      </c>
      <c r="BI296" t="s">
        <v>3861</v>
      </c>
      <c r="BJ296" t="s">
        <v>668</v>
      </c>
      <c r="BK296" t="s">
        <v>162</v>
      </c>
      <c r="BL296" t="s">
        <v>161</v>
      </c>
      <c r="BM296" s="2"/>
      <c r="BO296" t="s">
        <v>89</v>
      </c>
      <c r="BP296">
        <v>85369011</v>
      </c>
      <c r="BR296" t="s">
        <v>180</v>
      </c>
      <c r="BS296" t="s">
        <v>103</v>
      </c>
      <c r="BU296">
        <v>0</v>
      </c>
      <c r="BV296">
        <v>0</v>
      </c>
      <c r="BW296">
        <v>0</v>
      </c>
      <c r="BX296">
        <v>0</v>
      </c>
      <c r="BY296">
        <v>0</v>
      </c>
      <c r="BZ296">
        <v>0</v>
      </c>
      <c r="CA296">
        <v>0</v>
      </c>
      <c r="CF296" s="2"/>
      <c r="CH296" s="2"/>
      <c r="CJ296">
        <v>5.3142019950161901E+17</v>
      </c>
      <c r="CK296" t="s">
        <v>1849</v>
      </c>
      <c r="CL296">
        <v>43776.396192129629</v>
      </c>
      <c r="CO296" t="s">
        <v>11</v>
      </c>
      <c r="CP296">
        <v>169.79</v>
      </c>
      <c r="CQ296" t="s">
        <v>11</v>
      </c>
      <c r="CR296">
        <v>169.79</v>
      </c>
      <c r="CV296" t="s">
        <v>190</v>
      </c>
      <c r="CW296" t="s">
        <v>12</v>
      </c>
      <c r="CX296" t="s">
        <v>12</v>
      </c>
      <c r="CY296" t="s">
        <v>12</v>
      </c>
      <c r="DA296" t="s">
        <v>104</v>
      </c>
      <c r="DD296" t="s">
        <v>93</v>
      </c>
      <c r="DQ296" t="s">
        <v>94</v>
      </c>
      <c r="DR296" t="s">
        <v>94</v>
      </c>
      <c r="DS296" t="s">
        <v>94</v>
      </c>
      <c r="DT296" t="s">
        <v>94</v>
      </c>
      <c r="DU296" t="s">
        <v>94</v>
      </c>
      <c r="DV296" t="s">
        <v>94</v>
      </c>
      <c r="DW296" t="s">
        <v>94</v>
      </c>
      <c r="DX296" s="2" t="s">
        <v>94</v>
      </c>
      <c r="DY296" t="s">
        <v>94</v>
      </c>
      <c r="DZ296" t="s">
        <v>94</v>
      </c>
      <c r="EA296" t="s">
        <v>94</v>
      </c>
      <c r="EB296" t="s">
        <v>94</v>
      </c>
      <c r="EC296" t="s">
        <v>94</v>
      </c>
      <c r="ED296" t="s">
        <v>94</v>
      </c>
      <c r="EE296" t="s">
        <v>89</v>
      </c>
      <c r="EF296" t="s">
        <v>425</v>
      </c>
      <c r="EG296" t="s">
        <v>105</v>
      </c>
      <c r="EJ296" t="s">
        <v>166</v>
      </c>
      <c r="EK296" t="b">
        <v>0</v>
      </c>
      <c r="EL296" t="b">
        <v>0</v>
      </c>
      <c r="EM296" t="b">
        <v>0</v>
      </c>
    </row>
    <row r="297" spans="3:143" ht="15">
      <c r="C297" s="82">
        <v>0</v>
      </c>
      <c r="D297" s="5"/>
      <c r="E297" s="4">
        <v>1</v>
      </c>
      <c r="F297" s="5">
        <v>0.1</v>
      </c>
      <c r="G297" s="5" t="s">
        <v>3989</v>
      </c>
      <c r="H297" s="4" t="s">
        <v>3990</v>
      </c>
      <c r="I297" s="81" t="s">
        <v>817</v>
      </c>
      <c r="J297" s="21"/>
      <c r="K297" s="22" t="s">
        <v>3979</v>
      </c>
      <c r="L297" s="84" t="s">
        <v>3806</v>
      </c>
      <c r="M297" s="23" t="s">
        <v>817</v>
      </c>
      <c r="N297" s="23">
        <v>43779</v>
      </c>
      <c r="O297" s="24" t="s">
        <v>102</v>
      </c>
      <c r="P297" s="24" t="s">
        <v>179</v>
      </c>
      <c r="Q297" s="24">
        <v>1</v>
      </c>
      <c r="R297" s="24">
        <v>0.1</v>
      </c>
      <c r="S297" t="s">
        <v>528</v>
      </c>
      <c r="T297">
        <v>28</v>
      </c>
      <c r="U297" s="2" t="s">
        <v>163</v>
      </c>
      <c r="V297">
        <v>43779.844224537039</v>
      </c>
      <c r="W297" s="2" t="s">
        <v>444</v>
      </c>
      <c r="X297">
        <v>43781.60050925926</v>
      </c>
      <c r="AB297" t="s">
        <v>9</v>
      </c>
      <c r="AC297" t="s">
        <v>529</v>
      </c>
      <c r="AD297" t="s">
        <v>182</v>
      </c>
      <c r="AE297">
        <v>7922555</v>
      </c>
      <c r="AF297">
        <v>7922555</v>
      </c>
      <c r="AG297" t="s">
        <v>183</v>
      </c>
      <c r="AH297" t="s">
        <v>3980</v>
      </c>
      <c r="AI297" t="s">
        <v>3980</v>
      </c>
      <c r="AJ297" t="s">
        <v>508</v>
      </c>
      <c r="AK297" t="s">
        <v>509</v>
      </c>
      <c r="AL297" t="s">
        <v>3981</v>
      </c>
      <c r="AO297" t="s">
        <v>3880</v>
      </c>
      <c r="AP297" t="s">
        <v>533</v>
      </c>
      <c r="AR297">
        <v>75016</v>
      </c>
      <c r="AS297">
        <v>33153530182</v>
      </c>
      <c r="AT297" t="s">
        <v>3982</v>
      </c>
      <c r="AU297" t="s">
        <v>10</v>
      </c>
      <c r="AV297" t="s">
        <v>3983</v>
      </c>
      <c r="AW297" t="s">
        <v>3983</v>
      </c>
      <c r="AX297" t="s">
        <v>3984</v>
      </c>
      <c r="AY297" s="2" t="s">
        <v>3985</v>
      </c>
      <c r="BA297" t="s">
        <v>1002</v>
      </c>
      <c r="BB297" t="s">
        <v>187</v>
      </c>
      <c r="BC297" t="s">
        <v>188</v>
      </c>
      <c r="BD297">
        <v>518118</v>
      </c>
      <c r="BE297">
        <v>-8618824302421</v>
      </c>
      <c r="BF297" t="s">
        <v>3986</v>
      </c>
      <c r="BG297" t="b">
        <v>0</v>
      </c>
      <c r="BH297" s="6" t="s">
        <v>3987</v>
      </c>
      <c r="BI297" t="s">
        <v>3988</v>
      </c>
      <c r="BJ297" t="s">
        <v>668</v>
      </c>
      <c r="BK297" t="s">
        <v>162</v>
      </c>
      <c r="BL297" t="s">
        <v>161</v>
      </c>
      <c r="BM297" s="2"/>
      <c r="BO297" t="s">
        <v>89</v>
      </c>
      <c r="BP297">
        <v>48191000</v>
      </c>
      <c r="BR297" t="s">
        <v>180</v>
      </c>
      <c r="BS297" t="s">
        <v>103</v>
      </c>
      <c r="BU297">
        <v>0</v>
      </c>
      <c r="BV297">
        <v>0</v>
      </c>
      <c r="BW297">
        <v>0</v>
      </c>
      <c r="BX297">
        <v>0</v>
      </c>
      <c r="BY297">
        <v>0</v>
      </c>
      <c r="BZ297">
        <v>0</v>
      </c>
      <c r="CA297">
        <v>0</v>
      </c>
      <c r="CF297" s="2"/>
      <c r="CH297" s="2"/>
      <c r="CJ297">
        <v>5.3142019950163501E+17</v>
      </c>
      <c r="CK297" t="s">
        <v>1509</v>
      </c>
      <c r="CL297">
        <v>43779.375358796293</v>
      </c>
      <c r="CO297" t="s">
        <v>11</v>
      </c>
      <c r="CP297">
        <v>218.55</v>
      </c>
      <c r="CQ297" t="s">
        <v>11</v>
      </c>
      <c r="CR297">
        <v>218.55</v>
      </c>
      <c r="CV297" t="s">
        <v>190</v>
      </c>
      <c r="CW297" t="s">
        <v>12</v>
      </c>
      <c r="CX297" t="s">
        <v>12</v>
      </c>
      <c r="CY297" t="s">
        <v>12</v>
      </c>
      <c r="DA297" t="s">
        <v>104</v>
      </c>
      <c r="DD297" t="s">
        <v>93</v>
      </c>
      <c r="DQ297" t="s">
        <v>94</v>
      </c>
      <c r="DR297" t="s">
        <v>94</v>
      </c>
      <c r="DS297" t="s">
        <v>94</v>
      </c>
      <c r="DT297" t="s">
        <v>94</v>
      </c>
      <c r="DU297" t="s">
        <v>94</v>
      </c>
      <c r="DV297" t="s">
        <v>94</v>
      </c>
      <c r="DW297" t="s">
        <v>94</v>
      </c>
      <c r="DX297" s="2" t="s">
        <v>94</v>
      </c>
      <c r="DY297" t="s">
        <v>94</v>
      </c>
      <c r="DZ297" t="s">
        <v>94</v>
      </c>
      <c r="EA297" t="s">
        <v>94</v>
      </c>
      <c r="EB297" t="s">
        <v>94</v>
      </c>
      <c r="EC297" t="s">
        <v>94</v>
      </c>
      <c r="ED297" t="s">
        <v>94</v>
      </c>
      <c r="EE297" t="s">
        <v>89</v>
      </c>
      <c r="EF297" t="s">
        <v>425</v>
      </c>
      <c r="EG297" t="s">
        <v>105</v>
      </c>
      <c r="EJ297" t="s">
        <v>166</v>
      </c>
      <c r="EK297" t="b">
        <v>0</v>
      </c>
      <c r="EL297" t="b">
        <v>0</v>
      </c>
      <c r="EM297" t="b">
        <v>0</v>
      </c>
    </row>
    <row r="298" spans="3:143" ht="15">
      <c r="C298" s="82">
        <v>3</v>
      </c>
      <c r="D298" s="5"/>
      <c r="E298" s="4">
        <v>1</v>
      </c>
      <c r="F298" s="5">
        <v>6.25</v>
      </c>
      <c r="G298" s="5" t="s">
        <v>4025</v>
      </c>
      <c r="H298" s="4" t="s">
        <v>1880</v>
      </c>
      <c r="I298" s="81" t="s">
        <v>817</v>
      </c>
      <c r="J298" s="21"/>
      <c r="K298" s="22" t="s">
        <v>3991</v>
      </c>
      <c r="L298" s="84" t="s">
        <v>3806</v>
      </c>
      <c r="M298" s="23" t="s">
        <v>817</v>
      </c>
      <c r="N298" s="23">
        <v>43779</v>
      </c>
      <c r="O298" s="24" t="s">
        <v>102</v>
      </c>
      <c r="P298" s="24" t="s">
        <v>179</v>
      </c>
      <c r="Q298" s="24">
        <v>1</v>
      </c>
      <c r="R298" s="24">
        <v>6.25</v>
      </c>
      <c r="S298" t="s">
        <v>11</v>
      </c>
      <c r="T298">
        <v>312</v>
      </c>
      <c r="U298" s="2" t="s">
        <v>163</v>
      </c>
      <c r="V298">
        <v>43779.844212962962</v>
      </c>
      <c r="W298" s="2" t="s">
        <v>444</v>
      </c>
      <c r="X298">
        <v>43781.60050925926</v>
      </c>
      <c r="AB298" t="s">
        <v>9</v>
      </c>
      <c r="AC298" t="s">
        <v>1531</v>
      </c>
      <c r="AD298" t="s">
        <v>191</v>
      </c>
      <c r="AE298">
        <v>533524</v>
      </c>
      <c r="AF298">
        <v>533524</v>
      </c>
      <c r="AG298" t="s">
        <v>183</v>
      </c>
      <c r="AH298" t="s">
        <v>1819</v>
      </c>
      <c r="AI298" t="s">
        <v>1819</v>
      </c>
      <c r="AJ298" t="s">
        <v>1533</v>
      </c>
      <c r="AK298" t="s">
        <v>1534</v>
      </c>
      <c r="AL298" t="s">
        <v>1820</v>
      </c>
      <c r="AM298" t="s">
        <v>1821</v>
      </c>
      <c r="AO298" t="s">
        <v>1822</v>
      </c>
      <c r="AP298" t="s">
        <v>1538</v>
      </c>
      <c r="AQ298" t="s">
        <v>1823</v>
      </c>
      <c r="AR298" t="s">
        <v>1881</v>
      </c>
      <c r="AS298" t="s">
        <v>1824</v>
      </c>
      <c r="AT298" t="s">
        <v>1825</v>
      </c>
      <c r="AU298" t="s">
        <v>10</v>
      </c>
      <c r="AV298" t="s">
        <v>1826</v>
      </c>
      <c r="AW298" t="s">
        <v>1826</v>
      </c>
      <c r="AX298" t="s">
        <v>1827</v>
      </c>
      <c r="AY298" s="2" t="s">
        <v>1828</v>
      </c>
      <c r="AZ298" t="s">
        <v>1829</v>
      </c>
      <c r="BA298" t="s">
        <v>726</v>
      </c>
      <c r="BB298" t="s">
        <v>192</v>
      </c>
      <c r="BC298" t="s">
        <v>188</v>
      </c>
      <c r="BD298">
        <v>523039</v>
      </c>
      <c r="BE298" t="s">
        <v>1830</v>
      </c>
      <c r="BF298" t="s">
        <v>1831</v>
      </c>
      <c r="BG298" t="b">
        <v>0</v>
      </c>
      <c r="BH298" s="6" t="s">
        <v>3992</v>
      </c>
      <c r="BI298" t="s">
        <v>3993</v>
      </c>
      <c r="BJ298">
        <v>4453163191</v>
      </c>
      <c r="BK298" t="s">
        <v>162</v>
      </c>
      <c r="BL298" t="s">
        <v>161</v>
      </c>
      <c r="BM298" s="2"/>
      <c r="BO298" t="s">
        <v>89</v>
      </c>
      <c r="BP298">
        <v>32064990</v>
      </c>
      <c r="BR298" t="s">
        <v>180</v>
      </c>
      <c r="BS298" t="s">
        <v>103</v>
      </c>
      <c r="BU298">
        <v>0</v>
      </c>
      <c r="BV298">
        <v>0</v>
      </c>
      <c r="BW298">
        <v>0</v>
      </c>
      <c r="BX298">
        <v>0</v>
      </c>
      <c r="BY298">
        <v>0</v>
      </c>
      <c r="BZ298">
        <v>0</v>
      </c>
      <c r="CA298">
        <v>0</v>
      </c>
      <c r="CF298" s="2"/>
      <c r="CH298" s="2"/>
      <c r="CJ298">
        <v>5.3142019950163501E+17</v>
      </c>
      <c r="CK298" t="s">
        <v>1509</v>
      </c>
      <c r="CL298">
        <v>43779.375868055555</v>
      </c>
      <c r="CO298" t="s">
        <v>11</v>
      </c>
      <c r="CP298">
        <v>312</v>
      </c>
      <c r="CQ298" t="s">
        <v>11</v>
      </c>
      <c r="CR298">
        <v>312</v>
      </c>
      <c r="CV298" t="s">
        <v>190</v>
      </c>
      <c r="CW298" t="s">
        <v>12</v>
      </c>
      <c r="CX298" t="s">
        <v>12</v>
      </c>
      <c r="CY298" t="s">
        <v>12</v>
      </c>
      <c r="DA298" t="s">
        <v>104</v>
      </c>
      <c r="DD298" t="s">
        <v>93</v>
      </c>
      <c r="DQ298" t="s">
        <v>94</v>
      </c>
      <c r="DR298" t="s">
        <v>94</v>
      </c>
      <c r="DS298" t="s">
        <v>94</v>
      </c>
      <c r="DT298" t="s">
        <v>94</v>
      </c>
      <c r="DU298" t="s">
        <v>94</v>
      </c>
      <c r="DV298" t="s">
        <v>94</v>
      </c>
      <c r="DW298" t="s">
        <v>94</v>
      </c>
      <c r="DX298" s="2" t="s">
        <v>94</v>
      </c>
      <c r="DY298" t="s">
        <v>94</v>
      </c>
      <c r="DZ298" t="s">
        <v>94</v>
      </c>
      <c r="EA298" t="s">
        <v>94</v>
      </c>
      <c r="EB298" t="s">
        <v>94</v>
      </c>
      <c r="EC298" t="s">
        <v>94</v>
      </c>
      <c r="ED298" t="s">
        <v>94</v>
      </c>
      <c r="EE298" t="s">
        <v>89</v>
      </c>
      <c r="EF298" t="s">
        <v>425</v>
      </c>
      <c r="EG298" t="s">
        <v>105</v>
      </c>
      <c r="EJ298" t="s">
        <v>166</v>
      </c>
      <c r="EK298" t="b">
        <v>0</v>
      </c>
      <c r="EL298" t="b">
        <v>0</v>
      </c>
      <c r="EM298" t="b">
        <v>0</v>
      </c>
    </row>
    <row r="299" spans="3:143">
      <c r="C299" s="4">
        <v>3</v>
      </c>
      <c r="D299" s="4"/>
      <c r="E299" s="4">
        <v>1</v>
      </c>
      <c r="F299" s="4">
        <v>0.16</v>
      </c>
      <c r="G299" s="5" t="s">
        <v>4025</v>
      </c>
      <c r="H299" s="4" t="s">
        <v>4026</v>
      </c>
      <c r="I299" s="4" t="s">
        <v>817</v>
      </c>
      <c r="J299" s="5"/>
      <c r="K299" s="22" t="s">
        <v>3994</v>
      </c>
      <c r="L299" s="84" t="s">
        <v>3806</v>
      </c>
      <c r="M299" s="23" t="s">
        <v>817</v>
      </c>
      <c r="N299" s="23">
        <v>43779</v>
      </c>
      <c r="O299" s="24" t="s">
        <v>102</v>
      </c>
      <c r="P299" s="24" t="s">
        <v>179</v>
      </c>
      <c r="Q299" s="24">
        <v>1</v>
      </c>
      <c r="R299" s="24">
        <v>0.16</v>
      </c>
      <c r="S299" t="s">
        <v>528</v>
      </c>
      <c r="T299">
        <v>18</v>
      </c>
      <c r="U299" s="2" t="s">
        <v>163</v>
      </c>
      <c r="V299">
        <v>43779.844502314816</v>
      </c>
      <c r="W299" s="2" t="s">
        <v>444</v>
      </c>
      <c r="X299">
        <v>43781.601782407408</v>
      </c>
      <c r="AB299" t="s">
        <v>9</v>
      </c>
      <c r="AC299" t="s">
        <v>3995</v>
      </c>
      <c r="AD299" t="s">
        <v>200</v>
      </c>
      <c r="AE299">
        <v>134097</v>
      </c>
      <c r="AF299">
        <v>134097</v>
      </c>
      <c r="AG299" t="s">
        <v>183</v>
      </c>
      <c r="AH299" t="s">
        <v>3996</v>
      </c>
      <c r="AI299" t="s">
        <v>3996</v>
      </c>
      <c r="AJ299" t="s">
        <v>601</v>
      </c>
      <c r="AK299" t="s">
        <v>602</v>
      </c>
      <c r="AL299" t="s">
        <v>3997</v>
      </c>
      <c r="AO299" t="s">
        <v>3998</v>
      </c>
      <c r="AP299" t="s">
        <v>3999</v>
      </c>
      <c r="AQ299" t="s">
        <v>4000</v>
      </c>
      <c r="AR299" t="s">
        <v>4027</v>
      </c>
      <c r="AS299" t="s">
        <v>4028</v>
      </c>
      <c r="AT299" t="s">
        <v>4001</v>
      </c>
      <c r="AU299" t="s">
        <v>10</v>
      </c>
      <c r="AV299" t="s">
        <v>4002</v>
      </c>
      <c r="AW299" t="s">
        <v>4002</v>
      </c>
      <c r="AX299" t="s">
        <v>4003</v>
      </c>
      <c r="AY299" t="s">
        <v>559</v>
      </c>
      <c r="BA299" t="s">
        <v>4004</v>
      </c>
      <c r="BB299" t="s">
        <v>560</v>
      </c>
      <c r="BC299" t="s">
        <v>188</v>
      </c>
      <c r="BD299">
        <v>528200</v>
      </c>
      <c r="BE299" t="s">
        <v>4029</v>
      </c>
      <c r="BF299" t="s">
        <v>4005</v>
      </c>
      <c r="BG299" t="b">
        <v>0</v>
      </c>
      <c r="BH299" s="6" t="s">
        <v>4006</v>
      </c>
      <c r="BI299" t="s">
        <v>4007</v>
      </c>
      <c r="BJ299">
        <v>4453163191</v>
      </c>
      <c r="BK299" t="s">
        <v>162</v>
      </c>
      <c r="BL299" t="s">
        <v>161</v>
      </c>
      <c r="BM299" s="2"/>
      <c r="BO299" t="s">
        <v>89</v>
      </c>
      <c r="BP299">
        <v>85340090</v>
      </c>
      <c r="BR299" t="s">
        <v>180</v>
      </c>
      <c r="BS299" t="s">
        <v>103</v>
      </c>
      <c r="BU299">
        <v>0</v>
      </c>
      <c r="BV299">
        <v>0</v>
      </c>
      <c r="BW299">
        <v>0</v>
      </c>
      <c r="BX299">
        <v>0</v>
      </c>
      <c r="BY299">
        <v>0</v>
      </c>
      <c r="BZ299">
        <v>0</v>
      </c>
      <c r="CA299">
        <v>0</v>
      </c>
      <c r="CF299" s="2"/>
      <c r="CH299" s="2"/>
      <c r="CJ299">
        <v>5.3142019950163501E+17</v>
      </c>
      <c r="CK299" t="s">
        <v>1509</v>
      </c>
      <c r="CL299">
        <v>43779.376932870371</v>
      </c>
      <c r="CO299" t="s">
        <v>11</v>
      </c>
      <c r="CP299">
        <v>140.49</v>
      </c>
      <c r="CQ299" t="s">
        <v>11</v>
      </c>
      <c r="CR299">
        <v>140.49</v>
      </c>
      <c r="CV299" t="s">
        <v>190</v>
      </c>
      <c r="CW299" t="s">
        <v>12</v>
      </c>
      <c r="CX299" t="s">
        <v>12</v>
      </c>
      <c r="CY299" t="s">
        <v>12</v>
      </c>
      <c r="DA299" t="s">
        <v>104</v>
      </c>
      <c r="DD299" t="s">
        <v>93</v>
      </c>
      <c r="DQ299" t="s">
        <v>94</v>
      </c>
      <c r="DR299" t="s">
        <v>94</v>
      </c>
      <c r="DS299" t="s">
        <v>94</v>
      </c>
      <c r="DT299" t="s">
        <v>94</v>
      </c>
      <c r="DU299" t="s">
        <v>94</v>
      </c>
      <c r="DV299" t="s">
        <v>94</v>
      </c>
      <c r="DW299" t="s">
        <v>94</v>
      </c>
      <c r="DX299" s="2" t="s">
        <v>94</v>
      </c>
      <c r="DY299" t="s">
        <v>94</v>
      </c>
      <c r="DZ299" t="s">
        <v>94</v>
      </c>
      <c r="EA299" t="s">
        <v>94</v>
      </c>
      <c r="EB299" t="s">
        <v>94</v>
      </c>
      <c r="EC299" t="s">
        <v>94</v>
      </c>
      <c r="ED299" t="s">
        <v>94</v>
      </c>
      <c r="EE299" t="s">
        <v>89</v>
      </c>
      <c r="EF299" t="s">
        <v>425</v>
      </c>
      <c r="EG299" t="s">
        <v>105</v>
      </c>
      <c r="EJ299" t="s">
        <v>166</v>
      </c>
      <c r="EK299" t="b">
        <v>0</v>
      </c>
      <c r="EL299" t="b">
        <v>0</v>
      </c>
      <c r="EM299" t="b">
        <v>0</v>
      </c>
    </row>
    <row r="300" spans="3:143" ht="15">
      <c r="C300" s="82">
        <v>3</v>
      </c>
      <c r="D300" s="5"/>
      <c r="E300" s="4">
        <v>1</v>
      </c>
      <c r="F300" s="5">
        <v>14</v>
      </c>
      <c r="G300" s="5" t="s">
        <v>4030</v>
      </c>
      <c r="H300" s="4" t="s">
        <v>4031</v>
      </c>
      <c r="I300" s="81" t="s">
        <v>920</v>
      </c>
      <c r="J300" s="21"/>
      <c r="K300" s="22" t="s">
        <v>4008</v>
      </c>
      <c r="L300" s="84" t="s">
        <v>3848</v>
      </c>
      <c r="M300" s="23" t="s">
        <v>920</v>
      </c>
      <c r="N300" s="23">
        <v>43776</v>
      </c>
      <c r="O300" s="24" t="s">
        <v>102</v>
      </c>
      <c r="P300" s="24" t="s">
        <v>181</v>
      </c>
      <c r="Q300" s="24">
        <v>1</v>
      </c>
      <c r="R300" s="24">
        <v>14</v>
      </c>
      <c r="S300" t="s">
        <v>372</v>
      </c>
      <c r="T300">
        <v>90</v>
      </c>
      <c r="U300" s="2" t="s">
        <v>163</v>
      </c>
      <c r="V300">
        <v>43776.87226851852</v>
      </c>
      <c r="W300" s="2" t="s">
        <v>444</v>
      </c>
      <c r="X300">
        <v>43778.687905092593</v>
      </c>
      <c r="AB300" t="s">
        <v>9</v>
      </c>
      <c r="AC300" t="s">
        <v>4009</v>
      </c>
      <c r="AD300" t="s">
        <v>191</v>
      </c>
      <c r="AE300">
        <v>1032024</v>
      </c>
      <c r="AF300">
        <v>1032024</v>
      </c>
      <c r="AG300" t="s">
        <v>183</v>
      </c>
      <c r="AH300" t="s">
        <v>4010</v>
      </c>
      <c r="AI300" t="s">
        <v>4010</v>
      </c>
      <c r="AJ300" t="s">
        <v>184</v>
      </c>
      <c r="AK300" t="s">
        <v>185</v>
      </c>
      <c r="AL300" t="s">
        <v>4011</v>
      </c>
      <c r="AM300" t="s">
        <v>4012</v>
      </c>
      <c r="AN300" t="s">
        <v>4013</v>
      </c>
      <c r="AO300" t="s">
        <v>4013</v>
      </c>
      <c r="AP300" t="s">
        <v>4014</v>
      </c>
      <c r="AQ300" t="s">
        <v>3479</v>
      </c>
      <c r="AR300" t="s">
        <v>4015</v>
      </c>
      <c r="AS300">
        <v>1625439111</v>
      </c>
      <c r="AT300" t="s">
        <v>4016</v>
      </c>
      <c r="AU300" t="s">
        <v>10</v>
      </c>
      <c r="AV300" t="s">
        <v>4017</v>
      </c>
      <c r="AW300" t="s">
        <v>4017</v>
      </c>
      <c r="AX300" t="s">
        <v>4018</v>
      </c>
      <c r="AY300" s="2" t="s">
        <v>4019</v>
      </c>
      <c r="AZ300" t="s">
        <v>4020</v>
      </c>
      <c r="BA300" t="s">
        <v>726</v>
      </c>
      <c r="BB300" t="s">
        <v>192</v>
      </c>
      <c r="BC300" t="s">
        <v>188</v>
      </c>
      <c r="BD300">
        <v>523520</v>
      </c>
      <c r="BE300" t="s">
        <v>4021</v>
      </c>
      <c r="BF300" t="s">
        <v>4022</v>
      </c>
      <c r="BG300" t="b">
        <v>0</v>
      </c>
      <c r="BH300" s="6" t="s">
        <v>4023</v>
      </c>
      <c r="BI300" t="s">
        <v>4024</v>
      </c>
      <c r="BJ300">
        <v>4453163191</v>
      </c>
      <c r="BK300" t="s">
        <v>162</v>
      </c>
      <c r="BL300" t="s">
        <v>161</v>
      </c>
      <c r="BM300" s="2"/>
      <c r="BO300" t="s">
        <v>89</v>
      </c>
      <c r="BP300">
        <v>8418699090</v>
      </c>
      <c r="BR300" t="s">
        <v>189</v>
      </c>
      <c r="BS300" t="s">
        <v>103</v>
      </c>
      <c r="BU300">
        <v>73.099999999999994</v>
      </c>
      <c r="BV300">
        <v>115.1</v>
      </c>
      <c r="BW300">
        <v>0</v>
      </c>
      <c r="BX300">
        <v>0</v>
      </c>
      <c r="BY300">
        <v>0</v>
      </c>
      <c r="BZ300">
        <v>0</v>
      </c>
      <c r="CA300">
        <v>188.2</v>
      </c>
      <c r="CF300" s="2"/>
      <c r="CH300" s="2"/>
      <c r="CJ300">
        <v>5.3142019950161901E+17</v>
      </c>
      <c r="CK300" t="s">
        <v>1849</v>
      </c>
      <c r="CL300">
        <v>43776.563206018516</v>
      </c>
      <c r="CO300" t="s">
        <v>11</v>
      </c>
      <c r="CP300">
        <v>812.25</v>
      </c>
      <c r="CQ300" t="s">
        <v>11</v>
      </c>
      <c r="CR300">
        <v>812.25</v>
      </c>
      <c r="CV300" t="s">
        <v>190</v>
      </c>
      <c r="CW300" t="s">
        <v>12</v>
      </c>
      <c r="CX300" t="s">
        <v>12</v>
      </c>
      <c r="CY300" t="s">
        <v>12</v>
      </c>
      <c r="DA300" t="s">
        <v>104</v>
      </c>
      <c r="DD300" t="s">
        <v>93</v>
      </c>
      <c r="DQ300" t="s">
        <v>94</v>
      </c>
      <c r="DR300" t="s">
        <v>94</v>
      </c>
      <c r="DS300" t="s">
        <v>94</v>
      </c>
      <c r="DT300" t="s">
        <v>94</v>
      </c>
      <c r="DU300" t="s">
        <v>94</v>
      </c>
      <c r="DV300" t="s">
        <v>94</v>
      </c>
      <c r="DW300" t="s">
        <v>94</v>
      </c>
      <c r="DX300" s="2" t="s">
        <v>94</v>
      </c>
      <c r="DY300" t="s">
        <v>94</v>
      </c>
      <c r="DZ300" t="s">
        <v>94</v>
      </c>
      <c r="EA300" t="s">
        <v>94</v>
      </c>
      <c r="EB300" t="s">
        <v>94</v>
      </c>
      <c r="EC300" t="s">
        <v>94</v>
      </c>
      <c r="ED300" t="s">
        <v>94</v>
      </c>
      <c r="EE300" t="s">
        <v>89</v>
      </c>
      <c r="EF300" t="s">
        <v>425</v>
      </c>
      <c r="EG300" t="s">
        <v>105</v>
      </c>
      <c r="EJ300" t="s">
        <v>166</v>
      </c>
      <c r="EK300" t="b">
        <v>0</v>
      </c>
      <c r="EL300" t="b">
        <v>0</v>
      </c>
      <c r="EM300" t="b">
        <v>0</v>
      </c>
    </row>
    <row r="301" spans="3:143" ht="15">
      <c r="C301" s="82">
        <v>3</v>
      </c>
      <c r="D301" s="5">
        <v>123</v>
      </c>
      <c r="E301" s="4">
        <v>1</v>
      </c>
      <c r="F301" s="5">
        <v>123</v>
      </c>
      <c r="G301" s="5" t="s">
        <v>4032</v>
      </c>
      <c r="H301" s="4" t="s">
        <v>4031</v>
      </c>
      <c r="I301" s="81" t="s">
        <v>920</v>
      </c>
      <c r="J301" s="21"/>
      <c r="K301" s="22" t="s">
        <v>4008</v>
      </c>
      <c r="L301" s="84" t="s">
        <v>3848</v>
      </c>
      <c r="M301" s="23" t="s">
        <v>920</v>
      </c>
      <c r="N301" s="23">
        <v>43776</v>
      </c>
      <c r="O301" s="24" t="s">
        <v>102</v>
      </c>
      <c r="P301" s="24" t="s">
        <v>181</v>
      </c>
      <c r="Q301" s="24">
        <v>1</v>
      </c>
      <c r="R301" s="24">
        <v>14</v>
      </c>
      <c r="S301" t="s">
        <v>372</v>
      </c>
      <c r="T301">
        <v>90</v>
      </c>
      <c r="U301" s="2" t="s">
        <v>163</v>
      </c>
      <c r="V301">
        <v>43776.87226851852</v>
      </c>
      <c r="W301" s="2" t="s">
        <v>444</v>
      </c>
      <c r="X301">
        <v>43778.687905092593</v>
      </c>
      <c r="AB301" t="s">
        <v>9</v>
      </c>
      <c r="AC301" t="s">
        <v>4009</v>
      </c>
      <c r="AD301" t="s">
        <v>191</v>
      </c>
      <c r="AE301">
        <v>1032024</v>
      </c>
      <c r="AF301">
        <v>1032024</v>
      </c>
      <c r="AG301" t="s">
        <v>183</v>
      </c>
      <c r="AH301" t="s">
        <v>4010</v>
      </c>
      <c r="AI301" t="s">
        <v>4010</v>
      </c>
      <c r="AJ301" t="s">
        <v>184</v>
      </c>
      <c r="AK301" t="s">
        <v>185</v>
      </c>
      <c r="AL301" t="s">
        <v>4011</v>
      </c>
      <c r="AM301" t="s">
        <v>4012</v>
      </c>
      <c r="AN301" t="s">
        <v>4013</v>
      </c>
      <c r="AO301" t="s">
        <v>4013</v>
      </c>
      <c r="AP301" t="s">
        <v>4014</v>
      </c>
      <c r="AQ301" t="s">
        <v>3479</v>
      </c>
      <c r="AR301" t="s">
        <v>4015</v>
      </c>
      <c r="AS301">
        <v>1625439111</v>
      </c>
      <c r="AT301" t="s">
        <v>4016</v>
      </c>
      <c r="AU301" t="s">
        <v>10</v>
      </c>
      <c r="AV301" t="s">
        <v>4017</v>
      </c>
      <c r="AW301" t="s">
        <v>4017</v>
      </c>
      <c r="AX301" t="s">
        <v>4018</v>
      </c>
      <c r="AY301" s="2" t="s">
        <v>4019</v>
      </c>
      <c r="AZ301" t="s">
        <v>4020</v>
      </c>
      <c r="BA301" t="s">
        <v>726</v>
      </c>
      <c r="BB301" t="s">
        <v>192</v>
      </c>
      <c r="BC301" t="s">
        <v>188</v>
      </c>
      <c r="BD301">
        <v>523520</v>
      </c>
      <c r="BE301" t="s">
        <v>4021</v>
      </c>
      <c r="BF301" t="s">
        <v>4022</v>
      </c>
      <c r="BG301" t="b">
        <v>0</v>
      </c>
      <c r="BH301" s="6" t="s">
        <v>4023</v>
      </c>
      <c r="BI301" t="s">
        <v>4024</v>
      </c>
      <c r="BJ301">
        <v>4453163191</v>
      </c>
      <c r="BK301" t="s">
        <v>162</v>
      </c>
      <c r="BL301" t="s">
        <v>161</v>
      </c>
      <c r="BM301" s="2"/>
      <c r="BO301" t="s">
        <v>89</v>
      </c>
      <c r="BP301">
        <v>8418699090</v>
      </c>
      <c r="BR301" t="s">
        <v>189</v>
      </c>
      <c r="BS301" t="s">
        <v>103</v>
      </c>
      <c r="BU301">
        <v>73.099999999999994</v>
      </c>
      <c r="BV301">
        <v>115.1</v>
      </c>
      <c r="BW301">
        <v>0</v>
      </c>
      <c r="BX301">
        <v>0</v>
      </c>
      <c r="BY301">
        <v>0</v>
      </c>
      <c r="BZ301">
        <v>0</v>
      </c>
      <c r="CA301">
        <v>188.2</v>
      </c>
      <c r="CF301" s="2"/>
      <c r="CH301" s="2"/>
      <c r="CJ301">
        <v>5.3142019950161901E+17</v>
      </c>
      <c r="CK301" t="s">
        <v>1849</v>
      </c>
      <c r="CL301">
        <v>43776.563206018516</v>
      </c>
      <c r="CO301" t="s">
        <v>11</v>
      </c>
      <c r="CP301">
        <v>812.25</v>
      </c>
      <c r="CQ301" t="s">
        <v>11</v>
      </c>
      <c r="CR301">
        <v>812.25</v>
      </c>
      <c r="CV301" t="s">
        <v>190</v>
      </c>
      <c r="CW301" t="s">
        <v>12</v>
      </c>
      <c r="CX301" t="s">
        <v>12</v>
      </c>
      <c r="CY301" t="s">
        <v>12</v>
      </c>
      <c r="DA301" t="s">
        <v>104</v>
      </c>
      <c r="DD301" t="s">
        <v>93</v>
      </c>
      <c r="DQ301" t="s">
        <v>94</v>
      </c>
      <c r="DR301" t="s">
        <v>94</v>
      </c>
      <c r="DS301" t="s">
        <v>94</v>
      </c>
      <c r="DT301" t="s">
        <v>94</v>
      </c>
      <c r="DU301" t="s">
        <v>94</v>
      </c>
      <c r="DV301" t="s">
        <v>94</v>
      </c>
      <c r="DW301" t="s">
        <v>94</v>
      </c>
      <c r="DX301" s="2" t="s">
        <v>94</v>
      </c>
      <c r="DY301" t="s">
        <v>94</v>
      </c>
      <c r="DZ301" t="s">
        <v>94</v>
      </c>
      <c r="EA301" t="s">
        <v>94</v>
      </c>
      <c r="EB301" t="s">
        <v>94</v>
      </c>
      <c r="EC301" t="s">
        <v>94</v>
      </c>
      <c r="ED301" t="s">
        <v>94</v>
      </c>
      <c r="EE301" t="s">
        <v>89</v>
      </c>
      <c r="EF301" t="s">
        <v>425</v>
      </c>
      <c r="EG301" t="s">
        <v>105</v>
      </c>
      <c r="EJ301" t="s">
        <v>166</v>
      </c>
      <c r="EK301" t="b">
        <v>0</v>
      </c>
      <c r="EL301" t="b">
        <v>0</v>
      </c>
      <c r="EM301" t="b">
        <v>0</v>
      </c>
    </row>
    <row r="302" spans="3:143" ht="15">
      <c r="C302" s="82">
        <v>3</v>
      </c>
      <c r="D302" s="5"/>
      <c r="E302" s="4">
        <v>1</v>
      </c>
      <c r="F302" s="5">
        <v>2.0499999999999998</v>
      </c>
      <c r="G302" s="5" t="s">
        <v>4148</v>
      </c>
      <c r="H302" s="4" t="s">
        <v>4149</v>
      </c>
      <c r="I302" s="81" t="s">
        <v>817</v>
      </c>
      <c r="J302" s="21"/>
      <c r="K302" s="22" t="s">
        <v>4104</v>
      </c>
      <c r="L302" s="84" t="s">
        <v>3806</v>
      </c>
      <c r="M302" s="23" t="s">
        <v>817</v>
      </c>
      <c r="N302" s="23">
        <v>43779</v>
      </c>
      <c r="O302" s="24" t="s">
        <v>102</v>
      </c>
      <c r="P302" s="24" t="s">
        <v>179</v>
      </c>
      <c r="Q302" s="24">
        <v>1</v>
      </c>
      <c r="R302" s="24">
        <v>2.0499999999999998</v>
      </c>
      <c r="S302" t="s">
        <v>528</v>
      </c>
      <c r="T302">
        <v>28</v>
      </c>
      <c r="U302" s="2" t="s">
        <v>163</v>
      </c>
      <c r="V302" t="s">
        <v>4150</v>
      </c>
      <c r="W302" s="2" t="s">
        <v>444</v>
      </c>
      <c r="X302" t="s">
        <v>4151</v>
      </c>
      <c r="AB302" t="s">
        <v>9</v>
      </c>
      <c r="AC302" t="s">
        <v>3522</v>
      </c>
      <c r="AD302" t="s">
        <v>182</v>
      </c>
      <c r="AE302">
        <v>85025175</v>
      </c>
      <c r="AF302">
        <v>85025175</v>
      </c>
      <c r="AG302" t="s">
        <v>183</v>
      </c>
      <c r="AH302" t="s">
        <v>4105</v>
      </c>
      <c r="AI302" t="s">
        <v>4105</v>
      </c>
      <c r="AJ302" t="s">
        <v>484</v>
      </c>
      <c r="AK302" t="s">
        <v>485</v>
      </c>
      <c r="AL302" t="s">
        <v>4106</v>
      </c>
      <c r="AO302" t="s">
        <v>4107</v>
      </c>
      <c r="AP302" t="s">
        <v>3527</v>
      </c>
      <c r="AQ302" t="s">
        <v>4108</v>
      </c>
      <c r="AR302" t="s">
        <v>4109</v>
      </c>
      <c r="AS302" t="s">
        <v>4152</v>
      </c>
      <c r="AT302" t="s">
        <v>4110</v>
      </c>
      <c r="AU302" t="s">
        <v>10</v>
      </c>
      <c r="AV302" t="s">
        <v>4111</v>
      </c>
      <c r="AW302" t="s">
        <v>4111</v>
      </c>
      <c r="AX302" t="s">
        <v>4112</v>
      </c>
      <c r="AY302" s="2" t="s">
        <v>4113</v>
      </c>
      <c r="AZ302" t="s">
        <v>4114</v>
      </c>
      <c r="BA302" t="s">
        <v>194</v>
      </c>
      <c r="BB302" t="s">
        <v>187</v>
      </c>
      <c r="BC302" t="s">
        <v>188</v>
      </c>
      <c r="BD302">
        <v>518129</v>
      </c>
      <c r="BE302" t="s">
        <v>4153</v>
      </c>
      <c r="BF302" t="s">
        <v>4115</v>
      </c>
      <c r="BG302" t="b">
        <v>0</v>
      </c>
      <c r="BH302" s="6" t="s">
        <v>4116</v>
      </c>
      <c r="BI302" t="s">
        <v>4117</v>
      </c>
      <c r="BJ302">
        <v>4453163191</v>
      </c>
      <c r="BK302" t="s">
        <v>162</v>
      </c>
      <c r="BL302" t="s">
        <v>161</v>
      </c>
      <c r="BM302" s="2"/>
      <c r="BO302" t="s">
        <v>89</v>
      </c>
      <c r="BP302">
        <v>85182100</v>
      </c>
      <c r="BR302" t="s">
        <v>180</v>
      </c>
      <c r="BS302" t="s">
        <v>103</v>
      </c>
      <c r="BU302">
        <v>0</v>
      </c>
      <c r="BV302">
        <v>0</v>
      </c>
      <c r="BW302">
        <v>0</v>
      </c>
      <c r="BX302">
        <v>0</v>
      </c>
      <c r="BY302">
        <v>0</v>
      </c>
      <c r="BZ302">
        <v>0</v>
      </c>
      <c r="CA302">
        <v>0</v>
      </c>
      <c r="CF302" s="2"/>
      <c r="CH302" s="2"/>
      <c r="CJ302">
        <v>5.3142019950163501E+17</v>
      </c>
      <c r="CK302" t="s">
        <v>1509</v>
      </c>
      <c r="CL302" t="s">
        <v>4154</v>
      </c>
      <c r="CO302" t="s">
        <v>11</v>
      </c>
      <c r="CP302" t="s">
        <v>4155</v>
      </c>
      <c r="CQ302" t="s">
        <v>11</v>
      </c>
      <c r="CR302">
        <v>218.55</v>
      </c>
      <c r="CV302" t="s">
        <v>190</v>
      </c>
      <c r="CW302" t="s">
        <v>12</v>
      </c>
      <c r="CX302" t="s">
        <v>12</v>
      </c>
      <c r="CY302" t="s">
        <v>12</v>
      </c>
      <c r="DA302" t="s">
        <v>104</v>
      </c>
      <c r="DD302" t="s">
        <v>93</v>
      </c>
      <c r="DQ302" t="s">
        <v>94</v>
      </c>
      <c r="DR302" t="s">
        <v>94</v>
      </c>
      <c r="DS302" t="s">
        <v>94</v>
      </c>
      <c r="DT302" t="s">
        <v>94</v>
      </c>
      <c r="DU302" t="s">
        <v>94</v>
      </c>
      <c r="DV302" t="s">
        <v>94</v>
      </c>
      <c r="DW302" t="s">
        <v>94</v>
      </c>
      <c r="DX302" s="2" t="s">
        <v>94</v>
      </c>
      <c r="DY302" t="s">
        <v>94</v>
      </c>
      <c r="DZ302" t="s">
        <v>94</v>
      </c>
      <c r="EA302" t="s">
        <v>94</v>
      </c>
      <c r="EB302" t="s">
        <v>94</v>
      </c>
      <c r="EC302" t="s">
        <v>94</v>
      </c>
      <c r="ED302" t="s">
        <v>94</v>
      </c>
      <c r="EE302" t="s">
        <v>89</v>
      </c>
      <c r="EF302" t="s">
        <v>425</v>
      </c>
      <c r="EG302" t="s">
        <v>105</v>
      </c>
      <c r="EJ302" t="s">
        <v>166</v>
      </c>
      <c r="EK302" t="b">
        <v>0</v>
      </c>
      <c r="EL302" t="b">
        <v>0</v>
      </c>
      <c r="EM302" t="b">
        <v>0</v>
      </c>
    </row>
    <row r="303" spans="3:143">
      <c r="C303" s="4">
        <v>3</v>
      </c>
      <c r="D303" s="4"/>
      <c r="E303" s="4">
        <v>1</v>
      </c>
      <c r="F303" s="4">
        <v>0.64</v>
      </c>
      <c r="G303" s="5" t="s">
        <v>4148</v>
      </c>
      <c r="H303" s="4" t="s">
        <v>4156</v>
      </c>
      <c r="I303" s="4" t="s">
        <v>817</v>
      </c>
      <c r="J303" s="5"/>
      <c r="K303" s="22" t="s">
        <v>4089</v>
      </c>
      <c r="L303" s="84" t="s">
        <v>3806</v>
      </c>
      <c r="M303" s="23" t="s">
        <v>817</v>
      </c>
      <c r="N303" s="23">
        <v>43779</v>
      </c>
      <c r="O303" s="24" t="s">
        <v>102</v>
      </c>
      <c r="P303" s="24" t="s">
        <v>179</v>
      </c>
      <c r="Q303" s="24">
        <v>1</v>
      </c>
      <c r="R303" s="24">
        <v>0.64</v>
      </c>
      <c r="S303" t="s">
        <v>528</v>
      </c>
      <c r="T303">
        <v>21</v>
      </c>
      <c r="U303" s="2" t="s">
        <v>163</v>
      </c>
      <c r="V303" t="s">
        <v>4157</v>
      </c>
      <c r="W303" s="2" t="s">
        <v>444</v>
      </c>
      <c r="X303" t="s">
        <v>4151</v>
      </c>
      <c r="AB303" t="s">
        <v>9</v>
      </c>
      <c r="AC303" t="s">
        <v>4090</v>
      </c>
      <c r="AD303" t="s">
        <v>209</v>
      </c>
      <c r="AE303">
        <v>62413</v>
      </c>
      <c r="AF303">
        <v>62413</v>
      </c>
      <c r="AG303" t="s">
        <v>183</v>
      </c>
      <c r="AH303" t="s">
        <v>4091</v>
      </c>
      <c r="AI303" t="s">
        <v>4091</v>
      </c>
      <c r="AJ303" t="s">
        <v>2637</v>
      </c>
      <c r="AK303" t="s">
        <v>2638</v>
      </c>
      <c r="AL303" t="s">
        <v>4092</v>
      </c>
      <c r="AO303" t="s">
        <v>4093</v>
      </c>
      <c r="AP303" t="s">
        <v>4094</v>
      </c>
      <c r="AR303" t="s">
        <v>4158</v>
      </c>
      <c r="AS303" t="s">
        <v>4159</v>
      </c>
      <c r="AT303" t="s">
        <v>4095</v>
      </c>
      <c r="AU303" t="s">
        <v>10</v>
      </c>
      <c r="AV303" t="s">
        <v>4096</v>
      </c>
      <c r="AW303" t="s">
        <v>4096</v>
      </c>
      <c r="AX303" t="s">
        <v>4097</v>
      </c>
      <c r="AY303" t="s">
        <v>4098</v>
      </c>
      <c r="AZ303" t="s">
        <v>4099</v>
      </c>
      <c r="BA303" t="s">
        <v>1523</v>
      </c>
      <c r="BB303" t="s">
        <v>1524</v>
      </c>
      <c r="BC303" t="s">
        <v>188</v>
      </c>
      <c r="BD303">
        <v>529000</v>
      </c>
      <c r="BE303" t="s">
        <v>4100</v>
      </c>
      <c r="BF303" t="s">
        <v>4101</v>
      </c>
      <c r="BG303" t="b">
        <v>0</v>
      </c>
      <c r="BH303" s="6" t="s">
        <v>4102</v>
      </c>
      <c r="BI303" t="s">
        <v>4103</v>
      </c>
      <c r="BJ303">
        <v>4453163191</v>
      </c>
      <c r="BK303" t="s">
        <v>162</v>
      </c>
      <c r="BL303" t="s">
        <v>161</v>
      </c>
      <c r="BM303" s="2"/>
      <c r="BO303" t="s">
        <v>89</v>
      </c>
      <c r="BP303">
        <v>3921909090</v>
      </c>
      <c r="BR303" t="s">
        <v>180</v>
      </c>
      <c r="BS303" t="s">
        <v>103</v>
      </c>
      <c r="BU303">
        <v>0</v>
      </c>
      <c r="BV303">
        <v>0</v>
      </c>
      <c r="BW303">
        <v>0</v>
      </c>
      <c r="BX303">
        <v>0</v>
      </c>
      <c r="BY303">
        <v>0</v>
      </c>
      <c r="BZ303">
        <v>0</v>
      </c>
      <c r="CA303">
        <v>0</v>
      </c>
      <c r="CF303" s="2"/>
      <c r="CH303" s="2"/>
      <c r="CJ303">
        <v>5.3142019950163501E+17</v>
      </c>
      <c r="CK303" t="s">
        <v>1509</v>
      </c>
      <c r="CL303" t="s">
        <v>4160</v>
      </c>
      <c r="CO303" t="s">
        <v>11</v>
      </c>
      <c r="CP303" t="s">
        <v>4161</v>
      </c>
      <c r="CQ303" t="s">
        <v>11</v>
      </c>
      <c r="CR303">
        <v>163.91</v>
      </c>
      <c r="CV303" t="s">
        <v>190</v>
      </c>
      <c r="CW303" t="s">
        <v>12</v>
      </c>
      <c r="CX303" t="s">
        <v>12</v>
      </c>
      <c r="CY303" t="s">
        <v>12</v>
      </c>
      <c r="DA303" t="s">
        <v>104</v>
      </c>
      <c r="DD303" t="s">
        <v>93</v>
      </c>
      <c r="DQ303" t="s">
        <v>94</v>
      </c>
      <c r="DR303" t="s">
        <v>94</v>
      </c>
      <c r="DS303" t="s">
        <v>94</v>
      </c>
      <c r="DT303" t="s">
        <v>94</v>
      </c>
      <c r="DU303" t="s">
        <v>94</v>
      </c>
      <c r="DV303" t="s">
        <v>94</v>
      </c>
      <c r="DW303" t="s">
        <v>94</v>
      </c>
      <c r="DX303" s="2" t="s">
        <v>94</v>
      </c>
      <c r="DY303" t="s">
        <v>94</v>
      </c>
      <c r="DZ303" t="s">
        <v>94</v>
      </c>
      <c r="EA303" t="s">
        <v>94</v>
      </c>
      <c r="EB303" t="s">
        <v>94</v>
      </c>
      <c r="EC303" t="s">
        <v>94</v>
      </c>
      <c r="ED303" t="s">
        <v>94</v>
      </c>
      <c r="EE303" t="s">
        <v>89</v>
      </c>
      <c r="EF303" t="s">
        <v>425</v>
      </c>
      <c r="EG303" t="s">
        <v>105</v>
      </c>
      <c r="EJ303" t="s">
        <v>166</v>
      </c>
      <c r="EK303" t="b">
        <v>0</v>
      </c>
      <c r="EL303" t="b">
        <v>0</v>
      </c>
      <c r="EM303" t="b">
        <v>0</v>
      </c>
    </row>
    <row r="304" spans="3:143">
      <c r="C304" s="4">
        <v>3</v>
      </c>
      <c r="D304" s="5"/>
      <c r="E304" s="5">
        <v>1</v>
      </c>
      <c r="F304" s="4">
        <v>0.48</v>
      </c>
      <c r="G304" s="5" t="s">
        <v>4148</v>
      </c>
      <c r="H304" s="4" t="s">
        <v>4162</v>
      </c>
      <c r="I304" s="4" t="s">
        <v>817</v>
      </c>
      <c r="J304" s="4"/>
      <c r="K304" s="22" t="s">
        <v>4077</v>
      </c>
      <c r="L304" s="84" t="s">
        <v>3806</v>
      </c>
      <c r="M304" s="23" t="s">
        <v>817</v>
      </c>
      <c r="N304" s="23">
        <v>43779</v>
      </c>
      <c r="O304" s="24" t="s">
        <v>102</v>
      </c>
      <c r="P304" s="24" t="s">
        <v>179</v>
      </c>
      <c r="Q304" s="24">
        <v>1</v>
      </c>
      <c r="R304" s="24">
        <v>0.48</v>
      </c>
      <c r="S304" t="s">
        <v>11</v>
      </c>
      <c r="T304">
        <v>150</v>
      </c>
      <c r="U304" s="2" t="s">
        <v>163</v>
      </c>
      <c r="V304" t="s">
        <v>4157</v>
      </c>
      <c r="W304" s="2" t="s">
        <v>444</v>
      </c>
      <c r="X304" t="s">
        <v>4151</v>
      </c>
      <c r="AB304" t="s">
        <v>9</v>
      </c>
      <c r="AC304" t="s">
        <v>2131</v>
      </c>
      <c r="AD304" t="s">
        <v>819</v>
      </c>
      <c r="AE304">
        <v>34515</v>
      </c>
      <c r="AF304">
        <v>34515</v>
      </c>
      <c r="AG304" t="s">
        <v>183</v>
      </c>
      <c r="AH304" t="s">
        <v>4078</v>
      </c>
      <c r="AI304" t="s">
        <v>4078</v>
      </c>
      <c r="AJ304" t="s">
        <v>1257</v>
      </c>
      <c r="AK304" t="s">
        <v>1258</v>
      </c>
      <c r="AL304" t="s">
        <v>4079</v>
      </c>
      <c r="AM304" t="s">
        <v>4080</v>
      </c>
      <c r="AO304" t="s">
        <v>4081</v>
      </c>
      <c r="AP304" t="s">
        <v>2135</v>
      </c>
      <c r="AR304" t="s">
        <v>4163</v>
      </c>
      <c r="AS304" t="s">
        <v>4164</v>
      </c>
      <c r="AT304" t="s">
        <v>4082</v>
      </c>
      <c r="AU304" t="s">
        <v>10</v>
      </c>
      <c r="AV304" t="s">
        <v>4083</v>
      </c>
      <c r="AW304" t="s">
        <v>4083</v>
      </c>
      <c r="AX304" t="s">
        <v>4084</v>
      </c>
      <c r="AY304" t="s">
        <v>4085</v>
      </c>
      <c r="BA304" t="s">
        <v>1561</v>
      </c>
      <c r="BB304" t="s">
        <v>832</v>
      </c>
      <c r="BC304" t="s">
        <v>188</v>
      </c>
      <c r="BD304">
        <v>519000</v>
      </c>
      <c r="BE304" t="s">
        <v>4165</v>
      </c>
      <c r="BF304" t="s">
        <v>4086</v>
      </c>
      <c r="BG304" t="b">
        <v>0</v>
      </c>
      <c r="BH304" s="6" t="s">
        <v>4087</v>
      </c>
      <c r="BI304" t="s">
        <v>4088</v>
      </c>
      <c r="BJ304">
        <v>4453163191</v>
      </c>
      <c r="BK304" t="s">
        <v>162</v>
      </c>
      <c r="BL304" t="s">
        <v>161</v>
      </c>
      <c r="BM304" s="2"/>
      <c r="BO304" t="s">
        <v>89</v>
      </c>
      <c r="BP304">
        <v>3926909090</v>
      </c>
      <c r="BR304" t="s">
        <v>180</v>
      </c>
      <c r="BS304" t="s">
        <v>103</v>
      </c>
      <c r="BU304">
        <v>0</v>
      </c>
      <c r="BV304">
        <v>0</v>
      </c>
      <c r="BW304">
        <v>0</v>
      </c>
      <c r="BX304">
        <v>0</v>
      </c>
      <c r="BY304">
        <v>0</v>
      </c>
      <c r="BZ304">
        <v>0</v>
      </c>
      <c r="CA304">
        <v>0</v>
      </c>
      <c r="CF304" s="2"/>
      <c r="CH304" s="2"/>
      <c r="CJ304">
        <v>5.3142019950163501E+17</v>
      </c>
      <c r="CK304" t="s">
        <v>1509</v>
      </c>
      <c r="CL304" t="s">
        <v>4166</v>
      </c>
      <c r="CO304" t="s">
        <v>11</v>
      </c>
      <c r="CP304" t="s">
        <v>4167</v>
      </c>
      <c r="CQ304" t="s">
        <v>11</v>
      </c>
      <c r="CR304">
        <v>150</v>
      </c>
      <c r="CV304" t="s">
        <v>190</v>
      </c>
      <c r="CW304" t="s">
        <v>12</v>
      </c>
      <c r="CX304" t="s">
        <v>12</v>
      </c>
      <c r="CY304" t="s">
        <v>12</v>
      </c>
      <c r="DA304" t="s">
        <v>104</v>
      </c>
      <c r="DD304" t="s">
        <v>93</v>
      </c>
      <c r="DQ304" t="s">
        <v>94</v>
      </c>
      <c r="DR304" t="s">
        <v>94</v>
      </c>
      <c r="DS304" t="s">
        <v>94</v>
      </c>
      <c r="DT304" t="s">
        <v>94</v>
      </c>
      <c r="DU304" t="s">
        <v>94</v>
      </c>
      <c r="DV304" t="s">
        <v>94</v>
      </c>
      <c r="DW304" t="s">
        <v>94</v>
      </c>
      <c r="DX304" s="2" t="s">
        <v>94</v>
      </c>
      <c r="DY304" t="s">
        <v>94</v>
      </c>
      <c r="DZ304" t="s">
        <v>94</v>
      </c>
      <c r="EA304" t="s">
        <v>94</v>
      </c>
      <c r="EB304" t="s">
        <v>94</v>
      </c>
      <c r="EC304" t="s">
        <v>94</v>
      </c>
      <c r="ED304" t="s">
        <v>94</v>
      </c>
      <c r="EE304" t="s">
        <v>89</v>
      </c>
      <c r="EF304" t="s">
        <v>425</v>
      </c>
      <c r="EG304" t="s">
        <v>105</v>
      </c>
      <c r="EJ304" t="s">
        <v>166</v>
      </c>
      <c r="EK304" t="b">
        <v>0</v>
      </c>
      <c r="EL304" t="b">
        <v>0</v>
      </c>
      <c r="EM304" t="b">
        <v>0</v>
      </c>
    </row>
    <row r="305" spans="3:143">
      <c r="C305" s="4">
        <v>3</v>
      </c>
      <c r="D305" s="5"/>
      <c r="E305" s="4">
        <v>1</v>
      </c>
      <c r="F305" s="4">
        <v>10.55</v>
      </c>
      <c r="G305" s="5" t="s">
        <v>4148</v>
      </c>
      <c r="H305" s="4" t="s">
        <v>4168</v>
      </c>
      <c r="I305" s="4" t="s">
        <v>817</v>
      </c>
      <c r="J305" s="4"/>
      <c r="K305" s="22" t="s">
        <v>4061</v>
      </c>
      <c r="L305" s="84" t="s">
        <v>3806</v>
      </c>
      <c r="M305" s="23" t="s">
        <v>817</v>
      </c>
      <c r="N305" s="23">
        <v>43779</v>
      </c>
      <c r="O305" s="24" t="s">
        <v>102</v>
      </c>
      <c r="P305" s="24" t="s">
        <v>181</v>
      </c>
      <c r="Q305" s="24">
        <v>1</v>
      </c>
      <c r="R305" s="24">
        <v>10.55</v>
      </c>
      <c r="S305" t="s">
        <v>4062</v>
      </c>
      <c r="T305">
        <v>27728</v>
      </c>
      <c r="U305" s="2" t="s">
        <v>163</v>
      </c>
      <c r="V305" t="s">
        <v>4169</v>
      </c>
      <c r="W305" s="2" t="s">
        <v>444</v>
      </c>
      <c r="X305" t="s">
        <v>4151</v>
      </c>
      <c r="AB305" t="s">
        <v>9</v>
      </c>
      <c r="AC305" t="s">
        <v>1531</v>
      </c>
      <c r="AD305" t="s">
        <v>182</v>
      </c>
      <c r="AE305">
        <v>534922</v>
      </c>
      <c r="AF305">
        <v>534922</v>
      </c>
      <c r="AG305" t="s">
        <v>183</v>
      </c>
      <c r="AH305" t="s">
        <v>4063</v>
      </c>
      <c r="AI305" t="s">
        <v>4063</v>
      </c>
      <c r="AJ305" t="s">
        <v>1533</v>
      </c>
      <c r="AK305" t="s">
        <v>1534</v>
      </c>
      <c r="AL305" t="s">
        <v>4064</v>
      </c>
      <c r="AO305" t="s">
        <v>4065</v>
      </c>
      <c r="AP305" t="s">
        <v>1538</v>
      </c>
      <c r="AQ305" t="s">
        <v>4066</v>
      </c>
      <c r="AR305" t="s">
        <v>4170</v>
      </c>
      <c r="AS305" t="s">
        <v>4067</v>
      </c>
      <c r="AT305" t="s">
        <v>4068</v>
      </c>
      <c r="AU305" t="s">
        <v>10</v>
      </c>
      <c r="AV305" t="s">
        <v>4069</v>
      </c>
      <c r="AW305" t="s">
        <v>4069</v>
      </c>
      <c r="AX305" t="s">
        <v>4070</v>
      </c>
      <c r="AY305" t="s">
        <v>4071</v>
      </c>
      <c r="AZ305" t="s">
        <v>4072</v>
      </c>
      <c r="BA305" t="s">
        <v>186</v>
      </c>
      <c r="BB305" t="s">
        <v>187</v>
      </c>
      <c r="BC305" t="s">
        <v>188</v>
      </c>
      <c r="BD305">
        <v>518105</v>
      </c>
      <c r="BE305" t="s">
        <v>4073</v>
      </c>
      <c r="BF305" t="s">
        <v>4074</v>
      </c>
      <c r="BG305" t="b">
        <v>0</v>
      </c>
      <c r="BH305" s="6" t="s">
        <v>4075</v>
      </c>
      <c r="BI305" t="s">
        <v>4076</v>
      </c>
      <c r="BJ305">
        <v>4453163191</v>
      </c>
      <c r="BK305" t="s">
        <v>162</v>
      </c>
      <c r="BL305" t="s">
        <v>161</v>
      </c>
      <c r="BM305" s="2"/>
      <c r="BO305" t="s">
        <v>89</v>
      </c>
      <c r="BP305">
        <v>3926909090</v>
      </c>
      <c r="BR305" t="s">
        <v>189</v>
      </c>
      <c r="BS305" t="s">
        <v>103</v>
      </c>
      <c r="BU305">
        <v>120.16</v>
      </c>
      <c r="BV305">
        <v>249.96</v>
      </c>
      <c r="BW305">
        <v>0</v>
      </c>
      <c r="BX305">
        <v>0</v>
      </c>
      <c r="BY305">
        <v>0</v>
      </c>
      <c r="BZ305">
        <v>0</v>
      </c>
      <c r="CA305">
        <v>370.12</v>
      </c>
      <c r="CF305" s="2"/>
      <c r="CH305" s="2"/>
      <c r="CJ305">
        <v>5.3142019950163501E+17</v>
      </c>
      <c r="CK305" t="s">
        <v>1509</v>
      </c>
      <c r="CL305" t="s">
        <v>4171</v>
      </c>
      <c r="CO305" t="s">
        <v>11</v>
      </c>
      <c r="CP305" t="s">
        <v>4172</v>
      </c>
      <c r="CQ305" t="s">
        <v>11</v>
      </c>
      <c r="CR305">
        <v>1802.6</v>
      </c>
      <c r="CV305" t="s">
        <v>190</v>
      </c>
      <c r="CW305" t="s">
        <v>12</v>
      </c>
      <c r="CX305" t="s">
        <v>12</v>
      </c>
      <c r="CY305" t="s">
        <v>12</v>
      </c>
      <c r="DA305" t="s">
        <v>104</v>
      </c>
      <c r="DD305" t="s">
        <v>93</v>
      </c>
      <c r="DQ305" t="s">
        <v>94</v>
      </c>
      <c r="DR305" t="s">
        <v>94</v>
      </c>
      <c r="DS305" t="s">
        <v>94</v>
      </c>
      <c r="DT305" t="s">
        <v>94</v>
      </c>
      <c r="DU305" t="s">
        <v>94</v>
      </c>
      <c r="DV305" t="s">
        <v>94</v>
      </c>
      <c r="DW305" t="s">
        <v>94</v>
      </c>
      <c r="DX305" s="2" t="s">
        <v>94</v>
      </c>
      <c r="DY305" t="s">
        <v>94</v>
      </c>
      <c r="DZ305" t="s">
        <v>94</v>
      </c>
      <c r="EA305" t="s">
        <v>94</v>
      </c>
      <c r="EB305" t="s">
        <v>94</v>
      </c>
      <c r="EC305" t="s">
        <v>94</v>
      </c>
      <c r="ED305" t="s">
        <v>94</v>
      </c>
      <c r="EE305" t="s">
        <v>89</v>
      </c>
      <c r="EF305" t="s">
        <v>425</v>
      </c>
      <c r="EG305" t="s">
        <v>105</v>
      </c>
      <c r="EJ305" t="s">
        <v>166</v>
      </c>
      <c r="EK305" t="b">
        <v>0</v>
      </c>
      <c r="EL305" t="b">
        <v>0</v>
      </c>
      <c r="EM305" t="b">
        <v>0</v>
      </c>
    </row>
    <row r="306" spans="3:143" ht="15">
      <c r="C306" s="82">
        <v>3</v>
      </c>
      <c r="D306" s="5"/>
      <c r="E306" s="4">
        <v>1</v>
      </c>
      <c r="F306" s="5">
        <v>31.66</v>
      </c>
      <c r="G306" s="5" t="s">
        <v>4173</v>
      </c>
      <c r="H306" s="4" t="s">
        <v>4174</v>
      </c>
      <c r="I306" s="81" t="s">
        <v>920</v>
      </c>
      <c r="J306" s="21"/>
      <c r="K306" s="22" t="s">
        <v>4118</v>
      </c>
      <c r="L306" s="84" t="s">
        <v>3670</v>
      </c>
      <c r="M306" s="23" t="s">
        <v>920</v>
      </c>
      <c r="N306" s="23">
        <v>43782</v>
      </c>
      <c r="O306" s="24" t="s">
        <v>102</v>
      </c>
      <c r="P306" s="24" t="s">
        <v>181</v>
      </c>
      <c r="Q306" s="24">
        <v>1</v>
      </c>
      <c r="R306" s="24">
        <v>31.66</v>
      </c>
      <c r="S306" t="s">
        <v>11</v>
      </c>
      <c r="T306">
        <v>880</v>
      </c>
      <c r="U306" s="2" t="s">
        <v>163</v>
      </c>
      <c r="V306" t="s">
        <v>4175</v>
      </c>
      <c r="W306" s="2" t="s">
        <v>444</v>
      </c>
      <c r="X306" t="s">
        <v>4176</v>
      </c>
      <c r="AB306" t="s">
        <v>9</v>
      </c>
      <c r="AC306" t="s">
        <v>4119</v>
      </c>
      <c r="AD306" t="s">
        <v>209</v>
      </c>
      <c r="AE306">
        <v>149928</v>
      </c>
      <c r="AF306">
        <v>149928</v>
      </c>
      <c r="AG306" t="s">
        <v>183</v>
      </c>
      <c r="AH306" t="s">
        <v>4120</v>
      </c>
      <c r="AI306" t="s">
        <v>4120</v>
      </c>
      <c r="AJ306" t="s">
        <v>484</v>
      </c>
      <c r="AK306" t="s">
        <v>485</v>
      </c>
      <c r="AL306" t="s">
        <v>4121</v>
      </c>
      <c r="AO306" t="s">
        <v>4122</v>
      </c>
      <c r="AP306" t="s">
        <v>4123</v>
      </c>
      <c r="AQ306" t="s">
        <v>4108</v>
      </c>
      <c r="AR306" t="s">
        <v>4124</v>
      </c>
      <c r="AS306">
        <v>-31162515458</v>
      </c>
      <c r="AT306" t="s">
        <v>4125</v>
      </c>
      <c r="AU306" t="s">
        <v>10</v>
      </c>
      <c r="AV306" t="s">
        <v>4126</v>
      </c>
      <c r="AW306" t="s">
        <v>4127</v>
      </c>
      <c r="AX306" t="s">
        <v>4128</v>
      </c>
      <c r="AY306" s="2" t="s">
        <v>4129</v>
      </c>
      <c r="AZ306" t="s">
        <v>4130</v>
      </c>
      <c r="BA306" t="s">
        <v>520</v>
      </c>
      <c r="BB306" t="s">
        <v>223</v>
      </c>
      <c r="BC306" t="s">
        <v>188</v>
      </c>
      <c r="BD306">
        <v>510663</v>
      </c>
      <c r="BE306" t="s">
        <v>4177</v>
      </c>
      <c r="BF306" t="s">
        <v>4131</v>
      </c>
      <c r="BG306" t="b">
        <v>0</v>
      </c>
      <c r="BH306" s="6" t="s">
        <v>4132</v>
      </c>
      <c r="BI306" t="s">
        <v>4133</v>
      </c>
      <c r="BJ306">
        <v>4453163191</v>
      </c>
      <c r="BK306" t="s">
        <v>162</v>
      </c>
      <c r="BL306" t="s">
        <v>161</v>
      </c>
      <c r="BM306" s="2"/>
      <c r="BO306" t="s">
        <v>89</v>
      </c>
      <c r="BP306">
        <v>7006000090</v>
      </c>
      <c r="BR306" t="s">
        <v>189</v>
      </c>
      <c r="BS306" t="s">
        <v>103</v>
      </c>
      <c r="BU306">
        <v>88</v>
      </c>
      <c r="BV306">
        <v>125.84</v>
      </c>
      <c r="BW306">
        <v>0</v>
      </c>
      <c r="BX306">
        <v>0</v>
      </c>
      <c r="BY306">
        <v>0</v>
      </c>
      <c r="BZ306">
        <v>0</v>
      </c>
      <c r="CA306">
        <v>213.84</v>
      </c>
      <c r="CF306" s="2"/>
      <c r="CH306" s="2"/>
      <c r="CJ306">
        <v>5.3142019950164998E+17</v>
      </c>
      <c r="CK306" t="s">
        <v>1849</v>
      </c>
      <c r="CL306" t="s">
        <v>4178</v>
      </c>
      <c r="CO306" t="s">
        <v>11</v>
      </c>
      <c r="CP306">
        <v>880</v>
      </c>
      <c r="CQ306" t="s">
        <v>11</v>
      </c>
      <c r="CR306">
        <v>880</v>
      </c>
      <c r="CV306" t="s">
        <v>190</v>
      </c>
      <c r="CW306" t="s">
        <v>12</v>
      </c>
      <c r="CX306" t="s">
        <v>12</v>
      </c>
      <c r="CY306" t="s">
        <v>12</v>
      </c>
      <c r="DA306" t="s">
        <v>104</v>
      </c>
      <c r="DD306" t="s">
        <v>93</v>
      </c>
      <c r="DQ306" t="s">
        <v>94</v>
      </c>
      <c r="DR306" t="s">
        <v>94</v>
      </c>
      <c r="DS306" t="s">
        <v>94</v>
      </c>
      <c r="DT306" t="s">
        <v>94</v>
      </c>
      <c r="DU306" t="s">
        <v>94</v>
      </c>
      <c r="DV306" t="s">
        <v>94</v>
      </c>
      <c r="DW306" t="s">
        <v>94</v>
      </c>
      <c r="DX306" s="2" t="s">
        <v>94</v>
      </c>
      <c r="DY306" t="s">
        <v>94</v>
      </c>
      <c r="DZ306" t="s">
        <v>94</v>
      </c>
      <c r="EA306" t="s">
        <v>94</v>
      </c>
      <c r="EB306" t="s">
        <v>94</v>
      </c>
      <c r="EC306" t="s">
        <v>94</v>
      </c>
      <c r="ED306" t="s">
        <v>94</v>
      </c>
      <c r="EE306" t="s">
        <v>89</v>
      </c>
      <c r="EF306" t="s">
        <v>425</v>
      </c>
      <c r="EG306" t="s">
        <v>105</v>
      </c>
      <c r="EJ306" t="s">
        <v>526</v>
      </c>
      <c r="EK306" t="b">
        <v>0</v>
      </c>
      <c r="EL306" t="b">
        <v>0</v>
      </c>
      <c r="EM306" t="b">
        <v>0</v>
      </c>
    </row>
    <row r="307" spans="3:143">
      <c r="C307" s="4">
        <v>3</v>
      </c>
      <c r="D307" s="4"/>
      <c r="E307" s="4">
        <v>1</v>
      </c>
      <c r="F307" s="4">
        <v>0.45</v>
      </c>
      <c r="G307" s="5" t="s">
        <v>4179</v>
      </c>
      <c r="H307" s="4" t="s">
        <v>4180</v>
      </c>
      <c r="I307" s="4" t="s">
        <v>920</v>
      </c>
      <c r="J307" s="5"/>
      <c r="K307" s="22" t="s">
        <v>4033</v>
      </c>
      <c r="L307" s="84" t="s">
        <v>3670</v>
      </c>
      <c r="M307" s="23" t="s">
        <v>3671</v>
      </c>
      <c r="N307" s="23">
        <v>43777</v>
      </c>
      <c r="O307" s="24" t="s">
        <v>102</v>
      </c>
      <c r="P307" s="24" t="s">
        <v>179</v>
      </c>
      <c r="Q307" s="24">
        <v>1</v>
      </c>
      <c r="R307" s="24">
        <v>0.45</v>
      </c>
      <c r="S307" t="s">
        <v>319</v>
      </c>
      <c r="T307">
        <v>26</v>
      </c>
      <c r="U307" s="2" t="s">
        <v>163</v>
      </c>
      <c r="V307" t="s">
        <v>4181</v>
      </c>
      <c r="W307" s="2" t="s">
        <v>444</v>
      </c>
      <c r="X307" t="s">
        <v>4182</v>
      </c>
      <c r="AB307" t="s">
        <v>9</v>
      </c>
      <c r="AC307" t="s">
        <v>4034</v>
      </c>
      <c r="AD307" t="s">
        <v>209</v>
      </c>
      <c r="AE307">
        <v>509927</v>
      </c>
      <c r="AF307">
        <v>509927</v>
      </c>
      <c r="AG307" t="s">
        <v>183</v>
      </c>
      <c r="AH307" t="s">
        <v>4035</v>
      </c>
      <c r="AI307" t="s">
        <v>4035</v>
      </c>
      <c r="AJ307" t="s">
        <v>2786</v>
      </c>
      <c r="AK307" t="s">
        <v>2787</v>
      </c>
      <c r="AL307" t="s">
        <v>4036</v>
      </c>
      <c r="AM307" t="s">
        <v>4037</v>
      </c>
      <c r="AO307" t="s">
        <v>4038</v>
      </c>
      <c r="AP307" t="s">
        <v>4039</v>
      </c>
      <c r="AQ307" t="s">
        <v>3952</v>
      </c>
      <c r="AR307" t="s">
        <v>4183</v>
      </c>
      <c r="AS307">
        <v>82234840933</v>
      </c>
      <c r="AT307" t="s">
        <v>4040</v>
      </c>
      <c r="AU307" t="s">
        <v>10</v>
      </c>
      <c r="AV307" t="s">
        <v>4041</v>
      </c>
      <c r="AW307" t="s">
        <v>4041</v>
      </c>
      <c r="AX307" t="s">
        <v>4042</v>
      </c>
      <c r="AY307" t="s">
        <v>4043</v>
      </c>
      <c r="AZ307" t="s">
        <v>4044</v>
      </c>
      <c r="BA307" t="s">
        <v>1446</v>
      </c>
      <c r="BB307" t="s">
        <v>223</v>
      </c>
      <c r="BC307" t="s">
        <v>188</v>
      </c>
      <c r="BD307">
        <v>510730</v>
      </c>
      <c r="BE307" t="s">
        <v>4184</v>
      </c>
      <c r="BF307" t="s">
        <v>4045</v>
      </c>
      <c r="BG307" t="b">
        <v>0</v>
      </c>
      <c r="BH307" s="6" t="s">
        <v>4046</v>
      </c>
      <c r="BI307" t="s">
        <v>4047</v>
      </c>
      <c r="BJ307">
        <v>4453163191</v>
      </c>
      <c r="BK307" t="s">
        <v>162</v>
      </c>
      <c r="BL307" t="s">
        <v>161</v>
      </c>
      <c r="BM307" s="2"/>
      <c r="BO307" t="s">
        <v>89</v>
      </c>
      <c r="BP307">
        <v>39232900</v>
      </c>
      <c r="BR307" t="s">
        <v>180</v>
      </c>
      <c r="BS307" t="s">
        <v>103</v>
      </c>
      <c r="BU307">
        <v>0</v>
      </c>
      <c r="BV307">
        <v>0</v>
      </c>
      <c r="BW307">
        <v>0</v>
      </c>
      <c r="BX307">
        <v>0</v>
      </c>
      <c r="BY307">
        <v>0</v>
      </c>
      <c r="BZ307">
        <v>0</v>
      </c>
      <c r="CA307">
        <v>0</v>
      </c>
      <c r="CF307" s="2"/>
      <c r="CH307" s="2"/>
      <c r="CJ307">
        <v>5.3142019950162701E+17</v>
      </c>
      <c r="CK307" t="s">
        <v>1849</v>
      </c>
      <c r="CL307" t="s">
        <v>4185</v>
      </c>
      <c r="CO307" t="s">
        <v>11</v>
      </c>
      <c r="CP307">
        <v>183.94</v>
      </c>
      <c r="CQ307" t="s">
        <v>11</v>
      </c>
      <c r="CR307">
        <v>183.94</v>
      </c>
      <c r="CV307" t="s">
        <v>190</v>
      </c>
      <c r="CW307" t="s">
        <v>12</v>
      </c>
      <c r="CX307" t="s">
        <v>12</v>
      </c>
      <c r="CY307" t="s">
        <v>12</v>
      </c>
      <c r="DA307" t="s">
        <v>104</v>
      </c>
      <c r="DD307" t="s">
        <v>93</v>
      </c>
      <c r="DQ307" t="s">
        <v>94</v>
      </c>
      <c r="DR307" t="s">
        <v>94</v>
      </c>
      <c r="DS307" t="s">
        <v>94</v>
      </c>
      <c r="DT307" t="s">
        <v>94</v>
      </c>
      <c r="DU307" t="s">
        <v>94</v>
      </c>
      <c r="DV307" t="s">
        <v>94</v>
      </c>
      <c r="DW307" t="s">
        <v>94</v>
      </c>
      <c r="DX307" s="2" t="s">
        <v>94</v>
      </c>
      <c r="DY307" t="s">
        <v>94</v>
      </c>
      <c r="DZ307" t="s">
        <v>94</v>
      </c>
      <c r="EA307" t="s">
        <v>94</v>
      </c>
      <c r="EB307" t="s">
        <v>94</v>
      </c>
      <c r="EC307" t="s">
        <v>94</v>
      </c>
      <c r="ED307" t="s">
        <v>94</v>
      </c>
      <c r="EE307" t="s">
        <v>89</v>
      </c>
      <c r="EF307" t="s">
        <v>425</v>
      </c>
      <c r="EG307" t="s">
        <v>105</v>
      </c>
      <c r="EJ307" t="s">
        <v>166</v>
      </c>
      <c r="EK307" t="b">
        <v>0</v>
      </c>
      <c r="EL307" t="b">
        <v>0</v>
      </c>
      <c r="EM307" t="b">
        <v>0</v>
      </c>
    </row>
    <row r="308" spans="3:143" ht="15">
      <c r="C308" s="82">
        <v>3</v>
      </c>
      <c r="D308" s="5"/>
      <c r="E308" s="4">
        <v>1</v>
      </c>
      <c r="F308" s="5">
        <v>5.4</v>
      </c>
      <c r="G308" s="5" t="s">
        <v>4186</v>
      </c>
      <c r="H308" s="4" t="s">
        <v>4187</v>
      </c>
      <c r="I308" s="81" t="s">
        <v>164</v>
      </c>
      <c r="J308" s="21"/>
      <c r="K308" s="22" t="s">
        <v>4048</v>
      </c>
      <c r="L308" s="84" t="s">
        <v>3488</v>
      </c>
      <c r="M308" s="23" t="s">
        <v>164</v>
      </c>
      <c r="N308" s="23">
        <v>43775</v>
      </c>
      <c r="O308" s="24" t="s">
        <v>102</v>
      </c>
      <c r="P308" s="24" t="s">
        <v>181</v>
      </c>
      <c r="Q308" s="24">
        <v>1</v>
      </c>
      <c r="R308" s="24">
        <v>5.4</v>
      </c>
      <c r="S308" t="s">
        <v>319</v>
      </c>
      <c r="T308">
        <v>515</v>
      </c>
      <c r="U308" s="2" t="s">
        <v>163</v>
      </c>
      <c r="V308" t="s">
        <v>4188</v>
      </c>
      <c r="W308" s="2" t="s">
        <v>444</v>
      </c>
      <c r="X308" t="s">
        <v>4189</v>
      </c>
      <c r="AB308" t="s">
        <v>9</v>
      </c>
      <c r="AC308" t="s">
        <v>3251</v>
      </c>
      <c r="AD308" t="s">
        <v>182</v>
      </c>
      <c r="AE308">
        <v>541891</v>
      </c>
      <c r="AF308">
        <v>541891</v>
      </c>
      <c r="AG308" t="s">
        <v>4190</v>
      </c>
      <c r="AH308" t="s">
        <v>4049</v>
      </c>
      <c r="AI308" t="s">
        <v>4049</v>
      </c>
      <c r="AJ308" t="s">
        <v>2786</v>
      </c>
      <c r="AK308" t="s">
        <v>2787</v>
      </c>
      <c r="AL308" t="s">
        <v>4050</v>
      </c>
      <c r="AO308" t="s">
        <v>4051</v>
      </c>
      <c r="AP308" t="s">
        <v>3254</v>
      </c>
      <c r="AQ308" t="s">
        <v>2792</v>
      </c>
      <c r="AR308">
        <v>18103</v>
      </c>
      <c r="AS308">
        <v>317426661</v>
      </c>
      <c r="AT308" t="s">
        <v>4052</v>
      </c>
      <c r="AU308" t="s">
        <v>10</v>
      </c>
      <c r="AV308" t="s">
        <v>4053</v>
      </c>
      <c r="AW308" t="s">
        <v>4054</v>
      </c>
      <c r="AX308" t="s">
        <v>4055</v>
      </c>
      <c r="AY308" s="2" t="s">
        <v>4056</v>
      </c>
      <c r="AZ308" t="s">
        <v>3455</v>
      </c>
      <c r="BA308" t="s">
        <v>271</v>
      </c>
      <c r="BB308" t="s">
        <v>272</v>
      </c>
      <c r="BC308" t="s">
        <v>188</v>
      </c>
      <c r="BD308">
        <v>518057</v>
      </c>
      <c r="BE308" t="s">
        <v>4057</v>
      </c>
      <c r="BF308" t="s">
        <v>4058</v>
      </c>
      <c r="BG308" t="b">
        <v>0</v>
      </c>
      <c r="BH308" s="6" t="s">
        <v>4059</v>
      </c>
      <c r="BI308" t="s">
        <v>4060</v>
      </c>
      <c r="BJ308">
        <v>4453163191</v>
      </c>
      <c r="BK308" t="s">
        <v>162</v>
      </c>
      <c r="BL308" t="s">
        <v>161</v>
      </c>
      <c r="BM308" s="2"/>
      <c r="BN308">
        <v>9.1440300567053504E+17</v>
      </c>
      <c r="BO308" t="s">
        <v>89</v>
      </c>
      <c r="BP308">
        <v>9032899090</v>
      </c>
      <c r="BR308" t="s">
        <v>189</v>
      </c>
      <c r="BS308" t="s">
        <v>103</v>
      </c>
      <c r="BU308">
        <v>173.33</v>
      </c>
      <c r="BV308">
        <v>496.18</v>
      </c>
      <c r="BW308">
        <v>0</v>
      </c>
      <c r="BX308">
        <v>0</v>
      </c>
      <c r="BY308">
        <v>0</v>
      </c>
      <c r="BZ308">
        <v>0</v>
      </c>
      <c r="CA308">
        <v>669.51</v>
      </c>
      <c r="CF308" s="2"/>
      <c r="CH308" s="2"/>
      <c r="CJ308">
        <v>5.3142019950161101E+17</v>
      </c>
      <c r="CK308" t="s">
        <v>1849</v>
      </c>
      <c r="CL308" t="s">
        <v>4191</v>
      </c>
      <c r="CO308" t="s">
        <v>11</v>
      </c>
      <c r="CP308">
        <v>3643.42</v>
      </c>
      <c r="CQ308" t="s">
        <v>11</v>
      </c>
      <c r="CR308">
        <v>3643.42</v>
      </c>
      <c r="CV308" t="s">
        <v>525</v>
      </c>
      <c r="CW308" t="s">
        <v>12</v>
      </c>
      <c r="CX308" t="s">
        <v>12</v>
      </c>
      <c r="CY308" t="s">
        <v>12</v>
      </c>
      <c r="DA308" t="s">
        <v>104</v>
      </c>
      <c r="DD308" t="s">
        <v>93</v>
      </c>
      <c r="DQ308" t="s">
        <v>94</v>
      </c>
      <c r="DR308" t="s">
        <v>94</v>
      </c>
      <c r="DS308" t="s">
        <v>94</v>
      </c>
      <c r="DT308" t="s">
        <v>94</v>
      </c>
      <c r="DU308" t="s">
        <v>94</v>
      </c>
      <c r="DV308" t="s">
        <v>94</v>
      </c>
      <c r="DW308" t="s">
        <v>94</v>
      </c>
      <c r="DX308" s="2" t="s">
        <v>94</v>
      </c>
      <c r="DY308" t="s">
        <v>94</v>
      </c>
      <c r="DZ308" t="s">
        <v>94</v>
      </c>
      <c r="EA308" t="s">
        <v>94</v>
      </c>
      <c r="EB308" t="s">
        <v>94</v>
      </c>
      <c r="EC308" t="s">
        <v>94</v>
      </c>
      <c r="ED308" t="s">
        <v>94</v>
      </c>
      <c r="EE308" t="s">
        <v>89</v>
      </c>
      <c r="EF308" t="s">
        <v>425</v>
      </c>
      <c r="EG308" t="s">
        <v>105</v>
      </c>
      <c r="EJ308" t="s">
        <v>166</v>
      </c>
      <c r="EK308" t="b">
        <v>0</v>
      </c>
      <c r="EL308" t="b">
        <v>0</v>
      </c>
      <c r="EM308" t="b">
        <v>0</v>
      </c>
    </row>
    <row r="309" spans="3:143">
      <c r="C309" s="4">
        <v>3</v>
      </c>
      <c r="D309" s="4"/>
      <c r="E309" s="4">
        <v>1</v>
      </c>
      <c r="F309" s="4">
        <v>32</v>
      </c>
      <c r="G309" s="5" t="s">
        <v>4192</v>
      </c>
      <c r="H309" s="4" t="s">
        <v>4193</v>
      </c>
      <c r="I309" s="4" t="s">
        <v>164</v>
      </c>
      <c r="J309" s="5"/>
      <c r="K309" s="22" t="s">
        <v>4194</v>
      </c>
      <c r="L309" s="84" t="s">
        <v>3488</v>
      </c>
      <c r="M309" s="23" t="s">
        <v>164</v>
      </c>
      <c r="N309" s="23">
        <v>43781</v>
      </c>
      <c r="O309" s="24" t="s">
        <v>102</v>
      </c>
      <c r="P309" s="24" t="s">
        <v>181</v>
      </c>
      <c r="Q309" s="24">
        <v>1</v>
      </c>
      <c r="R309" s="24">
        <v>32</v>
      </c>
      <c r="S309" t="s">
        <v>11</v>
      </c>
      <c r="T309">
        <v>3891</v>
      </c>
      <c r="U309" s="2" t="s">
        <v>163</v>
      </c>
      <c r="V309" t="s">
        <v>4195</v>
      </c>
      <c r="W309" s="2" t="s">
        <v>444</v>
      </c>
      <c r="X309" t="s">
        <v>4196</v>
      </c>
      <c r="AB309" t="s">
        <v>9</v>
      </c>
      <c r="AC309" t="s">
        <v>4134</v>
      </c>
      <c r="AD309" t="s">
        <v>209</v>
      </c>
      <c r="AE309">
        <v>72353</v>
      </c>
      <c r="AF309">
        <v>72353</v>
      </c>
      <c r="AG309" t="s">
        <v>183</v>
      </c>
      <c r="AH309" t="s">
        <v>4135</v>
      </c>
      <c r="AI309" t="s">
        <v>4135</v>
      </c>
      <c r="AJ309" t="s">
        <v>601</v>
      </c>
      <c r="AK309" t="s">
        <v>602</v>
      </c>
      <c r="AL309" t="s">
        <v>4136</v>
      </c>
      <c r="AO309" t="s">
        <v>4137</v>
      </c>
      <c r="AP309" t="s">
        <v>4138</v>
      </c>
      <c r="AQ309" t="s">
        <v>4139</v>
      </c>
      <c r="AR309">
        <v>148</v>
      </c>
      <c r="AS309">
        <v>66586137</v>
      </c>
      <c r="AT309" t="s">
        <v>4140</v>
      </c>
      <c r="AU309" t="s">
        <v>10</v>
      </c>
      <c r="AV309" t="s">
        <v>4141</v>
      </c>
      <c r="AW309" t="s">
        <v>4142</v>
      </c>
      <c r="AX309" t="s">
        <v>4143</v>
      </c>
      <c r="BA309" t="s">
        <v>1703</v>
      </c>
      <c r="BB309" t="s">
        <v>4144</v>
      </c>
      <c r="BC309" t="s">
        <v>238</v>
      </c>
      <c r="BD309">
        <v>578000</v>
      </c>
      <c r="BE309" t="s">
        <v>4197</v>
      </c>
      <c r="BF309" t="s">
        <v>4145</v>
      </c>
      <c r="BG309" t="b">
        <v>0</v>
      </c>
      <c r="BH309" s="6" t="s">
        <v>4146</v>
      </c>
      <c r="BI309" t="s">
        <v>4147</v>
      </c>
      <c r="BJ309">
        <v>4453163191</v>
      </c>
      <c r="BK309" t="s">
        <v>162</v>
      </c>
      <c r="BL309" t="s">
        <v>161</v>
      </c>
      <c r="BM309" s="2"/>
      <c r="BO309" t="s">
        <v>89</v>
      </c>
      <c r="BP309">
        <v>8479909090</v>
      </c>
      <c r="BR309" t="s">
        <v>180</v>
      </c>
      <c r="BS309" t="s">
        <v>103</v>
      </c>
      <c r="BU309">
        <v>0</v>
      </c>
      <c r="BV309">
        <v>505.83</v>
      </c>
      <c r="BW309">
        <v>0</v>
      </c>
      <c r="BX309">
        <v>0</v>
      </c>
      <c r="BY309">
        <v>0</v>
      </c>
      <c r="BZ309">
        <v>0</v>
      </c>
      <c r="CA309">
        <v>505.83</v>
      </c>
      <c r="CF309" s="2"/>
      <c r="CH309" s="2"/>
      <c r="CJ309">
        <v>5.3142019950164102E+17</v>
      </c>
      <c r="CK309" t="s">
        <v>1849</v>
      </c>
      <c r="CL309" t="s">
        <v>4198</v>
      </c>
      <c r="CO309" t="s">
        <v>11</v>
      </c>
      <c r="CP309">
        <v>3891</v>
      </c>
      <c r="CQ309" t="s">
        <v>11</v>
      </c>
      <c r="CR309">
        <v>3891</v>
      </c>
      <c r="CV309" t="s">
        <v>190</v>
      </c>
      <c r="CW309" t="s">
        <v>12</v>
      </c>
      <c r="CX309" t="s">
        <v>12</v>
      </c>
      <c r="CY309" t="s">
        <v>12</v>
      </c>
      <c r="DA309" t="s">
        <v>104</v>
      </c>
      <c r="DD309" t="s">
        <v>93</v>
      </c>
      <c r="DQ309" t="s">
        <v>94</v>
      </c>
      <c r="DR309" t="s">
        <v>94</v>
      </c>
      <c r="DS309" t="s">
        <v>94</v>
      </c>
      <c r="DT309" t="s">
        <v>94</v>
      </c>
      <c r="DU309" t="s">
        <v>94</v>
      </c>
      <c r="DV309" t="s">
        <v>94</v>
      </c>
      <c r="DW309" t="s">
        <v>94</v>
      </c>
      <c r="DX309" s="2" t="s">
        <v>94</v>
      </c>
      <c r="DY309" t="s">
        <v>94</v>
      </c>
      <c r="DZ309" t="s">
        <v>94</v>
      </c>
      <c r="EA309" t="s">
        <v>94</v>
      </c>
      <c r="EB309" t="s">
        <v>94</v>
      </c>
      <c r="EC309" t="s">
        <v>94</v>
      </c>
      <c r="ED309" t="s">
        <v>94</v>
      </c>
      <c r="EE309" t="s">
        <v>89</v>
      </c>
      <c r="EF309" t="s">
        <v>425</v>
      </c>
      <c r="EG309" t="s">
        <v>105</v>
      </c>
      <c r="EJ309" t="s">
        <v>526</v>
      </c>
      <c r="EK309" t="b">
        <v>0</v>
      </c>
      <c r="EL309" t="b">
        <v>0</v>
      </c>
      <c r="EM309" t="b">
        <v>0</v>
      </c>
    </row>
    <row r="310" spans="3:143" ht="15">
      <c r="C310" s="82">
        <v>33</v>
      </c>
      <c r="D310" s="5"/>
      <c r="E310" s="4">
        <v>2</v>
      </c>
      <c r="F310" s="5">
        <v>12.35</v>
      </c>
      <c r="G310" s="5" t="s">
        <v>4213</v>
      </c>
      <c r="H310" s="4" t="s">
        <v>4214</v>
      </c>
      <c r="I310" s="81" t="s">
        <v>926</v>
      </c>
      <c r="J310" s="21"/>
      <c r="K310" s="22" t="s">
        <v>4199</v>
      </c>
      <c r="L310" s="84" t="s">
        <v>4200</v>
      </c>
      <c r="M310" s="23" t="s">
        <v>926</v>
      </c>
      <c r="N310" s="23">
        <v>43763</v>
      </c>
      <c r="O310" s="24" t="s">
        <v>102</v>
      </c>
      <c r="P310" s="24" t="s">
        <v>181</v>
      </c>
      <c r="Q310" s="24">
        <v>2</v>
      </c>
      <c r="R310" s="24">
        <v>12.35</v>
      </c>
      <c r="S310" t="s">
        <v>11</v>
      </c>
      <c r="T310">
        <v>2021</v>
      </c>
      <c r="U310" s="2" t="s">
        <v>163</v>
      </c>
      <c r="V310">
        <v>43763.585057870368</v>
      </c>
      <c r="W310" s="2" t="s">
        <v>444</v>
      </c>
      <c r="X310">
        <v>43763.602025462962</v>
      </c>
      <c r="AB310" t="s">
        <v>9</v>
      </c>
      <c r="AC310" t="s">
        <v>3491</v>
      </c>
      <c r="AD310" t="s">
        <v>200</v>
      </c>
      <c r="AE310">
        <v>70158302</v>
      </c>
      <c r="AF310">
        <v>70158302</v>
      </c>
      <c r="AG310" t="s">
        <v>183</v>
      </c>
      <c r="AH310" t="s">
        <v>4201</v>
      </c>
      <c r="AI310" t="s">
        <v>4201</v>
      </c>
      <c r="AJ310" t="s">
        <v>776</v>
      </c>
      <c r="AK310" t="s">
        <v>777</v>
      </c>
      <c r="AL310" t="s">
        <v>4202</v>
      </c>
      <c r="AO310" t="s">
        <v>4203</v>
      </c>
      <c r="AP310" t="s">
        <v>3495</v>
      </c>
      <c r="AQ310" t="s">
        <v>782</v>
      </c>
      <c r="AR310">
        <v>59757</v>
      </c>
      <c r="AS310">
        <v>293297030</v>
      </c>
      <c r="AT310" t="s">
        <v>4204</v>
      </c>
      <c r="AU310" t="s">
        <v>10</v>
      </c>
      <c r="AV310" t="s">
        <v>4205</v>
      </c>
      <c r="AW310" t="s">
        <v>4206</v>
      </c>
      <c r="AX310" t="s">
        <v>4207</v>
      </c>
      <c r="AY310" s="2" t="s">
        <v>4208</v>
      </c>
      <c r="AZ310" t="s">
        <v>4209</v>
      </c>
      <c r="BA310" t="s">
        <v>2123</v>
      </c>
      <c r="BB310" t="s">
        <v>1864</v>
      </c>
      <c r="BC310" t="s">
        <v>188</v>
      </c>
      <c r="BD310">
        <v>528090</v>
      </c>
      <c r="BE310" t="s">
        <v>4210</v>
      </c>
      <c r="BG310" t="b">
        <v>0</v>
      </c>
      <c r="BH310" s="6" t="s">
        <v>4211</v>
      </c>
      <c r="BI310" t="s">
        <v>4212</v>
      </c>
      <c r="BJ310">
        <v>4453163191</v>
      </c>
      <c r="BK310" t="s">
        <v>162</v>
      </c>
      <c r="BL310" t="s">
        <v>161</v>
      </c>
      <c r="BM310" s="2"/>
      <c r="BO310" t="s">
        <v>89</v>
      </c>
      <c r="BP310">
        <v>85167190</v>
      </c>
      <c r="BR310" t="s">
        <v>189</v>
      </c>
      <c r="BS310" t="s">
        <v>103</v>
      </c>
      <c r="BU310">
        <v>141.47</v>
      </c>
      <c r="BV310">
        <v>281.11</v>
      </c>
      <c r="BW310">
        <v>0</v>
      </c>
      <c r="BX310">
        <v>0</v>
      </c>
      <c r="BY310">
        <v>0</v>
      </c>
      <c r="BZ310">
        <v>0</v>
      </c>
      <c r="CA310">
        <v>422.58</v>
      </c>
      <c r="CF310" s="2"/>
      <c r="CH310" s="2"/>
      <c r="CJ310">
        <v>5.3142019950153702E+17</v>
      </c>
      <c r="CK310" t="s">
        <v>2261</v>
      </c>
      <c r="CL310">
        <v>43757.375648148147</v>
      </c>
      <c r="CO310" t="s">
        <v>11</v>
      </c>
      <c r="CP310">
        <v>2021</v>
      </c>
      <c r="CQ310" t="s">
        <v>11</v>
      </c>
      <c r="CR310">
        <v>2021</v>
      </c>
      <c r="CV310" t="s">
        <v>190</v>
      </c>
      <c r="CW310" t="s">
        <v>12</v>
      </c>
      <c r="CX310" t="s">
        <v>12</v>
      </c>
      <c r="CY310" t="s">
        <v>12</v>
      </c>
      <c r="DA310" t="s">
        <v>104</v>
      </c>
      <c r="DD310" t="s">
        <v>93</v>
      </c>
      <c r="DQ310" t="s">
        <v>94</v>
      </c>
      <c r="DR310" t="s">
        <v>94</v>
      </c>
      <c r="DS310" t="s">
        <v>94</v>
      </c>
      <c r="DT310" t="s">
        <v>94</v>
      </c>
      <c r="DU310" t="s">
        <v>94</v>
      </c>
      <c r="DV310" t="s">
        <v>94</v>
      </c>
      <c r="DW310" t="s">
        <v>94</v>
      </c>
      <c r="DX310" s="2" t="s">
        <v>94</v>
      </c>
      <c r="DY310" t="s">
        <v>94</v>
      </c>
      <c r="DZ310" t="s">
        <v>94</v>
      </c>
      <c r="EA310" t="s">
        <v>94</v>
      </c>
      <c r="EB310" t="s">
        <v>94</v>
      </c>
      <c r="EC310" t="s">
        <v>94</v>
      </c>
      <c r="ED310" t="s">
        <v>94</v>
      </c>
      <c r="EE310" t="s">
        <v>89</v>
      </c>
      <c r="EF310" t="s">
        <v>425</v>
      </c>
      <c r="EG310" t="s">
        <v>105</v>
      </c>
      <c r="EJ310" t="s">
        <v>526</v>
      </c>
      <c r="EK310" t="b">
        <v>0</v>
      </c>
      <c r="EL310" t="b">
        <v>0</v>
      </c>
      <c r="EM310" t="b">
        <v>0</v>
      </c>
    </row>
    <row r="311" spans="3:143" ht="15">
      <c r="C311" s="82">
        <v>33</v>
      </c>
      <c r="D311" s="5"/>
      <c r="E311" s="4">
        <v>2</v>
      </c>
      <c r="F311" s="5">
        <v>12.35</v>
      </c>
      <c r="G311" s="5" t="s">
        <v>4215</v>
      </c>
      <c r="H311" s="4" t="s">
        <v>4214</v>
      </c>
      <c r="I311" s="81" t="s">
        <v>817</v>
      </c>
      <c r="J311" s="21"/>
      <c r="K311" s="22" t="s">
        <v>4199</v>
      </c>
      <c r="L311" s="84" t="s">
        <v>2319</v>
      </c>
      <c r="M311" s="23" t="s">
        <v>817</v>
      </c>
      <c r="N311" s="23">
        <v>43758</v>
      </c>
      <c r="O311" s="24" t="s">
        <v>102</v>
      </c>
      <c r="P311" s="24" t="s">
        <v>181</v>
      </c>
      <c r="Q311" s="24">
        <v>2</v>
      </c>
      <c r="R311" s="24">
        <v>12.35</v>
      </c>
      <c r="S311" t="s">
        <v>11</v>
      </c>
      <c r="T311">
        <v>2021</v>
      </c>
      <c r="U311" s="2" t="s">
        <v>163</v>
      </c>
      <c r="V311">
        <v>43763.585057870368</v>
      </c>
      <c r="W311" s="2" t="s">
        <v>444</v>
      </c>
      <c r="X311">
        <v>43763.602025462962</v>
      </c>
      <c r="AB311" t="s">
        <v>9</v>
      </c>
      <c r="AC311" t="s">
        <v>3491</v>
      </c>
      <c r="AD311" t="s">
        <v>200</v>
      </c>
      <c r="AE311">
        <v>70158302</v>
      </c>
      <c r="AF311">
        <v>70158302</v>
      </c>
      <c r="AG311" t="s">
        <v>183</v>
      </c>
      <c r="AH311" t="s">
        <v>4201</v>
      </c>
      <c r="AI311" t="s">
        <v>4201</v>
      </c>
      <c r="AJ311" t="s">
        <v>776</v>
      </c>
      <c r="AK311" t="s">
        <v>777</v>
      </c>
      <c r="AL311" t="s">
        <v>4202</v>
      </c>
      <c r="AO311" t="s">
        <v>4203</v>
      </c>
      <c r="AP311" t="s">
        <v>3495</v>
      </c>
      <c r="AQ311" t="s">
        <v>782</v>
      </c>
      <c r="AR311">
        <v>59757</v>
      </c>
      <c r="AS311">
        <v>293297030</v>
      </c>
      <c r="AT311" t="s">
        <v>4204</v>
      </c>
      <c r="AU311" t="s">
        <v>10</v>
      </c>
      <c r="AV311" t="s">
        <v>4205</v>
      </c>
      <c r="AW311" t="s">
        <v>4206</v>
      </c>
      <c r="AX311" t="s">
        <v>4207</v>
      </c>
      <c r="AY311" s="2" t="s">
        <v>4208</v>
      </c>
      <c r="AZ311" t="s">
        <v>4209</v>
      </c>
      <c r="BA311" t="s">
        <v>2123</v>
      </c>
      <c r="BB311" t="s">
        <v>1864</v>
      </c>
      <c r="BC311" t="s">
        <v>188</v>
      </c>
      <c r="BD311">
        <v>528090</v>
      </c>
      <c r="BE311" t="s">
        <v>4210</v>
      </c>
      <c r="BG311" t="b">
        <v>0</v>
      </c>
      <c r="BH311" s="6" t="s">
        <v>4211</v>
      </c>
      <c r="BI311" t="s">
        <v>4212</v>
      </c>
      <c r="BJ311">
        <v>4453163191</v>
      </c>
      <c r="BK311" t="s">
        <v>162</v>
      </c>
      <c r="BL311" t="s">
        <v>161</v>
      </c>
      <c r="BM311" s="2"/>
      <c r="BO311" t="s">
        <v>89</v>
      </c>
      <c r="BP311">
        <v>85167190</v>
      </c>
      <c r="BR311" t="s">
        <v>189</v>
      </c>
      <c r="BS311" t="s">
        <v>103</v>
      </c>
      <c r="BU311">
        <v>141.47</v>
      </c>
      <c r="BV311">
        <v>281.11</v>
      </c>
      <c r="BW311">
        <v>0</v>
      </c>
      <c r="BX311">
        <v>0</v>
      </c>
      <c r="BY311">
        <v>0</v>
      </c>
      <c r="BZ311">
        <v>0</v>
      </c>
      <c r="CA311">
        <v>422.58</v>
      </c>
      <c r="CF311" s="2"/>
      <c r="CH311" s="2"/>
      <c r="CJ311">
        <v>5.3142019950153702E+17</v>
      </c>
      <c r="CK311" t="s">
        <v>2261</v>
      </c>
      <c r="CL311">
        <v>43757.375648148147</v>
      </c>
      <c r="CO311" t="s">
        <v>11</v>
      </c>
      <c r="CP311">
        <v>2021</v>
      </c>
      <c r="CQ311" t="s">
        <v>11</v>
      </c>
      <c r="CR311">
        <v>2021</v>
      </c>
      <c r="CV311" t="s">
        <v>190</v>
      </c>
      <c r="CW311" t="s">
        <v>12</v>
      </c>
      <c r="CX311" t="s">
        <v>12</v>
      </c>
      <c r="CY311" t="s">
        <v>12</v>
      </c>
      <c r="DA311" t="s">
        <v>104</v>
      </c>
      <c r="DD311" t="s">
        <v>93</v>
      </c>
      <c r="DQ311" t="s">
        <v>94</v>
      </c>
      <c r="DR311" t="s">
        <v>94</v>
      </c>
      <c r="DS311" t="s">
        <v>94</v>
      </c>
      <c r="DT311" t="s">
        <v>94</v>
      </c>
      <c r="DU311" t="s">
        <v>94</v>
      </c>
      <c r="DV311" t="s">
        <v>94</v>
      </c>
      <c r="DW311" t="s">
        <v>94</v>
      </c>
      <c r="DX311" s="2" t="s">
        <v>94</v>
      </c>
      <c r="DY311" t="s">
        <v>94</v>
      </c>
      <c r="DZ311" t="s">
        <v>94</v>
      </c>
      <c r="EA311" t="s">
        <v>94</v>
      </c>
      <c r="EB311" t="s">
        <v>94</v>
      </c>
      <c r="EC311" t="s">
        <v>94</v>
      </c>
      <c r="ED311" t="s">
        <v>94</v>
      </c>
      <c r="EE311" t="s">
        <v>89</v>
      </c>
      <c r="EF311" t="s">
        <v>425</v>
      </c>
      <c r="EG311" t="s">
        <v>105</v>
      </c>
      <c r="EJ311" t="s">
        <v>526</v>
      </c>
      <c r="EK311" t="b">
        <v>0</v>
      </c>
      <c r="EL311" t="b">
        <v>0</v>
      </c>
      <c r="EM311" t="b">
        <v>0</v>
      </c>
    </row>
    <row r="312" spans="3:143" ht="15">
      <c r="C312" s="82">
        <v>33</v>
      </c>
      <c r="D312" s="5"/>
      <c r="E312" s="4">
        <v>2</v>
      </c>
      <c r="F312" s="5">
        <v>12.35</v>
      </c>
      <c r="G312" s="5" t="s">
        <v>4216</v>
      </c>
      <c r="H312" s="4" t="s">
        <v>4214</v>
      </c>
      <c r="I312" s="81" t="s">
        <v>920</v>
      </c>
      <c r="J312" s="21"/>
      <c r="K312" s="22" t="s">
        <v>4199</v>
      </c>
      <c r="L312" s="84" t="s">
        <v>2245</v>
      </c>
      <c r="M312" s="23" t="s">
        <v>920</v>
      </c>
      <c r="N312" s="23">
        <v>43758</v>
      </c>
      <c r="O312" s="24" t="s">
        <v>102</v>
      </c>
      <c r="P312" s="24" t="s">
        <v>181</v>
      </c>
      <c r="Q312" s="24">
        <v>2</v>
      </c>
      <c r="R312" s="24">
        <v>12.35</v>
      </c>
      <c r="S312" t="s">
        <v>11</v>
      </c>
      <c r="T312">
        <v>2021</v>
      </c>
      <c r="U312" s="2" t="s">
        <v>163</v>
      </c>
      <c r="V312">
        <v>43763.585057870368</v>
      </c>
      <c r="W312" s="2" t="s">
        <v>444</v>
      </c>
      <c r="X312">
        <v>43763.602025462962</v>
      </c>
      <c r="AB312" t="s">
        <v>9</v>
      </c>
      <c r="AC312" t="s">
        <v>3491</v>
      </c>
      <c r="AD312" t="s">
        <v>200</v>
      </c>
      <c r="AE312">
        <v>70158302</v>
      </c>
      <c r="AF312">
        <v>70158302</v>
      </c>
      <c r="AG312" t="s">
        <v>183</v>
      </c>
      <c r="AH312" t="s">
        <v>4201</v>
      </c>
      <c r="AI312" t="s">
        <v>4201</v>
      </c>
      <c r="AJ312" t="s">
        <v>776</v>
      </c>
      <c r="AK312" t="s">
        <v>777</v>
      </c>
      <c r="AL312" t="s">
        <v>4202</v>
      </c>
      <c r="AO312" t="s">
        <v>4203</v>
      </c>
      <c r="AP312" t="s">
        <v>3495</v>
      </c>
      <c r="AQ312" t="s">
        <v>782</v>
      </c>
      <c r="AR312">
        <v>59757</v>
      </c>
      <c r="AS312">
        <v>293297030</v>
      </c>
      <c r="AT312" t="s">
        <v>4204</v>
      </c>
      <c r="AU312" t="s">
        <v>10</v>
      </c>
      <c r="AV312" t="s">
        <v>4205</v>
      </c>
      <c r="AW312" t="s">
        <v>4206</v>
      </c>
      <c r="AX312" t="s">
        <v>4207</v>
      </c>
      <c r="AY312" s="2" t="s">
        <v>4208</v>
      </c>
      <c r="AZ312" t="s">
        <v>4209</v>
      </c>
      <c r="BA312" t="s">
        <v>2123</v>
      </c>
      <c r="BB312" t="s">
        <v>1864</v>
      </c>
      <c r="BC312" t="s">
        <v>188</v>
      </c>
      <c r="BD312">
        <v>528090</v>
      </c>
      <c r="BE312" t="s">
        <v>4210</v>
      </c>
      <c r="BG312" t="b">
        <v>0</v>
      </c>
      <c r="BH312" s="6" t="s">
        <v>4211</v>
      </c>
      <c r="BI312" t="s">
        <v>4212</v>
      </c>
      <c r="BJ312">
        <v>4453163191</v>
      </c>
      <c r="BK312" t="s">
        <v>162</v>
      </c>
      <c r="BL312" t="s">
        <v>161</v>
      </c>
      <c r="BM312" s="2"/>
      <c r="BO312" t="s">
        <v>89</v>
      </c>
      <c r="BP312">
        <v>85167190</v>
      </c>
      <c r="BR312" t="s">
        <v>189</v>
      </c>
      <c r="BS312" t="s">
        <v>103</v>
      </c>
      <c r="BU312">
        <v>141.47</v>
      </c>
      <c r="BV312">
        <v>281.11</v>
      </c>
      <c r="BW312">
        <v>0</v>
      </c>
      <c r="BX312">
        <v>0</v>
      </c>
      <c r="BY312">
        <v>0</v>
      </c>
      <c r="BZ312">
        <v>0</v>
      </c>
      <c r="CA312">
        <v>422.58</v>
      </c>
      <c r="CF312" s="2"/>
      <c r="CH312" s="2"/>
      <c r="CJ312">
        <v>5.3142019950153702E+17</v>
      </c>
      <c r="CK312" t="s">
        <v>2261</v>
      </c>
      <c r="CL312">
        <v>43757.375648148147</v>
      </c>
      <c r="CO312" t="s">
        <v>11</v>
      </c>
      <c r="CP312">
        <v>2021</v>
      </c>
      <c r="CQ312" t="s">
        <v>11</v>
      </c>
      <c r="CR312">
        <v>2021</v>
      </c>
      <c r="CV312" t="s">
        <v>190</v>
      </c>
      <c r="CW312" t="s">
        <v>12</v>
      </c>
      <c r="CX312" t="s">
        <v>12</v>
      </c>
      <c r="CY312" t="s">
        <v>12</v>
      </c>
      <c r="DA312" t="s">
        <v>104</v>
      </c>
      <c r="DD312" t="s">
        <v>93</v>
      </c>
      <c r="DQ312" t="s">
        <v>94</v>
      </c>
      <c r="DR312" t="s">
        <v>94</v>
      </c>
      <c r="DS312" t="s">
        <v>94</v>
      </c>
      <c r="DT312" t="s">
        <v>94</v>
      </c>
      <c r="DU312" t="s">
        <v>94</v>
      </c>
      <c r="DV312" t="s">
        <v>94</v>
      </c>
      <c r="DW312" t="s">
        <v>94</v>
      </c>
      <c r="DX312" s="2" t="s">
        <v>94</v>
      </c>
      <c r="DY312" t="s">
        <v>94</v>
      </c>
      <c r="DZ312" t="s">
        <v>94</v>
      </c>
      <c r="EA312" t="s">
        <v>94</v>
      </c>
      <c r="EB312" t="s">
        <v>94</v>
      </c>
      <c r="EC312" t="s">
        <v>94</v>
      </c>
      <c r="ED312" t="s">
        <v>94</v>
      </c>
      <c r="EE312" t="s">
        <v>89</v>
      </c>
      <c r="EF312" t="s">
        <v>425</v>
      </c>
      <c r="EG312" t="s">
        <v>105</v>
      </c>
      <c r="EJ312" t="s">
        <v>526</v>
      </c>
      <c r="EK312" t="b">
        <v>0</v>
      </c>
      <c r="EL312" t="b">
        <v>0</v>
      </c>
      <c r="EM312" t="b">
        <v>0</v>
      </c>
    </row>
    <row r="313" spans="3:143" ht="15">
      <c r="C313" s="82">
        <v>3</v>
      </c>
      <c r="D313" s="5"/>
      <c r="E313" s="4">
        <v>1</v>
      </c>
      <c r="F313" s="5">
        <v>2</v>
      </c>
      <c r="G313" s="5" t="s">
        <v>4246</v>
      </c>
      <c r="H313" s="4" t="s">
        <v>2849</v>
      </c>
      <c r="I313" s="81" t="s">
        <v>817</v>
      </c>
      <c r="J313" s="21"/>
      <c r="K313" s="22" t="s">
        <v>4217</v>
      </c>
      <c r="L313" s="84" t="s">
        <v>3806</v>
      </c>
      <c r="M313" s="23" t="s">
        <v>817</v>
      </c>
      <c r="N313" s="23">
        <v>43779</v>
      </c>
      <c r="O313" s="24" t="s">
        <v>102</v>
      </c>
      <c r="P313" s="24" t="s">
        <v>179</v>
      </c>
      <c r="Q313" s="24">
        <v>1</v>
      </c>
      <c r="R313" s="24">
        <v>2</v>
      </c>
      <c r="S313" t="s">
        <v>528</v>
      </c>
      <c r="T313">
        <v>22</v>
      </c>
      <c r="U313" s="2" t="s">
        <v>163</v>
      </c>
      <c r="V313">
        <v>43779.844537037039</v>
      </c>
      <c r="W313" s="2" t="s">
        <v>444</v>
      </c>
      <c r="X313">
        <v>43781.60050925926</v>
      </c>
      <c r="AB313" t="s">
        <v>9</v>
      </c>
      <c r="AC313" t="s">
        <v>4218</v>
      </c>
      <c r="AD313" t="s">
        <v>209</v>
      </c>
      <c r="AE313">
        <v>2028447</v>
      </c>
      <c r="AF313">
        <v>2028447</v>
      </c>
      <c r="AG313" t="s">
        <v>183</v>
      </c>
      <c r="AH313" t="s">
        <v>4219</v>
      </c>
      <c r="AI313" t="s">
        <v>4219</v>
      </c>
      <c r="AJ313" t="s">
        <v>795</v>
      </c>
      <c r="AK313" t="s">
        <v>796</v>
      </c>
      <c r="AL313" t="s">
        <v>4220</v>
      </c>
      <c r="AO313" t="s">
        <v>4221</v>
      </c>
      <c r="AP313" t="s">
        <v>4222</v>
      </c>
      <c r="AQ313" t="s">
        <v>4223</v>
      </c>
      <c r="AR313">
        <v>28330</v>
      </c>
      <c r="AS313" t="s">
        <v>4247</v>
      </c>
      <c r="AT313" t="s">
        <v>4224</v>
      </c>
      <c r="AU313" t="s">
        <v>10</v>
      </c>
      <c r="AV313" t="s">
        <v>4225</v>
      </c>
      <c r="AW313" t="s">
        <v>4225</v>
      </c>
      <c r="AX313" t="s">
        <v>4226</v>
      </c>
      <c r="AY313" s="2" t="s">
        <v>4227</v>
      </c>
      <c r="BA313" t="s">
        <v>2257</v>
      </c>
      <c r="BB313" t="s">
        <v>1576</v>
      </c>
      <c r="BC313" t="s">
        <v>188</v>
      </c>
      <c r="BD313">
        <v>510850</v>
      </c>
      <c r="BE313">
        <v>-8618102669660</v>
      </c>
      <c r="BF313" t="s">
        <v>4228</v>
      </c>
      <c r="BG313" t="b">
        <v>0</v>
      </c>
      <c r="BH313" s="6" t="s">
        <v>4229</v>
      </c>
      <c r="BI313" t="s">
        <v>4230</v>
      </c>
      <c r="BJ313">
        <v>4453163191</v>
      </c>
      <c r="BK313" t="s">
        <v>162</v>
      </c>
      <c r="BL313" t="s">
        <v>161</v>
      </c>
      <c r="BM313" s="2"/>
      <c r="BO313" t="s">
        <v>89</v>
      </c>
      <c r="BP313">
        <v>4202910090</v>
      </c>
      <c r="BR313" t="s">
        <v>180</v>
      </c>
      <c r="BS313" t="s">
        <v>103</v>
      </c>
      <c r="BU313">
        <v>0</v>
      </c>
      <c r="BV313">
        <v>0</v>
      </c>
      <c r="BW313">
        <v>0</v>
      </c>
      <c r="BX313">
        <v>0</v>
      </c>
      <c r="BY313">
        <v>0</v>
      </c>
      <c r="BZ313">
        <v>0</v>
      </c>
      <c r="CA313">
        <v>0</v>
      </c>
      <c r="CF313" s="2"/>
      <c r="CH313" s="2"/>
      <c r="CJ313">
        <v>5.3142019950163501E+17</v>
      </c>
      <c r="CK313" t="s">
        <v>1509</v>
      </c>
      <c r="CL313">
        <v>43779.37568287037</v>
      </c>
      <c r="CO313" t="s">
        <v>11</v>
      </c>
      <c r="CP313">
        <v>171.71</v>
      </c>
      <c r="CQ313" t="s">
        <v>11</v>
      </c>
      <c r="CR313">
        <v>171.71</v>
      </c>
      <c r="CV313" t="s">
        <v>190</v>
      </c>
      <c r="CW313" t="s">
        <v>12</v>
      </c>
      <c r="CX313" t="s">
        <v>12</v>
      </c>
      <c r="CY313" t="s">
        <v>12</v>
      </c>
      <c r="DA313" t="s">
        <v>104</v>
      </c>
      <c r="DD313" t="s">
        <v>93</v>
      </c>
      <c r="DQ313" t="s">
        <v>94</v>
      </c>
      <c r="DR313" t="s">
        <v>94</v>
      </c>
      <c r="DS313" t="s">
        <v>94</v>
      </c>
      <c r="DT313" t="s">
        <v>94</v>
      </c>
      <c r="DU313" t="s">
        <v>94</v>
      </c>
      <c r="DV313" t="s">
        <v>94</v>
      </c>
      <c r="DW313" t="s">
        <v>94</v>
      </c>
      <c r="DX313" s="2" t="s">
        <v>94</v>
      </c>
      <c r="DY313" t="s">
        <v>94</v>
      </c>
      <c r="DZ313" t="s">
        <v>94</v>
      </c>
      <c r="EA313" t="s">
        <v>94</v>
      </c>
      <c r="EB313" t="s">
        <v>94</v>
      </c>
      <c r="EC313" t="s">
        <v>94</v>
      </c>
      <c r="ED313" t="s">
        <v>94</v>
      </c>
      <c r="EE313" t="s">
        <v>89</v>
      </c>
      <c r="EF313" t="s">
        <v>425</v>
      </c>
      <c r="EG313" t="s">
        <v>105</v>
      </c>
      <c r="EJ313" t="s">
        <v>166</v>
      </c>
      <c r="EK313" t="b">
        <v>0</v>
      </c>
      <c r="EL313" t="b">
        <v>0</v>
      </c>
      <c r="EM313" t="b">
        <v>0</v>
      </c>
    </row>
    <row r="314" spans="3:143" ht="15">
      <c r="C314" s="82">
        <v>3</v>
      </c>
      <c r="D314" s="5"/>
      <c r="E314" s="4">
        <v>2</v>
      </c>
      <c r="F314" s="5">
        <v>26.52</v>
      </c>
      <c r="G314" s="5" t="s">
        <v>4248</v>
      </c>
      <c r="H314" s="4" t="s">
        <v>4249</v>
      </c>
      <c r="I314" s="81" t="s">
        <v>920</v>
      </c>
      <c r="J314" s="21"/>
      <c r="K314" s="22" t="s">
        <v>4231</v>
      </c>
      <c r="L314" s="84" t="s">
        <v>4232</v>
      </c>
      <c r="M314" s="23" t="s">
        <v>920</v>
      </c>
      <c r="N314" s="23">
        <v>43783</v>
      </c>
      <c r="O314" s="24" t="s">
        <v>102</v>
      </c>
      <c r="P314" s="24" t="s">
        <v>480</v>
      </c>
      <c r="Q314" s="24">
        <v>2</v>
      </c>
      <c r="R314" s="24">
        <v>26.52</v>
      </c>
      <c r="S314" t="s">
        <v>528</v>
      </c>
      <c r="T314">
        <v>75</v>
      </c>
      <c r="U314" s="2"/>
      <c r="W314" s="2"/>
      <c r="AB314" t="s">
        <v>9</v>
      </c>
      <c r="AC314" t="s">
        <v>1037</v>
      </c>
      <c r="AD314" t="s">
        <v>209</v>
      </c>
      <c r="AE314">
        <v>70296786</v>
      </c>
      <c r="AF314">
        <v>70296786</v>
      </c>
      <c r="AG314" t="s">
        <v>183</v>
      </c>
      <c r="AH314" t="s">
        <v>1038</v>
      </c>
      <c r="AI314" t="s">
        <v>1038</v>
      </c>
      <c r="AJ314" t="s">
        <v>776</v>
      </c>
      <c r="AK314" t="s">
        <v>777</v>
      </c>
      <c r="AL314" t="s">
        <v>1039</v>
      </c>
      <c r="AO314" t="s">
        <v>1040</v>
      </c>
      <c r="AP314" t="s">
        <v>1041</v>
      </c>
      <c r="AQ314" t="s">
        <v>1040</v>
      </c>
      <c r="AR314">
        <v>10553</v>
      </c>
      <c r="AS314" t="s">
        <v>1042</v>
      </c>
      <c r="AT314" t="s">
        <v>1043</v>
      </c>
      <c r="AU314" t="s">
        <v>10</v>
      </c>
      <c r="AV314" t="s">
        <v>1044</v>
      </c>
      <c r="AW314" t="s">
        <v>1044</v>
      </c>
      <c r="AX314" t="s">
        <v>1045</v>
      </c>
      <c r="AY314" s="2" t="s">
        <v>1046</v>
      </c>
      <c r="AZ314" t="s">
        <v>1047</v>
      </c>
      <c r="BA314" t="s">
        <v>1048</v>
      </c>
      <c r="BB314" t="s">
        <v>1049</v>
      </c>
      <c r="BC314" t="s">
        <v>188</v>
      </c>
      <c r="BD314">
        <v>511356</v>
      </c>
      <c r="BE314">
        <v>-2082981761</v>
      </c>
      <c r="BF314" t="s">
        <v>4233</v>
      </c>
      <c r="BG314" t="b">
        <v>0</v>
      </c>
      <c r="BH314" s="6" t="s">
        <v>4234</v>
      </c>
      <c r="BI314" t="s">
        <v>4235</v>
      </c>
      <c r="BJ314">
        <v>4453163191</v>
      </c>
      <c r="BK314" t="s">
        <v>162</v>
      </c>
      <c r="BL314" t="s">
        <v>161</v>
      </c>
      <c r="BM314" s="2"/>
      <c r="BR314" t="s">
        <v>180</v>
      </c>
      <c r="BS314" t="s">
        <v>103</v>
      </c>
      <c r="BU314">
        <v>0</v>
      </c>
      <c r="BV314">
        <v>0</v>
      </c>
      <c r="BW314">
        <v>0</v>
      </c>
      <c r="BX314">
        <v>0</v>
      </c>
      <c r="BY314">
        <v>0</v>
      </c>
      <c r="BZ314">
        <v>0</v>
      </c>
      <c r="CA314">
        <v>0</v>
      </c>
      <c r="CF314" s="2"/>
      <c r="CH314" s="2"/>
      <c r="CK314" t="s">
        <v>1509</v>
      </c>
      <c r="CL314">
        <v>43783.565532407411</v>
      </c>
      <c r="CO314" t="s">
        <v>11</v>
      </c>
      <c r="CP314">
        <v>585.39</v>
      </c>
      <c r="CQ314" t="s">
        <v>11</v>
      </c>
      <c r="CR314">
        <v>585.39</v>
      </c>
      <c r="CV314" t="s">
        <v>190</v>
      </c>
      <c r="CW314" t="s">
        <v>12</v>
      </c>
      <c r="CX314" t="s">
        <v>12</v>
      </c>
      <c r="CY314" t="s">
        <v>12</v>
      </c>
      <c r="DA314" t="s">
        <v>104</v>
      </c>
      <c r="DD314" t="s">
        <v>93</v>
      </c>
      <c r="DQ314" t="s">
        <v>94</v>
      </c>
      <c r="DR314" t="s">
        <v>94</v>
      </c>
      <c r="DS314" t="s">
        <v>94</v>
      </c>
      <c r="DT314" t="s">
        <v>94</v>
      </c>
      <c r="DU314" t="s">
        <v>94</v>
      </c>
      <c r="DV314" t="s">
        <v>94</v>
      </c>
      <c r="DW314" t="s">
        <v>94</v>
      </c>
      <c r="DX314" s="2" t="s">
        <v>94</v>
      </c>
      <c r="DY314" t="s">
        <v>94</v>
      </c>
      <c r="DZ314" t="s">
        <v>94</v>
      </c>
      <c r="EA314" t="s">
        <v>94</v>
      </c>
      <c r="EB314" t="s">
        <v>94</v>
      </c>
      <c r="EC314" t="s">
        <v>94</v>
      </c>
      <c r="ED314" t="s">
        <v>94</v>
      </c>
      <c r="EE314" t="s">
        <v>89</v>
      </c>
      <c r="EF314" t="s">
        <v>425</v>
      </c>
      <c r="EG314" t="s">
        <v>105</v>
      </c>
      <c r="EJ314" t="s">
        <v>166</v>
      </c>
      <c r="EK314" t="b">
        <v>0</v>
      </c>
      <c r="EL314" t="b">
        <v>0</v>
      </c>
      <c r="EM314" t="b">
        <v>0</v>
      </c>
    </row>
    <row r="315" spans="3:143" ht="15">
      <c r="C315" s="82">
        <v>3</v>
      </c>
      <c r="D315" s="5"/>
      <c r="E315" s="4">
        <v>1</v>
      </c>
      <c r="F315" s="5">
        <v>1.35</v>
      </c>
      <c r="G315" s="5" t="s">
        <v>4250</v>
      </c>
      <c r="H315" s="4" t="s">
        <v>4251</v>
      </c>
      <c r="I315" s="81" t="s">
        <v>920</v>
      </c>
      <c r="J315" s="21"/>
      <c r="K315" s="22" t="s">
        <v>4236</v>
      </c>
      <c r="L315" s="84" t="s">
        <v>3266</v>
      </c>
      <c r="M315" s="23" t="s">
        <v>920</v>
      </c>
      <c r="N315" s="23">
        <v>43771</v>
      </c>
      <c r="O315" s="24" t="s">
        <v>102</v>
      </c>
      <c r="P315" s="24" t="s">
        <v>179</v>
      </c>
      <c r="Q315" s="24">
        <v>1</v>
      </c>
      <c r="R315" s="24">
        <v>1.35</v>
      </c>
      <c r="S315" t="s">
        <v>319</v>
      </c>
      <c r="T315">
        <v>35</v>
      </c>
      <c r="U315" s="2" t="s">
        <v>163</v>
      </c>
      <c r="V315">
        <v>43771.862314814818</v>
      </c>
      <c r="W315" s="2" t="s">
        <v>444</v>
      </c>
      <c r="X315">
        <v>43771.870625000003</v>
      </c>
      <c r="AB315" t="s">
        <v>9</v>
      </c>
      <c r="AC315" t="s">
        <v>773</v>
      </c>
      <c r="AD315" t="s">
        <v>209</v>
      </c>
      <c r="AE315">
        <v>70282395</v>
      </c>
      <c r="AF315">
        <v>70282395</v>
      </c>
      <c r="AG315" t="s">
        <v>183</v>
      </c>
      <c r="AH315" t="s">
        <v>4237</v>
      </c>
      <c r="AI315" t="s">
        <v>4237</v>
      </c>
      <c r="AJ315" t="s">
        <v>776</v>
      </c>
      <c r="AK315" t="s">
        <v>777</v>
      </c>
      <c r="AL315" t="s">
        <v>4238</v>
      </c>
      <c r="AO315" t="s">
        <v>4239</v>
      </c>
      <c r="AP315" t="s">
        <v>781</v>
      </c>
      <c r="AQ315" t="s">
        <v>782</v>
      </c>
      <c r="AR315">
        <v>40721</v>
      </c>
      <c r="AS315">
        <v>2103573906</v>
      </c>
      <c r="AT315" t="s">
        <v>4240</v>
      </c>
      <c r="AU315" t="s">
        <v>10</v>
      </c>
      <c r="AV315" t="s">
        <v>4241</v>
      </c>
      <c r="AW315" t="s">
        <v>4241</v>
      </c>
      <c r="AX315" t="s">
        <v>4242</v>
      </c>
      <c r="AY315" s="2" t="s">
        <v>4243</v>
      </c>
      <c r="BA315" t="s">
        <v>520</v>
      </c>
      <c r="BB315" t="s">
        <v>223</v>
      </c>
      <c r="BC315" t="s">
        <v>188</v>
      </c>
      <c r="BD315">
        <v>510308</v>
      </c>
      <c r="BE315">
        <v>2089239163</v>
      </c>
      <c r="BF315" t="s">
        <v>4244</v>
      </c>
      <c r="BG315" t="b">
        <v>0</v>
      </c>
      <c r="BH315" s="6"/>
      <c r="BI315" t="s">
        <v>4245</v>
      </c>
      <c r="BJ315">
        <v>4453163191</v>
      </c>
      <c r="BK315" t="s">
        <v>162</v>
      </c>
      <c r="BL315" t="s">
        <v>161</v>
      </c>
      <c r="BM315" s="2"/>
      <c r="BO315" t="s">
        <v>89</v>
      </c>
      <c r="BP315">
        <v>73239300</v>
      </c>
      <c r="BR315" t="s">
        <v>180</v>
      </c>
      <c r="BS315" t="s">
        <v>103</v>
      </c>
      <c r="BU315">
        <v>0</v>
      </c>
      <c r="BV315">
        <v>0</v>
      </c>
      <c r="BW315">
        <v>0</v>
      </c>
      <c r="BX315">
        <v>0</v>
      </c>
      <c r="BY315">
        <v>0</v>
      </c>
      <c r="BZ315">
        <v>0</v>
      </c>
      <c r="CA315">
        <v>0</v>
      </c>
      <c r="CF315" s="2"/>
      <c r="CH315" s="2"/>
      <c r="CJ315">
        <v>5.3142019950159098E+17</v>
      </c>
      <c r="CK315" t="s">
        <v>2261</v>
      </c>
      <c r="CL315">
        <v>43771.378310185188</v>
      </c>
      <c r="CO315" t="s">
        <v>11</v>
      </c>
      <c r="CP315">
        <v>247.61</v>
      </c>
      <c r="CQ315" t="s">
        <v>11</v>
      </c>
      <c r="CR315">
        <v>247.61</v>
      </c>
      <c r="CV315" t="s">
        <v>190</v>
      </c>
      <c r="CW315" t="s">
        <v>12</v>
      </c>
      <c r="CX315" t="s">
        <v>12</v>
      </c>
      <c r="CY315" t="s">
        <v>12</v>
      </c>
      <c r="DA315" t="s">
        <v>104</v>
      </c>
      <c r="DD315" t="s">
        <v>93</v>
      </c>
      <c r="DQ315" t="s">
        <v>94</v>
      </c>
      <c r="DR315" t="s">
        <v>94</v>
      </c>
      <c r="DS315" t="s">
        <v>94</v>
      </c>
      <c r="DT315" t="s">
        <v>94</v>
      </c>
      <c r="DU315" t="s">
        <v>94</v>
      </c>
      <c r="DV315" t="s">
        <v>94</v>
      </c>
      <c r="DW315" t="s">
        <v>94</v>
      </c>
      <c r="DX315" s="2" t="s">
        <v>94</v>
      </c>
      <c r="DY315" t="s">
        <v>94</v>
      </c>
      <c r="DZ315" t="s">
        <v>94</v>
      </c>
      <c r="EA315" t="s">
        <v>94</v>
      </c>
      <c r="EB315" t="s">
        <v>94</v>
      </c>
      <c r="EC315" t="s">
        <v>94</v>
      </c>
      <c r="ED315" t="s">
        <v>94</v>
      </c>
      <c r="EE315" t="s">
        <v>89</v>
      </c>
      <c r="EF315" t="s">
        <v>425</v>
      </c>
      <c r="EG315" t="s">
        <v>105</v>
      </c>
      <c r="EJ315" t="s">
        <v>166</v>
      </c>
      <c r="EK315" t="b">
        <v>0</v>
      </c>
      <c r="EL315" t="b">
        <v>0</v>
      </c>
      <c r="EM315" t="b">
        <v>0</v>
      </c>
    </row>
    <row r="316" spans="3:143" ht="15">
      <c r="C316" s="82">
        <v>3</v>
      </c>
      <c r="D316" s="5">
        <v>7.1</v>
      </c>
      <c r="E316" s="4">
        <v>1</v>
      </c>
      <c r="F316" s="5">
        <v>7.1</v>
      </c>
      <c r="G316" s="5" t="s">
        <v>4270</v>
      </c>
      <c r="H316" s="4" t="s">
        <v>4267</v>
      </c>
      <c r="I316" s="81" t="s">
        <v>817</v>
      </c>
      <c r="J316" s="21"/>
      <c r="K316" s="22" t="s">
        <v>4268</v>
      </c>
      <c r="L316" s="84" t="s">
        <v>3806</v>
      </c>
      <c r="M316" s="23" t="s">
        <v>817</v>
      </c>
      <c r="N316" s="23">
        <v>43779</v>
      </c>
      <c r="O316" s="24" t="s">
        <v>102</v>
      </c>
      <c r="P316" s="24" t="s">
        <v>480</v>
      </c>
      <c r="Q316" s="24">
        <v>1</v>
      </c>
      <c r="R316" s="24">
        <v>12.5</v>
      </c>
      <c r="S316" t="s">
        <v>319</v>
      </c>
      <c r="T316">
        <v>800</v>
      </c>
      <c r="U316" s="2"/>
      <c r="W316" s="2"/>
      <c r="AB316" t="s">
        <v>9</v>
      </c>
      <c r="AC316" t="s">
        <v>4252</v>
      </c>
      <c r="AD316" t="s">
        <v>182</v>
      </c>
      <c r="AE316">
        <v>2032233</v>
      </c>
      <c r="AF316">
        <v>2032233</v>
      </c>
      <c r="AH316" t="s">
        <v>4253</v>
      </c>
      <c r="AI316" t="s">
        <v>4253</v>
      </c>
      <c r="AJ316" t="s">
        <v>1214</v>
      </c>
      <c r="AK316" t="s">
        <v>1215</v>
      </c>
      <c r="AL316" t="s">
        <v>4254</v>
      </c>
      <c r="AO316" t="s">
        <v>4255</v>
      </c>
      <c r="AP316" t="s">
        <v>4256</v>
      </c>
      <c r="AQ316" t="s">
        <v>4257</v>
      </c>
      <c r="AR316">
        <v>1032</v>
      </c>
      <c r="AS316">
        <v>216437243</v>
      </c>
      <c r="AT316" t="s">
        <v>4258</v>
      </c>
      <c r="AU316" t="s">
        <v>10</v>
      </c>
      <c r="AV316" t="s">
        <v>4259</v>
      </c>
      <c r="AW316" t="s">
        <v>4259</v>
      </c>
      <c r="AX316" t="s">
        <v>4260</v>
      </c>
      <c r="AY316" s="2" t="s">
        <v>4261</v>
      </c>
      <c r="AZ316" t="s">
        <v>4262</v>
      </c>
      <c r="BA316" t="s">
        <v>186</v>
      </c>
      <c r="BB316" t="s">
        <v>187</v>
      </c>
      <c r="BC316" t="s">
        <v>188</v>
      </c>
      <c r="BD316">
        <v>518108</v>
      </c>
      <c r="BE316">
        <v>0</v>
      </c>
      <c r="BF316" t="s">
        <v>4263</v>
      </c>
      <c r="BG316" t="b">
        <v>0</v>
      </c>
      <c r="BH316" s="6" t="s">
        <v>4264</v>
      </c>
      <c r="BI316" t="s">
        <v>4265</v>
      </c>
      <c r="BJ316">
        <v>4453163191</v>
      </c>
      <c r="BK316" t="s">
        <v>162</v>
      </c>
      <c r="BL316" t="s">
        <v>161</v>
      </c>
      <c r="BM316" s="2"/>
      <c r="BR316" t="s">
        <v>180</v>
      </c>
      <c r="BS316" t="s">
        <v>103</v>
      </c>
      <c r="BU316">
        <v>0</v>
      </c>
      <c r="BV316">
        <v>0</v>
      </c>
      <c r="BW316">
        <v>0</v>
      </c>
      <c r="BX316">
        <v>0</v>
      </c>
      <c r="BY316">
        <v>0</v>
      </c>
      <c r="BZ316">
        <v>0</v>
      </c>
      <c r="CA316">
        <v>0</v>
      </c>
      <c r="CF316" s="2"/>
      <c r="CH316" s="2"/>
      <c r="CK316" t="s">
        <v>1509</v>
      </c>
      <c r="CL316">
        <v>43779.377083333333</v>
      </c>
      <c r="CO316" t="s">
        <v>11</v>
      </c>
      <c r="CP316">
        <v>5659.68</v>
      </c>
      <c r="CQ316" t="s">
        <v>11</v>
      </c>
      <c r="CR316">
        <v>5659.68</v>
      </c>
      <c r="CV316" t="s">
        <v>190</v>
      </c>
      <c r="CW316" t="s">
        <v>12</v>
      </c>
      <c r="CX316" t="s">
        <v>12</v>
      </c>
      <c r="CY316" t="s">
        <v>12</v>
      </c>
      <c r="DA316" t="s">
        <v>104</v>
      </c>
      <c r="DD316" t="s">
        <v>93</v>
      </c>
      <c r="DQ316" t="s">
        <v>94</v>
      </c>
      <c r="DR316" t="s">
        <v>94</v>
      </c>
      <c r="DS316" t="s">
        <v>94</v>
      </c>
      <c r="DT316" t="s">
        <v>94</v>
      </c>
      <c r="DU316" t="s">
        <v>94</v>
      </c>
      <c r="DV316" t="s">
        <v>94</v>
      </c>
      <c r="DW316" t="s">
        <v>94</v>
      </c>
      <c r="DX316" s="2" t="s">
        <v>94</v>
      </c>
      <c r="DY316" t="s">
        <v>94</v>
      </c>
      <c r="DZ316" t="s">
        <v>94</v>
      </c>
      <c r="EA316" t="s">
        <v>94</v>
      </c>
      <c r="EB316" t="s">
        <v>94</v>
      </c>
      <c r="EC316" t="s">
        <v>94</v>
      </c>
      <c r="ED316" t="s">
        <v>94</v>
      </c>
      <c r="EE316" t="s">
        <v>89</v>
      </c>
      <c r="EF316" t="s">
        <v>425</v>
      </c>
      <c r="EG316" t="s">
        <v>105</v>
      </c>
      <c r="EJ316" t="s">
        <v>166</v>
      </c>
      <c r="EK316" t="b">
        <v>0</v>
      </c>
      <c r="EL316" t="b">
        <v>0</v>
      </c>
      <c r="EM316" t="b">
        <v>0</v>
      </c>
    </row>
    <row r="317" spans="3:143">
      <c r="C317" s="4">
        <v>3</v>
      </c>
      <c r="D317" s="4">
        <v>5.4</v>
      </c>
      <c r="E317" s="4">
        <v>1</v>
      </c>
      <c r="F317" s="4">
        <v>5.4</v>
      </c>
      <c r="G317" s="5" t="s">
        <v>4266</v>
      </c>
      <c r="H317" s="4" t="s">
        <v>4267</v>
      </c>
      <c r="I317" s="4" t="s">
        <v>817</v>
      </c>
      <c r="J317" s="5"/>
      <c r="K317" s="22" t="s">
        <v>4269</v>
      </c>
      <c r="L317" s="84" t="s">
        <v>3806</v>
      </c>
      <c r="M317" s="23" t="s">
        <v>817</v>
      </c>
      <c r="N317" s="23">
        <v>43779</v>
      </c>
      <c r="O317" s="24" t="s">
        <v>102</v>
      </c>
      <c r="P317" s="24" t="s">
        <v>480</v>
      </c>
      <c r="Q317" s="24">
        <v>1</v>
      </c>
      <c r="R317" s="24">
        <v>12.5</v>
      </c>
      <c r="S317" t="s">
        <v>319</v>
      </c>
      <c r="T317">
        <v>800</v>
      </c>
      <c r="U317" s="2"/>
      <c r="W317" s="2"/>
      <c r="AB317" t="s">
        <v>9</v>
      </c>
      <c r="AC317" t="s">
        <v>4252</v>
      </c>
      <c r="AD317" t="s">
        <v>182</v>
      </c>
      <c r="AE317">
        <v>2032233</v>
      </c>
      <c r="AF317">
        <v>2032233</v>
      </c>
      <c r="AH317" t="s">
        <v>4253</v>
      </c>
      <c r="AI317" t="s">
        <v>4253</v>
      </c>
      <c r="AJ317" t="s">
        <v>1214</v>
      </c>
      <c r="AK317" t="s">
        <v>1215</v>
      </c>
      <c r="AL317" t="s">
        <v>4254</v>
      </c>
      <c r="AO317" t="s">
        <v>4255</v>
      </c>
      <c r="AP317" t="s">
        <v>4256</v>
      </c>
      <c r="AQ317" t="s">
        <v>4257</v>
      </c>
      <c r="AR317">
        <v>1032</v>
      </c>
      <c r="AS317">
        <v>216437243</v>
      </c>
      <c r="AT317" t="s">
        <v>4258</v>
      </c>
      <c r="AU317" t="s">
        <v>10</v>
      </c>
      <c r="AV317" t="s">
        <v>4259</v>
      </c>
      <c r="AW317" t="s">
        <v>4259</v>
      </c>
      <c r="AX317" t="s">
        <v>4260</v>
      </c>
      <c r="AY317" t="s">
        <v>4261</v>
      </c>
      <c r="AZ317" t="s">
        <v>4262</v>
      </c>
      <c r="BA317" t="s">
        <v>186</v>
      </c>
      <c r="BB317" t="s">
        <v>187</v>
      </c>
      <c r="BC317" t="s">
        <v>188</v>
      </c>
      <c r="BD317">
        <v>518108</v>
      </c>
      <c r="BE317">
        <v>0</v>
      </c>
      <c r="BF317" t="s">
        <v>4263</v>
      </c>
      <c r="BG317" t="b">
        <v>0</v>
      </c>
      <c r="BH317" s="6" t="s">
        <v>4264</v>
      </c>
      <c r="BI317" t="s">
        <v>4265</v>
      </c>
      <c r="BJ317">
        <v>4453163191</v>
      </c>
      <c r="BK317" t="s">
        <v>162</v>
      </c>
      <c r="BL317" t="s">
        <v>161</v>
      </c>
      <c r="BM317" s="2"/>
      <c r="BR317" t="s">
        <v>180</v>
      </c>
      <c r="BS317" t="s">
        <v>103</v>
      </c>
      <c r="BU317">
        <v>0</v>
      </c>
      <c r="BV317">
        <v>0</v>
      </c>
      <c r="BW317">
        <v>0</v>
      </c>
      <c r="BX317">
        <v>0</v>
      </c>
      <c r="BY317">
        <v>0</v>
      </c>
      <c r="BZ317">
        <v>0</v>
      </c>
      <c r="CA317">
        <v>0</v>
      </c>
      <c r="CF317" s="2"/>
      <c r="CH317" s="2"/>
      <c r="CK317" t="s">
        <v>1509</v>
      </c>
      <c r="CL317">
        <v>43779.377083333333</v>
      </c>
      <c r="CO317" t="s">
        <v>11</v>
      </c>
      <c r="CP317">
        <v>5659.68</v>
      </c>
      <c r="CQ317" t="s">
        <v>11</v>
      </c>
      <c r="CR317">
        <v>5659.68</v>
      </c>
      <c r="CV317" t="s">
        <v>190</v>
      </c>
      <c r="CW317" t="s">
        <v>12</v>
      </c>
      <c r="CX317" t="s">
        <v>12</v>
      </c>
      <c r="CY317" t="s">
        <v>12</v>
      </c>
      <c r="DA317" t="s">
        <v>104</v>
      </c>
      <c r="DD317" t="s">
        <v>93</v>
      </c>
      <c r="DQ317" t="s">
        <v>94</v>
      </c>
      <c r="DR317" t="s">
        <v>94</v>
      </c>
      <c r="DS317" t="s">
        <v>94</v>
      </c>
      <c r="DT317" t="s">
        <v>94</v>
      </c>
      <c r="DU317" t="s">
        <v>94</v>
      </c>
      <c r="DV317" t="s">
        <v>94</v>
      </c>
      <c r="DW317" t="s">
        <v>94</v>
      </c>
      <c r="DX317" s="2" t="s">
        <v>94</v>
      </c>
      <c r="DY317" t="s">
        <v>94</v>
      </c>
      <c r="DZ317" t="s">
        <v>94</v>
      </c>
      <c r="EA317" t="s">
        <v>94</v>
      </c>
      <c r="EB317" t="s">
        <v>94</v>
      </c>
      <c r="EC317" t="s">
        <v>94</v>
      </c>
      <c r="ED317" t="s">
        <v>94</v>
      </c>
      <c r="EE317" t="s">
        <v>89</v>
      </c>
      <c r="EF317" t="s">
        <v>425</v>
      </c>
      <c r="EG317" t="s">
        <v>105</v>
      </c>
      <c r="EJ317" t="s">
        <v>166</v>
      </c>
      <c r="EK317" t="b">
        <v>0</v>
      </c>
      <c r="EL317" t="b">
        <v>0</v>
      </c>
      <c r="EM317" t="b">
        <v>0</v>
      </c>
    </row>
    <row r="318" spans="3:143" ht="15">
      <c r="C318" s="82">
        <v>3</v>
      </c>
      <c r="D318" s="5">
        <v>7.1</v>
      </c>
      <c r="E318" s="4">
        <v>1</v>
      </c>
      <c r="F318" s="5">
        <v>7.1</v>
      </c>
      <c r="G318" s="5" t="s">
        <v>4296</v>
      </c>
      <c r="H318" s="4" t="s">
        <v>4267</v>
      </c>
      <c r="I318" s="81" t="s">
        <v>817</v>
      </c>
      <c r="J318" s="21"/>
      <c r="K318" s="22" t="s">
        <v>4268</v>
      </c>
      <c r="L318" s="84" t="s">
        <v>3806</v>
      </c>
      <c r="M318" s="23" t="s">
        <v>817</v>
      </c>
      <c r="N318" s="23">
        <v>43779</v>
      </c>
      <c r="O318" s="24" t="s">
        <v>102</v>
      </c>
      <c r="P318" s="24" t="s">
        <v>480</v>
      </c>
      <c r="Q318" s="24">
        <v>1</v>
      </c>
      <c r="R318" s="24">
        <v>12.5</v>
      </c>
      <c r="S318" t="s">
        <v>319</v>
      </c>
      <c r="T318">
        <v>800</v>
      </c>
      <c r="U318" s="2"/>
      <c r="W318" s="2"/>
      <c r="AB318" t="s">
        <v>9</v>
      </c>
      <c r="AC318" t="s">
        <v>4252</v>
      </c>
      <c r="AD318" t="s">
        <v>182</v>
      </c>
      <c r="AE318">
        <v>2032233</v>
      </c>
      <c r="AF318">
        <v>2032233</v>
      </c>
      <c r="AH318" t="s">
        <v>4253</v>
      </c>
      <c r="AI318" t="s">
        <v>4253</v>
      </c>
      <c r="AJ318" t="s">
        <v>1214</v>
      </c>
      <c r="AK318" t="s">
        <v>1215</v>
      </c>
      <c r="AL318" t="s">
        <v>4254</v>
      </c>
      <c r="AO318" t="s">
        <v>4255</v>
      </c>
      <c r="AP318" t="s">
        <v>4256</v>
      </c>
      <c r="AQ318" t="s">
        <v>4257</v>
      </c>
      <c r="AR318">
        <v>1032</v>
      </c>
      <c r="AS318">
        <v>216437243</v>
      </c>
      <c r="AT318" t="s">
        <v>4258</v>
      </c>
      <c r="AU318" t="s">
        <v>10</v>
      </c>
      <c r="AV318" t="s">
        <v>4259</v>
      </c>
      <c r="AW318" t="s">
        <v>4259</v>
      </c>
      <c r="AX318" t="s">
        <v>4260</v>
      </c>
      <c r="AY318" s="2" t="s">
        <v>4261</v>
      </c>
      <c r="AZ318" t="s">
        <v>4262</v>
      </c>
      <c r="BA318" t="s">
        <v>186</v>
      </c>
      <c r="BB318" t="s">
        <v>187</v>
      </c>
      <c r="BC318" t="s">
        <v>188</v>
      </c>
      <c r="BD318">
        <v>518108</v>
      </c>
      <c r="BE318">
        <v>0</v>
      </c>
      <c r="BF318" t="s">
        <v>4263</v>
      </c>
      <c r="BG318" t="b">
        <v>0</v>
      </c>
      <c r="BH318" s="6" t="s">
        <v>4264</v>
      </c>
      <c r="BI318" t="s">
        <v>4265</v>
      </c>
      <c r="BJ318">
        <v>4453163191</v>
      </c>
      <c r="BK318" t="s">
        <v>162</v>
      </c>
      <c r="BL318" t="s">
        <v>161</v>
      </c>
      <c r="BM318" s="2"/>
      <c r="BR318" t="s">
        <v>180</v>
      </c>
      <c r="BS318" t="s">
        <v>103</v>
      </c>
      <c r="BU318">
        <v>0</v>
      </c>
      <c r="BV318">
        <v>0</v>
      </c>
      <c r="BW318">
        <v>0</v>
      </c>
      <c r="BX318">
        <v>0</v>
      </c>
      <c r="BY318">
        <v>0</v>
      </c>
      <c r="BZ318">
        <v>0</v>
      </c>
      <c r="CA318">
        <v>0</v>
      </c>
      <c r="CF318" s="2"/>
      <c r="CH318" s="2"/>
      <c r="CK318" t="s">
        <v>1509</v>
      </c>
      <c r="CL318">
        <v>43779.377083333333</v>
      </c>
      <c r="CO318" t="s">
        <v>11</v>
      </c>
      <c r="CP318">
        <v>5659.68</v>
      </c>
      <c r="CQ318" t="s">
        <v>11</v>
      </c>
      <c r="CR318">
        <v>5659.68</v>
      </c>
      <c r="CV318" t="s">
        <v>190</v>
      </c>
      <c r="CW318" t="s">
        <v>12</v>
      </c>
      <c r="CX318" t="s">
        <v>12</v>
      </c>
      <c r="CY318" t="s">
        <v>12</v>
      </c>
      <c r="DA318" t="s">
        <v>104</v>
      </c>
      <c r="DD318" t="s">
        <v>93</v>
      </c>
      <c r="DQ318" t="s">
        <v>94</v>
      </c>
      <c r="DR318" t="s">
        <v>94</v>
      </c>
      <c r="DS318" t="s">
        <v>94</v>
      </c>
      <c r="DT318" t="s">
        <v>94</v>
      </c>
      <c r="DU318" t="s">
        <v>94</v>
      </c>
      <c r="DV318" t="s">
        <v>94</v>
      </c>
      <c r="DW318" t="s">
        <v>94</v>
      </c>
      <c r="DX318" s="2" t="s">
        <v>94</v>
      </c>
      <c r="DY318" t="s">
        <v>94</v>
      </c>
      <c r="DZ318" t="s">
        <v>94</v>
      </c>
      <c r="EA318" t="s">
        <v>94</v>
      </c>
      <c r="EB318" t="s">
        <v>94</v>
      </c>
      <c r="EC318" t="s">
        <v>94</v>
      </c>
      <c r="ED318" t="s">
        <v>94</v>
      </c>
      <c r="EE318" t="s">
        <v>89</v>
      </c>
      <c r="EF318" t="s">
        <v>425</v>
      </c>
      <c r="EG318" t="s">
        <v>105</v>
      </c>
      <c r="EJ318" t="s">
        <v>166</v>
      </c>
      <c r="EK318" t="b">
        <v>0</v>
      </c>
      <c r="EL318" t="b">
        <v>0</v>
      </c>
      <c r="EM318" t="b">
        <v>0</v>
      </c>
    </row>
    <row r="319" spans="3:143">
      <c r="C319" s="4">
        <v>3</v>
      </c>
      <c r="D319" s="4">
        <v>5.4</v>
      </c>
      <c r="E319" s="4">
        <v>1</v>
      </c>
      <c r="F319" s="4">
        <v>5.4</v>
      </c>
      <c r="G319" s="5" t="s">
        <v>4266</v>
      </c>
      <c r="H319" s="4" t="s">
        <v>4267</v>
      </c>
      <c r="I319" s="4" t="s">
        <v>817</v>
      </c>
      <c r="J319" s="5"/>
      <c r="K319" s="22" t="s">
        <v>4269</v>
      </c>
      <c r="L319" s="84" t="s">
        <v>3806</v>
      </c>
      <c r="M319" s="23" t="s">
        <v>817</v>
      </c>
      <c r="N319" s="23">
        <v>43779</v>
      </c>
      <c r="O319" s="24" t="s">
        <v>102</v>
      </c>
      <c r="P319" s="24" t="s">
        <v>480</v>
      </c>
      <c r="Q319" s="24">
        <v>1</v>
      </c>
      <c r="R319" s="24">
        <v>12.5</v>
      </c>
      <c r="S319" t="s">
        <v>319</v>
      </c>
      <c r="T319">
        <v>800</v>
      </c>
      <c r="U319" s="2"/>
      <c r="W319" s="2"/>
      <c r="AB319" t="s">
        <v>9</v>
      </c>
      <c r="AC319" t="s">
        <v>4252</v>
      </c>
      <c r="AD319" t="s">
        <v>182</v>
      </c>
      <c r="AE319">
        <v>2032233</v>
      </c>
      <c r="AF319">
        <v>2032233</v>
      </c>
      <c r="AH319" t="s">
        <v>4253</v>
      </c>
      <c r="AI319" t="s">
        <v>4253</v>
      </c>
      <c r="AJ319" t="s">
        <v>1214</v>
      </c>
      <c r="AK319" t="s">
        <v>1215</v>
      </c>
      <c r="AL319" t="s">
        <v>4254</v>
      </c>
      <c r="AO319" t="s">
        <v>4255</v>
      </c>
      <c r="AP319" t="s">
        <v>4256</v>
      </c>
      <c r="AQ319" t="s">
        <v>4257</v>
      </c>
      <c r="AR319">
        <v>1032</v>
      </c>
      <c r="AS319">
        <v>216437243</v>
      </c>
      <c r="AT319" t="s">
        <v>4258</v>
      </c>
      <c r="AU319" t="s">
        <v>10</v>
      </c>
      <c r="AV319" t="s">
        <v>4259</v>
      </c>
      <c r="AW319" t="s">
        <v>4259</v>
      </c>
      <c r="AX319" t="s">
        <v>4260</v>
      </c>
      <c r="AY319" t="s">
        <v>4261</v>
      </c>
      <c r="AZ319" t="s">
        <v>4262</v>
      </c>
      <c r="BA319" t="s">
        <v>186</v>
      </c>
      <c r="BB319" t="s">
        <v>187</v>
      </c>
      <c r="BC319" t="s">
        <v>188</v>
      </c>
      <c r="BD319">
        <v>518108</v>
      </c>
      <c r="BE319">
        <v>0</v>
      </c>
      <c r="BF319" t="s">
        <v>4263</v>
      </c>
      <c r="BG319" t="b">
        <v>0</v>
      </c>
      <c r="BH319" s="6" t="s">
        <v>4264</v>
      </c>
      <c r="BI319" t="s">
        <v>4265</v>
      </c>
      <c r="BJ319">
        <v>4453163191</v>
      </c>
      <c r="BK319" t="s">
        <v>162</v>
      </c>
      <c r="BL319" t="s">
        <v>161</v>
      </c>
      <c r="BM319" s="2"/>
      <c r="BR319" t="s">
        <v>180</v>
      </c>
      <c r="BS319" t="s">
        <v>103</v>
      </c>
      <c r="BU319">
        <v>0</v>
      </c>
      <c r="BV319">
        <v>0</v>
      </c>
      <c r="BW319">
        <v>0</v>
      </c>
      <c r="BX319">
        <v>0</v>
      </c>
      <c r="BY319">
        <v>0</v>
      </c>
      <c r="BZ319">
        <v>0</v>
      </c>
      <c r="CA319">
        <v>0</v>
      </c>
      <c r="CF319" s="2"/>
      <c r="CH319" s="2"/>
      <c r="CK319" t="s">
        <v>1509</v>
      </c>
      <c r="CL319">
        <v>43779.377083333333</v>
      </c>
      <c r="CO319" t="s">
        <v>11</v>
      </c>
      <c r="CP319">
        <v>5659.68</v>
      </c>
      <c r="CQ319" t="s">
        <v>11</v>
      </c>
      <c r="CR319">
        <v>5659.68</v>
      </c>
      <c r="CV319" t="s">
        <v>190</v>
      </c>
      <c r="CW319" t="s">
        <v>12</v>
      </c>
      <c r="CX319" t="s">
        <v>12</v>
      </c>
      <c r="CY319" t="s">
        <v>12</v>
      </c>
      <c r="DA319" t="s">
        <v>104</v>
      </c>
      <c r="DD319" t="s">
        <v>93</v>
      </c>
      <c r="DQ319" t="s">
        <v>94</v>
      </c>
      <c r="DR319" t="s">
        <v>94</v>
      </c>
      <c r="DS319" t="s">
        <v>94</v>
      </c>
      <c r="DT319" t="s">
        <v>94</v>
      </c>
      <c r="DU319" t="s">
        <v>94</v>
      </c>
      <c r="DV319" t="s">
        <v>94</v>
      </c>
      <c r="DW319" t="s">
        <v>94</v>
      </c>
      <c r="DX319" s="2" t="s">
        <v>94</v>
      </c>
      <c r="DY319" t="s">
        <v>94</v>
      </c>
      <c r="DZ319" t="s">
        <v>94</v>
      </c>
      <c r="EA319" t="s">
        <v>94</v>
      </c>
      <c r="EB319" t="s">
        <v>94</v>
      </c>
      <c r="EC319" t="s">
        <v>94</v>
      </c>
      <c r="ED319" t="s">
        <v>94</v>
      </c>
      <c r="EE319" t="s">
        <v>89</v>
      </c>
      <c r="EF319" t="s">
        <v>425</v>
      </c>
      <c r="EG319" t="s">
        <v>105</v>
      </c>
      <c r="EJ319" t="s">
        <v>166</v>
      </c>
      <c r="EK319" t="b">
        <v>0</v>
      </c>
      <c r="EL319" t="b">
        <v>0</v>
      </c>
      <c r="EM319" t="b">
        <v>0</v>
      </c>
    </row>
    <row r="320" spans="3:143" ht="15">
      <c r="C320" s="82">
        <v>3</v>
      </c>
      <c r="D320" s="5"/>
      <c r="E320" s="4">
        <v>1</v>
      </c>
      <c r="F320" s="5">
        <v>2.1</v>
      </c>
      <c r="G320" s="5" t="s">
        <v>4345</v>
      </c>
      <c r="H320" s="4" t="s">
        <v>4346</v>
      </c>
      <c r="I320" s="81" t="s">
        <v>920</v>
      </c>
      <c r="J320" s="21"/>
      <c r="K320" s="22" t="s">
        <v>4297</v>
      </c>
      <c r="L320" s="84" t="s">
        <v>4298</v>
      </c>
      <c r="M320" s="23" t="s">
        <v>905</v>
      </c>
      <c r="N320" s="23">
        <v>43784</v>
      </c>
      <c r="O320" s="24" t="s">
        <v>102</v>
      </c>
      <c r="P320" s="24" t="s">
        <v>179</v>
      </c>
      <c r="Q320" s="24">
        <v>1</v>
      </c>
      <c r="R320" s="24">
        <v>2.1</v>
      </c>
      <c r="S320" t="s">
        <v>319</v>
      </c>
      <c r="T320">
        <v>40</v>
      </c>
      <c r="U320" s="2" t="s">
        <v>163</v>
      </c>
      <c r="V320">
        <v>43784.861377314817</v>
      </c>
      <c r="W320" s="2" t="s">
        <v>444</v>
      </c>
      <c r="X320">
        <v>43786.619386574072</v>
      </c>
      <c r="AB320" t="s">
        <v>9</v>
      </c>
      <c r="AC320" t="s">
        <v>4299</v>
      </c>
      <c r="AD320" t="s">
        <v>182</v>
      </c>
      <c r="AE320">
        <v>123735</v>
      </c>
      <c r="AF320">
        <v>123735</v>
      </c>
      <c r="AG320" t="s">
        <v>183</v>
      </c>
      <c r="AH320" t="s">
        <v>4300</v>
      </c>
      <c r="AI320" t="s">
        <v>4300</v>
      </c>
      <c r="AJ320" t="s">
        <v>211</v>
      </c>
      <c r="AK320" t="s">
        <v>212</v>
      </c>
      <c r="AL320" t="s">
        <v>4301</v>
      </c>
      <c r="AM320" t="s">
        <v>4302</v>
      </c>
      <c r="AO320" t="s">
        <v>4303</v>
      </c>
      <c r="AP320" t="s">
        <v>4304</v>
      </c>
      <c r="AQ320" t="s">
        <v>4305</v>
      </c>
      <c r="AR320" t="s">
        <v>4347</v>
      </c>
      <c r="AS320" t="s">
        <v>4348</v>
      </c>
      <c r="AT320" t="s">
        <v>4306</v>
      </c>
      <c r="AU320" t="s">
        <v>10</v>
      </c>
      <c r="AV320" t="s">
        <v>4307</v>
      </c>
      <c r="AW320" t="s">
        <v>4307</v>
      </c>
      <c r="AX320" t="s">
        <v>4308</v>
      </c>
      <c r="AY320" s="2" t="s">
        <v>4309</v>
      </c>
      <c r="AZ320" t="s">
        <v>4310</v>
      </c>
      <c r="BA320" t="s">
        <v>186</v>
      </c>
      <c r="BB320" t="s">
        <v>187</v>
      </c>
      <c r="BC320" t="s">
        <v>188</v>
      </c>
      <c r="BD320">
        <v>518110</v>
      </c>
      <c r="BE320" t="s">
        <v>4349</v>
      </c>
      <c r="BF320" t="s">
        <v>4311</v>
      </c>
      <c r="BG320" t="b">
        <v>0</v>
      </c>
      <c r="BH320" s="6" t="s">
        <v>4312</v>
      </c>
      <c r="BI320" t="s">
        <v>4313</v>
      </c>
      <c r="BJ320">
        <v>4453163191</v>
      </c>
      <c r="BK320" t="s">
        <v>162</v>
      </c>
      <c r="BL320" t="s">
        <v>161</v>
      </c>
      <c r="BM320" s="2"/>
      <c r="BO320" t="s">
        <v>89</v>
      </c>
      <c r="BP320">
        <v>9018903010</v>
      </c>
      <c r="BR320" t="s">
        <v>180</v>
      </c>
      <c r="BS320" t="s">
        <v>103</v>
      </c>
      <c r="BU320">
        <v>0</v>
      </c>
      <c r="BV320">
        <v>0</v>
      </c>
      <c r="BW320">
        <v>0</v>
      </c>
      <c r="BX320">
        <v>0</v>
      </c>
      <c r="BY320">
        <v>0</v>
      </c>
      <c r="BZ320">
        <v>0</v>
      </c>
      <c r="CA320">
        <v>0</v>
      </c>
      <c r="CF320" s="2"/>
      <c r="CH320" s="2"/>
      <c r="CJ320">
        <v>5.3142019950167302E+17</v>
      </c>
      <c r="CK320" t="s">
        <v>1509</v>
      </c>
      <c r="CL320">
        <v>43784.562152777777</v>
      </c>
      <c r="CO320" t="s">
        <v>11</v>
      </c>
      <c r="CP320">
        <v>282.98</v>
      </c>
      <c r="CQ320" t="s">
        <v>11</v>
      </c>
      <c r="CR320">
        <v>282.98</v>
      </c>
      <c r="CV320" t="s">
        <v>190</v>
      </c>
      <c r="CW320" t="s">
        <v>12</v>
      </c>
      <c r="CX320" t="s">
        <v>12</v>
      </c>
      <c r="CY320" t="s">
        <v>12</v>
      </c>
      <c r="DA320" t="s">
        <v>104</v>
      </c>
      <c r="DD320" t="s">
        <v>93</v>
      </c>
      <c r="DQ320" t="s">
        <v>94</v>
      </c>
      <c r="DR320" t="s">
        <v>94</v>
      </c>
      <c r="DS320" t="s">
        <v>94</v>
      </c>
      <c r="DT320" t="s">
        <v>94</v>
      </c>
      <c r="DU320" t="s">
        <v>94</v>
      </c>
      <c r="DV320" t="s">
        <v>94</v>
      </c>
      <c r="DW320" t="s">
        <v>94</v>
      </c>
      <c r="DX320" s="2" t="s">
        <v>94</v>
      </c>
      <c r="DY320" t="s">
        <v>94</v>
      </c>
      <c r="DZ320" t="s">
        <v>94</v>
      </c>
      <c r="EA320" t="s">
        <v>94</v>
      </c>
      <c r="EB320" t="s">
        <v>94</v>
      </c>
      <c r="EC320" t="s">
        <v>94</v>
      </c>
      <c r="ED320" t="s">
        <v>94</v>
      </c>
      <c r="EE320" t="s">
        <v>89</v>
      </c>
      <c r="EF320" t="s">
        <v>425</v>
      </c>
      <c r="EG320" t="s">
        <v>105</v>
      </c>
      <c r="EJ320" t="s">
        <v>166</v>
      </c>
      <c r="EK320" t="b">
        <v>0</v>
      </c>
      <c r="EL320" t="b">
        <v>0</v>
      </c>
      <c r="EM320" t="b">
        <v>0</v>
      </c>
    </row>
    <row r="321" spans="3:143" ht="15">
      <c r="C321" s="82">
        <v>3</v>
      </c>
      <c r="D321" s="5"/>
      <c r="E321" s="4">
        <v>1</v>
      </c>
      <c r="F321" s="5">
        <v>12.1</v>
      </c>
      <c r="G321" s="5" t="s">
        <v>4350</v>
      </c>
      <c r="H321" s="4" t="s">
        <v>4351</v>
      </c>
      <c r="I321" s="81" t="s">
        <v>920</v>
      </c>
      <c r="J321" s="21"/>
      <c r="K321" s="22" t="s">
        <v>4314</v>
      </c>
      <c r="L321" s="84" t="s">
        <v>3935</v>
      </c>
      <c r="M321" s="23" t="s">
        <v>920</v>
      </c>
      <c r="N321" s="23">
        <v>43778.763668981483</v>
      </c>
      <c r="O321" s="24" t="s">
        <v>102</v>
      </c>
      <c r="P321" s="24" t="s">
        <v>181</v>
      </c>
      <c r="Q321" s="24">
        <v>1</v>
      </c>
      <c r="R321" s="24">
        <v>12.1</v>
      </c>
      <c r="S321" t="s">
        <v>11</v>
      </c>
      <c r="T321">
        <v>1512</v>
      </c>
      <c r="U321" s="2" t="s">
        <v>163</v>
      </c>
      <c r="V321">
        <v>43782.514999999999</v>
      </c>
      <c r="W321" s="2" t="s">
        <v>444</v>
      </c>
      <c r="X321">
        <v>43784.424791666665</v>
      </c>
      <c r="AB321" t="s">
        <v>9</v>
      </c>
      <c r="AC321" t="s">
        <v>3522</v>
      </c>
      <c r="AD321" t="s">
        <v>209</v>
      </c>
      <c r="AE321">
        <v>85025175</v>
      </c>
      <c r="AF321">
        <v>85025175</v>
      </c>
      <c r="AG321" t="s">
        <v>183</v>
      </c>
      <c r="AH321" t="s">
        <v>4105</v>
      </c>
      <c r="AI321" t="s">
        <v>4105</v>
      </c>
      <c r="AJ321" t="s">
        <v>484</v>
      </c>
      <c r="AK321" t="s">
        <v>485</v>
      </c>
      <c r="AL321" t="s">
        <v>4106</v>
      </c>
      <c r="AO321" t="s">
        <v>4107</v>
      </c>
      <c r="AP321" t="s">
        <v>3527</v>
      </c>
      <c r="AQ321" t="s">
        <v>4108</v>
      </c>
      <c r="AR321" t="s">
        <v>4109</v>
      </c>
      <c r="AS321" t="s">
        <v>4152</v>
      </c>
      <c r="AT321" t="s">
        <v>4110</v>
      </c>
      <c r="AU321" t="s">
        <v>10</v>
      </c>
      <c r="AV321" t="s">
        <v>4315</v>
      </c>
      <c r="AW321" t="s">
        <v>4316</v>
      </c>
      <c r="AX321" t="s">
        <v>4317</v>
      </c>
      <c r="AY321" s="2" t="s">
        <v>4318</v>
      </c>
      <c r="AZ321" t="s">
        <v>4319</v>
      </c>
      <c r="BA321" t="s">
        <v>222</v>
      </c>
      <c r="BB321" t="s">
        <v>223</v>
      </c>
      <c r="BC321" t="s">
        <v>188</v>
      </c>
      <c r="BD321">
        <v>510100</v>
      </c>
      <c r="BE321" t="s">
        <v>4320</v>
      </c>
      <c r="BF321" t="s">
        <v>4321</v>
      </c>
      <c r="BG321" t="b">
        <v>0</v>
      </c>
      <c r="BH321" s="6" t="s">
        <v>4322</v>
      </c>
      <c r="BI321" t="s">
        <v>4323</v>
      </c>
      <c r="BJ321">
        <v>4453163191</v>
      </c>
      <c r="BK321" t="s">
        <v>162</v>
      </c>
      <c r="BL321" t="s">
        <v>161</v>
      </c>
      <c r="BM321" s="2"/>
      <c r="BO321" t="s">
        <v>89</v>
      </c>
      <c r="BP321">
        <v>82055900</v>
      </c>
      <c r="BR321" t="s">
        <v>180</v>
      </c>
      <c r="BS321" t="s">
        <v>103</v>
      </c>
      <c r="BU321">
        <v>120.96</v>
      </c>
      <c r="BV321">
        <v>212.28</v>
      </c>
      <c r="BW321">
        <v>0</v>
      </c>
      <c r="BX321">
        <v>0</v>
      </c>
      <c r="BY321">
        <v>0</v>
      </c>
      <c r="BZ321">
        <v>0</v>
      </c>
      <c r="CA321">
        <v>333.24</v>
      </c>
      <c r="CF321" s="2"/>
      <c r="CH321" s="2"/>
      <c r="CJ321">
        <v>5.3142019950164998E+17</v>
      </c>
      <c r="CK321" t="s">
        <v>1509</v>
      </c>
      <c r="CL321">
        <v>43778.375740740739</v>
      </c>
      <c r="CO321" t="s">
        <v>11</v>
      </c>
      <c r="CP321">
        <v>1512</v>
      </c>
      <c r="CQ321" t="s">
        <v>11</v>
      </c>
      <c r="CR321">
        <v>1512</v>
      </c>
      <c r="CV321" t="s">
        <v>190</v>
      </c>
      <c r="CW321" t="s">
        <v>12</v>
      </c>
      <c r="CX321" t="s">
        <v>12</v>
      </c>
      <c r="CY321" t="s">
        <v>12</v>
      </c>
      <c r="DA321" t="s">
        <v>104</v>
      </c>
      <c r="DD321" t="s">
        <v>93</v>
      </c>
      <c r="DQ321" t="s">
        <v>94</v>
      </c>
      <c r="DR321" t="s">
        <v>94</v>
      </c>
      <c r="DS321" t="s">
        <v>94</v>
      </c>
      <c r="DT321" t="s">
        <v>94</v>
      </c>
      <c r="DU321" t="s">
        <v>94</v>
      </c>
      <c r="DV321" t="s">
        <v>94</v>
      </c>
      <c r="DW321" t="s">
        <v>94</v>
      </c>
      <c r="DX321" s="2" t="s">
        <v>94</v>
      </c>
      <c r="DY321" t="s">
        <v>94</v>
      </c>
      <c r="DZ321" t="s">
        <v>94</v>
      </c>
      <c r="EA321" t="s">
        <v>94</v>
      </c>
      <c r="EB321" t="s">
        <v>94</v>
      </c>
      <c r="EC321" t="s">
        <v>94</v>
      </c>
      <c r="ED321" t="s">
        <v>94</v>
      </c>
      <c r="EE321" t="s">
        <v>89</v>
      </c>
      <c r="EF321" t="s">
        <v>94</v>
      </c>
      <c r="EG321" t="s">
        <v>105</v>
      </c>
      <c r="EJ321" t="s">
        <v>526</v>
      </c>
      <c r="EK321" t="b">
        <v>0</v>
      </c>
      <c r="EL321" t="b">
        <v>0</v>
      </c>
      <c r="EM321" t="b">
        <v>0</v>
      </c>
    </row>
    <row r="322" spans="3:143" ht="15">
      <c r="C322" s="82">
        <v>3</v>
      </c>
      <c r="D322" s="5"/>
      <c r="E322" s="4">
        <v>2</v>
      </c>
      <c r="F322" s="5">
        <v>22.12</v>
      </c>
      <c r="G322" s="5" t="s">
        <v>4352</v>
      </c>
      <c r="H322" s="4" t="s">
        <v>4353</v>
      </c>
      <c r="I322" s="81" t="s">
        <v>817</v>
      </c>
      <c r="J322" s="21"/>
      <c r="K322" s="22" t="s">
        <v>4324</v>
      </c>
      <c r="L322" s="84" t="s">
        <v>3806</v>
      </c>
      <c r="M322" s="23" t="s">
        <v>817</v>
      </c>
      <c r="N322" s="23">
        <v>43779</v>
      </c>
      <c r="O322" s="24" t="s">
        <v>102</v>
      </c>
      <c r="P322" s="24" t="s">
        <v>181</v>
      </c>
      <c r="Q322" s="24">
        <v>2</v>
      </c>
      <c r="R322" s="24">
        <v>22.12</v>
      </c>
      <c r="S322" t="s">
        <v>11</v>
      </c>
      <c r="T322">
        <v>2000</v>
      </c>
      <c r="U322" s="2" t="s">
        <v>163</v>
      </c>
      <c r="V322">
        <v>43783.439930555556</v>
      </c>
      <c r="W322" s="2" t="s">
        <v>444</v>
      </c>
      <c r="X322">
        <v>43786.619768518518</v>
      </c>
      <c r="AB322" t="s">
        <v>9</v>
      </c>
      <c r="AC322" t="s">
        <v>4325</v>
      </c>
      <c r="AD322" t="s">
        <v>241</v>
      </c>
      <c r="AE322">
        <v>1529593</v>
      </c>
      <c r="AF322">
        <v>1529593</v>
      </c>
      <c r="AG322" t="s">
        <v>183</v>
      </c>
      <c r="AH322" t="s">
        <v>4326</v>
      </c>
      <c r="AI322" t="s">
        <v>4326</v>
      </c>
      <c r="AJ322" t="s">
        <v>184</v>
      </c>
      <c r="AK322" t="s">
        <v>185</v>
      </c>
      <c r="AL322" t="s">
        <v>4327</v>
      </c>
      <c r="AM322" t="s">
        <v>4328</v>
      </c>
      <c r="AO322" t="s">
        <v>4329</v>
      </c>
      <c r="AP322" t="s">
        <v>4330</v>
      </c>
      <c r="AQ322" t="s">
        <v>4331</v>
      </c>
      <c r="AR322" t="s">
        <v>4332</v>
      </c>
      <c r="AS322" t="s">
        <v>4333</v>
      </c>
      <c r="AT322" t="s">
        <v>4334</v>
      </c>
      <c r="AU322" t="s">
        <v>10</v>
      </c>
      <c r="AV322" t="s">
        <v>4335</v>
      </c>
      <c r="AW322" t="s">
        <v>4336</v>
      </c>
      <c r="AX322" t="s">
        <v>4337</v>
      </c>
      <c r="AY322" s="2" t="s">
        <v>4338</v>
      </c>
      <c r="BA322" t="s">
        <v>4339</v>
      </c>
      <c r="BB322" t="s">
        <v>4340</v>
      </c>
      <c r="BC322" t="s">
        <v>188</v>
      </c>
      <c r="BD322">
        <v>516121</v>
      </c>
      <c r="BE322" t="s">
        <v>4341</v>
      </c>
      <c r="BF322" t="s">
        <v>4342</v>
      </c>
      <c r="BG322" t="b">
        <v>0</v>
      </c>
      <c r="BH322" s="6" t="s">
        <v>4343</v>
      </c>
      <c r="BI322" t="s">
        <v>4344</v>
      </c>
      <c r="BJ322">
        <v>4453163191</v>
      </c>
      <c r="BK322" t="s">
        <v>162</v>
      </c>
      <c r="BL322" t="s">
        <v>161</v>
      </c>
      <c r="BM322" s="2"/>
      <c r="BO322" t="s">
        <v>89</v>
      </c>
      <c r="BP322">
        <v>3923100090</v>
      </c>
      <c r="BR322" t="s">
        <v>189</v>
      </c>
      <c r="BS322" t="s">
        <v>103</v>
      </c>
      <c r="BU322">
        <v>200</v>
      </c>
      <c r="BV322">
        <v>286</v>
      </c>
      <c r="BW322">
        <v>0</v>
      </c>
      <c r="BX322">
        <v>0</v>
      </c>
      <c r="BY322">
        <v>0</v>
      </c>
      <c r="BZ322">
        <v>0</v>
      </c>
      <c r="CA322">
        <v>486</v>
      </c>
      <c r="CF322" s="2"/>
      <c r="CH322" s="2"/>
      <c r="CJ322">
        <v>5.3142019950165798E+17</v>
      </c>
      <c r="CK322" t="s">
        <v>1509</v>
      </c>
      <c r="CL322">
        <v>43779.376145833332</v>
      </c>
      <c r="CO322" t="s">
        <v>11</v>
      </c>
      <c r="CP322">
        <v>2000</v>
      </c>
      <c r="CQ322" t="s">
        <v>11</v>
      </c>
      <c r="CR322">
        <v>2000</v>
      </c>
      <c r="CV322" t="s">
        <v>190</v>
      </c>
      <c r="CW322" t="s">
        <v>12</v>
      </c>
      <c r="CX322" t="s">
        <v>12</v>
      </c>
      <c r="CY322" t="s">
        <v>12</v>
      </c>
      <c r="DA322" t="s">
        <v>104</v>
      </c>
      <c r="DD322" t="s">
        <v>93</v>
      </c>
      <c r="DQ322" t="s">
        <v>94</v>
      </c>
      <c r="DR322" t="s">
        <v>94</v>
      </c>
      <c r="DS322" t="s">
        <v>94</v>
      </c>
      <c r="DT322" t="s">
        <v>94</v>
      </c>
      <c r="DU322" t="s">
        <v>94</v>
      </c>
      <c r="DV322" t="s">
        <v>94</v>
      </c>
      <c r="DW322" t="s">
        <v>94</v>
      </c>
      <c r="DX322" s="2" t="s">
        <v>94</v>
      </c>
      <c r="DY322" t="s">
        <v>94</v>
      </c>
      <c r="DZ322" t="s">
        <v>94</v>
      </c>
      <c r="EA322" t="s">
        <v>94</v>
      </c>
      <c r="EB322" t="s">
        <v>94</v>
      </c>
      <c r="EC322" t="s">
        <v>94</v>
      </c>
      <c r="ED322" t="s">
        <v>94</v>
      </c>
      <c r="EE322" t="s">
        <v>89</v>
      </c>
      <c r="EF322" t="s">
        <v>425</v>
      </c>
      <c r="EG322" t="s">
        <v>105</v>
      </c>
      <c r="EJ322" t="s">
        <v>526</v>
      </c>
      <c r="EK322" t="b">
        <v>0</v>
      </c>
      <c r="EL322" t="b">
        <v>0</v>
      </c>
      <c r="EM322" t="b">
        <v>0</v>
      </c>
    </row>
    <row r="323" spans="3:143" ht="15">
      <c r="C323" s="82">
        <v>4124</v>
      </c>
      <c r="D323" s="5"/>
      <c r="E323" s="4">
        <v>1</v>
      </c>
      <c r="F323" s="5">
        <v>1.45</v>
      </c>
      <c r="G323" s="5" t="s">
        <v>4385</v>
      </c>
      <c r="H323" s="4" t="s">
        <v>3654</v>
      </c>
      <c r="I323" s="81" t="s">
        <v>164</v>
      </c>
      <c r="J323" s="21"/>
      <c r="K323" s="22" t="s">
        <v>4354</v>
      </c>
      <c r="L323" s="84" t="s">
        <v>4355</v>
      </c>
      <c r="M323" s="23" t="s">
        <v>447</v>
      </c>
      <c r="N323" s="23">
        <v>43782</v>
      </c>
      <c r="O323" s="24" t="s">
        <v>102</v>
      </c>
      <c r="P323" s="24" t="s">
        <v>179</v>
      </c>
      <c r="Q323" s="24">
        <v>1</v>
      </c>
      <c r="R323" s="24">
        <v>1.45</v>
      </c>
      <c r="S323" t="s">
        <v>319</v>
      </c>
      <c r="T323">
        <v>42</v>
      </c>
      <c r="U323" s="2" t="s">
        <v>1780</v>
      </c>
      <c r="V323">
        <v>43782.813321759262</v>
      </c>
      <c r="W323" s="2" t="s">
        <v>444</v>
      </c>
      <c r="X323">
        <v>43784.423900462964</v>
      </c>
      <c r="AB323" t="s">
        <v>9</v>
      </c>
      <c r="AC323" t="s">
        <v>481</v>
      </c>
      <c r="AD323" t="s">
        <v>1602</v>
      </c>
      <c r="AE323">
        <v>188241</v>
      </c>
      <c r="AF323">
        <v>188241</v>
      </c>
      <c r="AG323" t="s">
        <v>183</v>
      </c>
      <c r="AH323" t="s">
        <v>4356</v>
      </c>
      <c r="AI323" t="s">
        <v>4356</v>
      </c>
      <c r="AJ323" t="s">
        <v>484</v>
      </c>
      <c r="AK323" t="s">
        <v>485</v>
      </c>
      <c r="AL323" t="s">
        <v>4357</v>
      </c>
      <c r="AO323" t="s">
        <v>4358</v>
      </c>
      <c r="AP323" t="s">
        <v>488</v>
      </c>
      <c r="AQ323" t="s">
        <v>4359</v>
      </c>
      <c r="AR323" t="s">
        <v>4360</v>
      </c>
      <c r="AS323">
        <v>880023300</v>
      </c>
      <c r="AT323" t="s">
        <v>4361</v>
      </c>
      <c r="AU323" t="s">
        <v>10</v>
      </c>
      <c r="AV323" t="s">
        <v>4362</v>
      </c>
      <c r="AW323" t="s">
        <v>4362</v>
      </c>
      <c r="AX323" t="s">
        <v>4363</v>
      </c>
      <c r="AY323" s="2"/>
      <c r="BA323" t="s">
        <v>1615</v>
      </c>
      <c r="BB323" t="s">
        <v>1616</v>
      </c>
      <c r="BC323" t="s">
        <v>188</v>
      </c>
      <c r="BD323">
        <v>528400</v>
      </c>
      <c r="BE323" t="s">
        <v>4386</v>
      </c>
      <c r="BF323" t="s">
        <v>4364</v>
      </c>
      <c r="BG323" t="b">
        <v>0</v>
      </c>
      <c r="BH323" s="6" t="s">
        <v>4365</v>
      </c>
      <c r="BI323" t="s">
        <v>4366</v>
      </c>
      <c r="BJ323">
        <v>4453163191</v>
      </c>
      <c r="BK323" t="s">
        <v>162</v>
      </c>
      <c r="BL323" t="s">
        <v>161</v>
      </c>
      <c r="BM323" s="2"/>
      <c r="BO323" t="s">
        <v>89</v>
      </c>
      <c r="BP323">
        <v>85414010</v>
      </c>
      <c r="BR323" t="s">
        <v>3461</v>
      </c>
      <c r="BS323" t="s">
        <v>103</v>
      </c>
      <c r="BU323">
        <v>0</v>
      </c>
      <c r="BV323">
        <v>0</v>
      </c>
      <c r="BW323">
        <v>0</v>
      </c>
      <c r="BX323">
        <v>0</v>
      </c>
      <c r="BY323">
        <v>0</v>
      </c>
      <c r="BZ323">
        <v>0</v>
      </c>
      <c r="CA323">
        <v>0</v>
      </c>
      <c r="CF323" s="2"/>
      <c r="CH323" s="2"/>
      <c r="CJ323">
        <v>5.3142019950165197E+17</v>
      </c>
      <c r="CK323" t="s">
        <v>1509</v>
      </c>
      <c r="CL323">
        <v>43782.37572916667</v>
      </c>
      <c r="CO323" t="s">
        <v>11</v>
      </c>
      <c r="CP323">
        <v>297.13</v>
      </c>
      <c r="CQ323" t="s">
        <v>11</v>
      </c>
      <c r="CR323">
        <v>297.13</v>
      </c>
      <c r="CV323" t="s">
        <v>190</v>
      </c>
      <c r="CW323" t="s">
        <v>12</v>
      </c>
      <c r="CX323" t="s">
        <v>12</v>
      </c>
      <c r="CY323" t="s">
        <v>12</v>
      </c>
      <c r="DA323" t="s">
        <v>104</v>
      </c>
      <c r="DD323" t="s">
        <v>93</v>
      </c>
      <c r="DQ323" t="s">
        <v>94</v>
      </c>
      <c r="DR323" t="s">
        <v>94</v>
      </c>
      <c r="DS323" t="s">
        <v>94</v>
      </c>
      <c r="DT323" t="s">
        <v>94</v>
      </c>
      <c r="DU323" t="s">
        <v>94</v>
      </c>
      <c r="DV323" t="s">
        <v>94</v>
      </c>
      <c r="DW323" t="s">
        <v>94</v>
      </c>
      <c r="DX323" s="2" t="s">
        <v>94</v>
      </c>
      <c r="DY323" t="s">
        <v>94</v>
      </c>
      <c r="DZ323" t="s">
        <v>94</v>
      </c>
      <c r="EA323" t="s">
        <v>94</v>
      </c>
      <c r="EB323" t="s">
        <v>94</v>
      </c>
      <c r="EC323" t="s">
        <v>94</v>
      </c>
      <c r="ED323" t="s">
        <v>94</v>
      </c>
      <c r="EE323" t="s">
        <v>89</v>
      </c>
      <c r="EF323" t="s">
        <v>94</v>
      </c>
      <c r="EG323" t="s">
        <v>105</v>
      </c>
      <c r="EJ323" t="s">
        <v>166</v>
      </c>
      <c r="EK323" t="b">
        <v>0</v>
      </c>
      <c r="EL323" t="b">
        <v>0</v>
      </c>
      <c r="EM323" t="b">
        <v>0</v>
      </c>
    </row>
    <row r="324" spans="3:143" ht="15">
      <c r="C324" s="82">
        <v>13</v>
      </c>
      <c r="D324" s="5"/>
      <c r="E324" s="4">
        <v>1</v>
      </c>
      <c r="F324" s="5">
        <v>0.7</v>
      </c>
      <c r="G324" s="5" t="s">
        <v>4387</v>
      </c>
      <c r="H324" s="4" t="s">
        <v>4388</v>
      </c>
      <c r="I324" s="81" t="s">
        <v>164</v>
      </c>
      <c r="J324" s="21"/>
      <c r="K324" s="22" t="s">
        <v>4367</v>
      </c>
      <c r="L324" s="84" t="s">
        <v>4368</v>
      </c>
      <c r="M324" s="23" t="s">
        <v>447</v>
      </c>
      <c r="N324" s="23">
        <v>43787</v>
      </c>
      <c r="O324" s="24" t="s">
        <v>102</v>
      </c>
      <c r="P324" s="24" t="s">
        <v>179</v>
      </c>
      <c r="Q324" s="24">
        <v>1</v>
      </c>
      <c r="R324" s="24">
        <v>0.7</v>
      </c>
      <c r="S324" t="s">
        <v>319</v>
      </c>
      <c r="T324">
        <v>30</v>
      </c>
      <c r="U324" s="2" t="s">
        <v>163</v>
      </c>
      <c r="V324">
        <v>43787.829895833333</v>
      </c>
      <c r="W324" s="2" t="s">
        <v>444</v>
      </c>
      <c r="X324">
        <v>43789.478113425925</v>
      </c>
      <c r="AB324" t="s">
        <v>9</v>
      </c>
      <c r="AC324" t="s">
        <v>2879</v>
      </c>
      <c r="AD324" t="s">
        <v>209</v>
      </c>
      <c r="AE324">
        <v>502056</v>
      </c>
      <c r="AF324">
        <v>502056</v>
      </c>
      <c r="AG324" t="s">
        <v>183</v>
      </c>
      <c r="AH324" t="s">
        <v>4369</v>
      </c>
      <c r="AI324" t="s">
        <v>4369</v>
      </c>
      <c r="AJ324" t="s">
        <v>2881</v>
      </c>
      <c r="AK324" t="s">
        <v>2882</v>
      </c>
      <c r="AL324" t="s">
        <v>4370</v>
      </c>
      <c r="AM324" t="s">
        <v>4371</v>
      </c>
      <c r="AO324" t="s">
        <v>4372</v>
      </c>
      <c r="AP324" t="s">
        <v>2886</v>
      </c>
      <c r="AQ324" t="s">
        <v>4373</v>
      </c>
      <c r="AR324">
        <v>1500</v>
      </c>
      <c r="AS324">
        <v>-7277349</v>
      </c>
      <c r="AT324" t="s">
        <v>4374</v>
      </c>
      <c r="AU324" t="s">
        <v>10</v>
      </c>
      <c r="AV324" t="s">
        <v>4375</v>
      </c>
      <c r="AW324" t="s">
        <v>4375</v>
      </c>
      <c r="AX324" t="s">
        <v>4376</v>
      </c>
      <c r="AY324" s="2" t="s">
        <v>4377</v>
      </c>
      <c r="AZ324" t="s">
        <v>4378</v>
      </c>
      <c r="BA324" t="s">
        <v>4379</v>
      </c>
      <c r="BB324" t="s">
        <v>4380</v>
      </c>
      <c r="BC324" t="s">
        <v>188</v>
      </c>
      <c r="BD324">
        <v>529500</v>
      </c>
      <c r="BE324" t="s">
        <v>4381</v>
      </c>
      <c r="BF324" t="s">
        <v>4382</v>
      </c>
      <c r="BG324" t="b">
        <v>0</v>
      </c>
      <c r="BH324" s="6" t="s">
        <v>4383</v>
      </c>
      <c r="BI324" t="s">
        <v>4384</v>
      </c>
      <c r="BJ324">
        <v>4453163191</v>
      </c>
      <c r="BK324" t="s">
        <v>162</v>
      </c>
      <c r="BL324" t="s">
        <v>161</v>
      </c>
      <c r="BM324" s="2"/>
      <c r="BO324" t="s">
        <v>89</v>
      </c>
      <c r="BP324">
        <v>6109100022</v>
      </c>
      <c r="BR324" t="s">
        <v>180</v>
      </c>
      <c r="BS324" t="s">
        <v>103</v>
      </c>
      <c r="BU324">
        <v>0</v>
      </c>
      <c r="BV324">
        <v>0</v>
      </c>
      <c r="BW324">
        <v>0</v>
      </c>
      <c r="BX324">
        <v>0</v>
      </c>
      <c r="BY324">
        <v>0</v>
      </c>
      <c r="BZ324">
        <v>0</v>
      </c>
      <c r="CA324">
        <v>0</v>
      </c>
      <c r="CF324" s="2"/>
      <c r="CH324" s="2"/>
      <c r="CJ324">
        <v>5.3142019950168602E+17</v>
      </c>
      <c r="CK324" t="s">
        <v>1509</v>
      </c>
      <c r="CL324">
        <v>43787.391446759262</v>
      </c>
      <c r="CO324" t="s">
        <v>11</v>
      </c>
      <c r="CP324">
        <v>212.24</v>
      </c>
      <c r="CQ324" t="s">
        <v>11</v>
      </c>
      <c r="CR324">
        <v>212.24</v>
      </c>
      <c r="CV324" t="s">
        <v>190</v>
      </c>
      <c r="CW324" t="s">
        <v>12</v>
      </c>
      <c r="CX324" t="s">
        <v>12</v>
      </c>
      <c r="CY324" t="s">
        <v>12</v>
      </c>
      <c r="DA324" t="s">
        <v>104</v>
      </c>
      <c r="DD324" t="s">
        <v>93</v>
      </c>
      <c r="DQ324" t="s">
        <v>94</v>
      </c>
      <c r="DR324" t="s">
        <v>94</v>
      </c>
      <c r="DS324" t="s">
        <v>94</v>
      </c>
      <c r="DT324" t="s">
        <v>94</v>
      </c>
      <c r="DU324" t="s">
        <v>94</v>
      </c>
      <c r="DV324" t="s">
        <v>94</v>
      </c>
      <c r="DW324" t="s">
        <v>94</v>
      </c>
      <c r="DX324" s="2" t="s">
        <v>94</v>
      </c>
      <c r="DY324" t="s">
        <v>94</v>
      </c>
      <c r="DZ324" t="s">
        <v>94</v>
      </c>
      <c r="EA324" t="s">
        <v>94</v>
      </c>
      <c r="EB324" t="s">
        <v>94</v>
      </c>
      <c r="EC324" t="s">
        <v>94</v>
      </c>
      <c r="ED324" t="s">
        <v>94</v>
      </c>
      <c r="EE324" t="s">
        <v>89</v>
      </c>
      <c r="EF324" t="s">
        <v>94</v>
      </c>
      <c r="EG324" t="s">
        <v>105</v>
      </c>
      <c r="EJ324" t="s">
        <v>166</v>
      </c>
      <c r="EK324" t="b">
        <v>0</v>
      </c>
      <c r="EL324" t="b">
        <v>0</v>
      </c>
      <c r="EM324" t="b">
        <v>0</v>
      </c>
    </row>
    <row r="325" spans="3:143" ht="15">
      <c r="C325" s="82">
        <v>123</v>
      </c>
      <c r="D325" s="5"/>
      <c r="E325" s="4">
        <v>1</v>
      </c>
      <c r="F325" s="5">
        <v>1</v>
      </c>
      <c r="G325" s="5" t="s">
        <v>4403</v>
      </c>
      <c r="H325" s="4" t="s">
        <v>4404</v>
      </c>
      <c r="I325" s="81" t="s">
        <v>164</v>
      </c>
      <c r="J325" s="21"/>
      <c r="K325" s="22" t="s">
        <v>4389</v>
      </c>
      <c r="L325" s="84" t="s">
        <v>4368</v>
      </c>
      <c r="M325" s="23" t="s">
        <v>447</v>
      </c>
      <c r="N325" s="23">
        <v>43787</v>
      </c>
      <c r="O325" s="24" t="s">
        <v>102</v>
      </c>
      <c r="P325" s="24" t="s">
        <v>179</v>
      </c>
      <c r="Q325" s="24">
        <v>1</v>
      </c>
      <c r="R325" s="24">
        <v>1</v>
      </c>
      <c r="S325" t="s">
        <v>11</v>
      </c>
      <c r="T325">
        <v>200</v>
      </c>
      <c r="U325" s="2" t="s">
        <v>163</v>
      </c>
      <c r="V325">
        <v>43787.829965277779</v>
      </c>
      <c r="W325" s="2" t="s">
        <v>444</v>
      </c>
      <c r="X325">
        <v>43789.478113425925</v>
      </c>
      <c r="AB325" t="s">
        <v>9</v>
      </c>
      <c r="AC325" t="s">
        <v>1101</v>
      </c>
      <c r="AD325" t="s">
        <v>182</v>
      </c>
      <c r="AE325">
        <v>102579</v>
      </c>
      <c r="AF325">
        <v>102579</v>
      </c>
      <c r="AG325" t="s">
        <v>183</v>
      </c>
      <c r="AH325" t="s">
        <v>4390</v>
      </c>
      <c r="AI325" t="s">
        <v>4390</v>
      </c>
      <c r="AJ325" t="s">
        <v>484</v>
      </c>
      <c r="AK325" t="s">
        <v>485</v>
      </c>
      <c r="AL325" t="s">
        <v>4391</v>
      </c>
      <c r="AO325" t="s">
        <v>4392</v>
      </c>
      <c r="AP325" t="s">
        <v>1105</v>
      </c>
      <c r="AQ325" t="s">
        <v>1106</v>
      </c>
      <c r="AR325" t="s">
        <v>4393</v>
      </c>
      <c r="AS325">
        <v>713328911</v>
      </c>
      <c r="AT325" t="s">
        <v>4394</v>
      </c>
      <c r="AU325" t="s">
        <v>10</v>
      </c>
      <c r="AV325" t="s">
        <v>4395</v>
      </c>
      <c r="AW325" t="s">
        <v>4395</v>
      </c>
      <c r="AX325" t="s">
        <v>4396</v>
      </c>
      <c r="AY325" s="2" t="s">
        <v>4397</v>
      </c>
      <c r="AZ325" t="s">
        <v>4398</v>
      </c>
      <c r="BA325" t="s">
        <v>194</v>
      </c>
      <c r="BB325" t="s">
        <v>272</v>
      </c>
      <c r="BC325" t="s">
        <v>188</v>
      </c>
      <c r="BD325">
        <v>518000</v>
      </c>
      <c r="BE325">
        <v>8618121291177</v>
      </c>
      <c r="BF325" t="s">
        <v>4399</v>
      </c>
      <c r="BG325" t="b">
        <v>0</v>
      </c>
      <c r="BH325" s="6" t="s">
        <v>4400</v>
      </c>
      <c r="BI325" t="s">
        <v>4401</v>
      </c>
      <c r="BJ325">
        <v>4453163191</v>
      </c>
      <c r="BK325" t="s">
        <v>162</v>
      </c>
      <c r="BL325" t="s">
        <v>161</v>
      </c>
      <c r="BM325" s="2"/>
      <c r="BO325" t="s">
        <v>89</v>
      </c>
      <c r="BP325">
        <v>96081000</v>
      </c>
      <c r="BR325" t="s">
        <v>180</v>
      </c>
      <c r="BS325" t="s">
        <v>103</v>
      </c>
      <c r="BU325">
        <v>0</v>
      </c>
      <c r="BV325">
        <v>0</v>
      </c>
      <c r="BW325">
        <v>0</v>
      </c>
      <c r="BX325">
        <v>0</v>
      </c>
      <c r="BY325">
        <v>0</v>
      </c>
      <c r="BZ325">
        <v>0</v>
      </c>
      <c r="CA325">
        <v>0</v>
      </c>
      <c r="CF325" s="2"/>
      <c r="CH325" s="2"/>
      <c r="CJ325">
        <v>5.3142019950168602E+17</v>
      </c>
      <c r="CK325" t="s">
        <v>4402</v>
      </c>
      <c r="CL325">
        <v>43787.565798611111</v>
      </c>
      <c r="CO325" t="s">
        <v>11</v>
      </c>
      <c r="CP325">
        <v>200</v>
      </c>
      <c r="CQ325" t="s">
        <v>11</v>
      </c>
      <c r="CR325">
        <v>200</v>
      </c>
      <c r="CV325" t="s">
        <v>190</v>
      </c>
      <c r="CW325" t="s">
        <v>12</v>
      </c>
      <c r="CX325" t="s">
        <v>12</v>
      </c>
      <c r="CY325" t="s">
        <v>12</v>
      </c>
      <c r="DA325" t="s">
        <v>104</v>
      </c>
      <c r="DD325" t="s">
        <v>93</v>
      </c>
      <c r="DQ325" t="s">
        <v>94</v>
      </c>
      <c r="DR325" t="s">
        <v>94</v>
      </c>
      <c r="DS325" t="s">
        <v>94</v>
      </c>
      <c r="DT325" t="s">
        <v>94</v>
      </c>
      <c r="DU325" t="s">
        <v>94</v>
      </c>
      <c r="DV325" t="s">
        <v>94</v>
      </c>
      <c r="DW325" t="s">
        <v>94</v>
      </c>
      <c r="DX325" s="2" t="s">
        <v>94</v>
      </c>
      <c r="DY325" t="s">
        <v>94</v>
      </c>
      <c r="DZ325" t="s">
        <v>94</v>
      </c>
      <c r="EA325" t="s">
        <v>94</v>
      </c>
      <c r="EB325" t="s">
        <v>94</v>
      </c>
      <c r="EC325" t="s">
        <v>94</v>
      </c>
      <c r="ED325" t="s">
        <v>94</v>
      </c>
      <c r="EE325" t="s">
        <v>89</v>
      </c>
      <c r="EF325" t="s">
        <v>425</v>
      </c>
      <c r="EG325" t="s">
        <v>105</v>
      </c>
      <c r="EJ325" t="s">
        <v>166</v>
      </c>
      <c r="EK325" t="b">
        <v>0</v>
      </c>
      <c r="EL325" t="b">
        <v>0</v>
      </c>
      <c r="EM325" t="b">
        <v>0</v>
      </c>
    </row>
    <row r="326" spans="3:143" ht="15">
      <c r="C326" s="82">
        <v>32</v>
      </c>
      <c r="D326" s="5"/>
      <c r="E326" s="4">
        <v>1</v>
      </c>
      <c r="F326" s="5">
        <v>1</v>
      </c>
      <c r="G326" s="5" t="s">
        <v>4405</v>
      </c>
      <c r="H326" s="4" t="s">
        <v>4404</v>
      </c>
      <c r="I326" s="81" t="s">
        <v>164</v>
      </c>
      <c r="J326" s="21"/>
      <c r="K326" s="22" t="s">
        <v>4389</v>
      </c>
      <c r="L326" s="84" t="s">
        <v>4368</v>
      </c>
      <c r="M326" s="23" t="s">
        <v>447</v>
      </c>
      <c r="N326" s="23">
        <v>43787</v>
      </c>
      <c r="O326" s="24" t="s">
        <v>102</v>
      </c>
      <c r="P326" s="24" t="s">
        <v>179</v>
      </c>
      <c r="Q326" s="24">
        <v>1</v>
      </c>
      <c r="R326" s="24">
        <v>1</v>
      </c>
      <c r="S326" t="s">
        <v>11</v>
      </c>
      <c r="T326">
        <v>200</v>
      </c>
      <c r="U326" s="2" t="s">
        <v>163</v>
      </c>
      <c r="V326">
        <v>43787.829965277779</v>
      </c>
      <c r="W326" s="2" t="s">
        <v>444</v>
      </c>
      <c r="X326">
        <v>43789.478113425925</v>
      </c>
      <c r="AB326" t="s">
        <v>9</v>
      </c>
      <c r="AC326" t="s">
        <v>1101</v>
      </c>
      <c r="AD326" t="s">
        <v>182</v>
      </c>
      <c r="AE326">
        <v>102579</v>
      </c>
      <c r="AF326">
        <v>102579</v>
      </c>
      <c r="AG326" t="s">
        <v>183</v>
      </c>
      <c r="AH326" t="s">
        <v>4390</v>
      </c>
      <c r="AI326" t="s">
        <v>4390</v>
      </c>
      <c r="AJ326" t="s">
        <v>484</v>
      </c>
      <c r="AK326" t="s">
        <v>485</v>
      </c>
      <c r="AL326" t="s">
        <v>4391</v>
      </c>
      <c r="AO326" t="s">
        <v>4392</v>
      </c>
      <c r="AP326" t="s">
        <v>1105</v>
      </c>
      <c r="AQ326" t="s">
        <v>1106</v>
      </c>
      <c r="AR326" t="s">
        <v>4393</v>
      </c>
      <c r="AS326">
        <v>713328911</v>
      </c>
      <c r="AT326" t="s">
        <v>4394</v>
      </c>
      <c r="AU326" t="s">
        <v>10</v>
      </c>
      <c r="AV326" t="s">
        <v>4395</v>
      </c>
      <c r="AW326" t="s">
        <v>4395</v>
      </c>
      <c r="AX326" t="s">
        <v>4396</v>
      </c>
      <c r="AY326" s="2" t="s">
        <v>4397</v>
      </c>
      <c r="AZ326" t="s">
        <v>4398</v>
      </c>
      <c r="BA326" t="s">
        <v>194</v>
      </c>
      <c r="BB326" t="s">
        <v>272</v>
      </c>
      <c r="BC326" t="s">
        <v>188</v>
      </c>
      <c r="BD326">
        <v>518000</v>
      </c>
      <c r="BE326" t="s">
        <v>4406</v>
      </c>
      <c r="BF326" t="s">
        <v>4399</v>
      </c>
      <c r="BG326" t="b">
        <v>0</v>
      </c>
      <c r="BH326" s="6" t="s">
        <v>4400</v>
      </c>
      <c r="BI326" t="s">
        <v>4401</v>
      </c>
      <c r="BJ326">
        <v>4453163191</v>
      </c>
      <c r="BK326" t="s">
        <v>162</v>
      </c>
      <c r="BL326" t="s">
        <v>161</v>
      </c>
      <c r="BM326" s="2"/>
      <c r="BO326" t="s">
        <v>89</v>
      </c>
      <c r="BP326">
        <v>96081000</v>
      </c>
      <c r="BR326" t="s">
        <v>180</v>
      </c>
      <c r="BS326" t="s">
        <v>103</v>
      </c>
      <c r="BU326">
        <v>0</v>
      </c>
      <c r="BV326">
        <v>0</v>
      </c>
      <c r="BW326">
        <v>0</v>
      </c>
      <c r="BX326">
        <v>0</v>
      </c>
      <c r="BY326">
        <v>0</v>
      </c>
      <c r="BZ326">
        <v>0</v>
      </c>
      <c r="CA326">
        <v>0</v>
      </c>
      <c r="CF326" s="2"/>
      <c r="CH326" s="2"/>
      <c r="CJ326">
        <v>5.3142019950168602E+17</v>
      </c>
      <c r="CK326" t="s">
        <v>4402</v>
      </c>
      <c r="CL326">
        <v>43787.565798611111</v>
      </c>
      <c r="CO326" t="s">
        <v>11</v>
      </c>
      <c r="CP326" t="s">
        <v>3074</v>
      </c>
      <c r="CQ326" t="s">
        <v>11</v>
      </c>
      <c r="CR326">
        <v>200</v>
      </c>
      <c r="CV326" t="s">
        <v>190</v>
      </c>
      <c r="CW326" t="s">
        <v>12</v>
      </c>
      <c r="CX326" t="s">
        <v>12</v>
      </c>
      <c r="CY326" t="s">
        <v>12</v>
      </c>
      <c r="DA326" t="s">
        <v>104</v>
      </c>
      <c r="DD326" t="s">
        <v>93</v>
      </c>
      <c r="DQ326" t="s">
        <v>94</v>
      </c>
      <c r="DR326" t="s">
        <v>94</v>
      </c>
      <c r="DS326" t="s">
        <v>94</v>
      </c>
      <c r="DT326" t="s">
        <v>94</v>
      </c>
      <c r="DU326" t="s">
        <v>94</v>
      </c>
      <c r="DV326" t="s">
        <v>94</v>
      </c>
      <c r="DW326" t="s">
        <v>94</v>
      </c>
      <c r="DX326" s="2" t="s">
        <v>94</v>
      </c>
      <c r="DY326" t="s">
        <v>94</v>
      </c>
      <c r="DZ326" t="s">
        <v>94</v>
      </c>
      <c r="EA326" t="s">
        <v>94</v>
      </c>
      <c r="EB326" t="s">
        <v>94</v>
      </c>
      <c r="EC326" t="s">
        <v>94</v>
      </c>
      <c r="ED326" t="s">
        <v>94</v>
      </c>
      <c r="EE326" t="s">
        <v>89</v>
      </c>
      <c r="EF326" t="s">
        <v>425</v>
      </c>
      <c r="EG326" t="s">
        <v>105</v>
      </c>
      <c r="EJ326" t="s">
        <v>166</v>
      </c>
      <c r="EK326" t="b">
        <v>0</v>
      </c>
      <c r="EL326" t="b">
        <v>0</v>
      </c>
      <c r="EM326" t="b">
        <v>0</v>
      </c>
    </row>
    <row r="327" spans="3:143">
      <c r="C327" s="4">
        <v>23</v>
      </c>
      <c r="D327" s="4"/>
      <c r="E327" s="4">
        <v>1</v>
      </c>
      <c r="F327" s="4">
        <v>0.7</v>
      </c>
      <c r="G327" s="5" t="s">
        <v>4405</v>
      </c>
      <c r="H327" s="4" t="s">
        <v>4388</v>
      </c>
      <c r="I327" s="4" t="s">
        <v>164</v>
      </c>
      <c r="J327" s="5"/>
      <c r="K327" s="22" t="s">
        <v>4367</v>
      </c>
      <c r="L327" s="84" t="s">
        <v>4368</v>
      </c>
      <c r="M327" s="23" t="s">
        <v>447</v>
      </c>
      <c r="N327" s="23">
        <v>43787</v>
      </c>
      <c r="O327" s="24" t="s">
        <v>102</v>
      </c>
      <c r="P327" s="24" t="s">
        <v>179</v>
      </c>
      <c r="Q327" s="24">
        <v>1</v>
      </c>
      <c r="R327" s="24">
        <v>0.7</v>
      </c>
      <c r="S327" t="s">
        <v>319</v>
      </c>
      <c r="T327">
        <v>30</v>
      </c>
      <c r="U327" s="2" t="s">
        <v>163</v>
      </c>
      <c r="V327">
        <v>43787.829895833333</v>
      </c>
      <c r="W327" s="2" t="s">
        <v>444</v>
      </c>
      <c r="X327">
        <v>43789.478113425925</v>
      </c>
      <c r="AB327" t="s">
        <v>9</v>
      </c>
      <c r="AC327" t="s">
        <v>2879</v>
      </c>
      <c r="AD327" t="s">
        <v>209</v>
      </c>
      <c r="AE327">
        <v>502056</v>
      </c>
      <c r="AF327">
        <v>502056</v>
      </c>
      <c r="AG327" t="s">
        <v>183</v>
      </c>
      <c r="AH327" t="s">
        <v>4369</v>
      </c>
      <c r="AI327" t="s">
        <v>4369</v>
      </c>
      <c r="AJ327" t="s">
        <v>2881</v>
      </c>
      <c r="AK327" t="s">
        <v>2882</v>
      </c>
      <c r="AL327" t="s">
        <v>4370</v>
      </c>
      <c r="AM327" t="s">
        <v>4371</v>
      </c>
      <c r="AO327" t="s">
        <v>4372</v>
      </c>
      <c r="AP327" t="s">
        <v>2886</v>
      </c>
      <c r="AQ327" t="s">
        <v>4373</v>
      </c>
      <c r="AR327" t="s">
        <v>4407</v>
      </c>
      <c r="AS327">
        <v>-7277349</v>
      </c>
      <c r="AT327" t="s">
        <v>4374</v>
      </c>
      <c r="AU327" t="s">
        <v>10</v>
      </c>
      <c r="AV327" t="s">
        <v>4375</v>
      </c>
      <c r="AW327" t="s">
        <v>4375</v>
      </c>
      <c r="AX327" t="s">
        <v>4376</v>
      </c>
      <c r="AY327" t="s">
        <v>4377</v>
      </c>
      <c r="AZ327" t="s">
        <v>4378</v>
      </c>
      <c r="BA327" t="s">
        <v>4379</v>
      </c>
      <c r="BB327" t="s">
        <v>4380</v>
      </c>
      <c r="BC327" t="s">
        <v>188</v>
      </c>
      <c r="BD327">
        <v>529500</v>
      </c>
      <c r="BE327" t="s">
        <v>4381</v>
      </c>
      <c r="BF327" t="s">
        <v>4382</v>
      </c>
      <c r="BG327" t="b">
        <v>0</v>
      </c>
      <c r="BH327" s="6" t="s">
        <v>4383</v>
      </c>
      <c r="BI327" t="s">
        <v>4384</v>
      </c>
      <c r="BJ327">
        <v>4453163191</v>
      </c>
      <c r="BK327" t="s">
        <v>162</v>
      </c>
      <c r="BL327" t="s">
        <v>161</v>
      </c>
      <c r="BM327" s="2"/>
      <c r="BO327" t="s">
        <v>89</v>
      </c>
      <c r="BP327">
        <v>6109100022</v>
      </c>
      <c r="BR327" t="s">
        <v>180</v>
      </c>
      <c r="BS327" t="s">
        <v>103</v>
      </c>
      <c r="BU327">
        <v>0</v>
      </c>
      <c r="BV327">
        <v>0</v>
      </c>
      <c r="BW327">
        <v>0</v>
      </c>
      <c r="BX327">
        <v>0</v>
      </c>
      <c r="BY327">
        <v>0</v>
      </c>
      <c r="BZ327">
        <v>0</v>
      </c>
      <c r="CA327">
        <v>0</v>
      </c>
      <c r="CF327" s="2"/>
      <c r="CH327" s="2"/>
      <c r="CJ327">
        <v>5.3142019950168602E+17</v>
      </c>
      <c r="CK327" t="s">
        <v>1509</v>
      </c>
      <c r="CL327">
        <v>43787.391446759262</v>
      </c>
      <c r="CO327" t="s">
        <v>11</v>
      </c>
      <c r="CP327" t="s">
        <v>4408</v>
      </c>
      <c r="CQ327" t="s">
        <v>11</v>
      </c>
      <c r="CR327">
        <v>212.24</v>
      </c>
      <c r="CV327" t="s">
        <v>190</v>
      </c>
      <c r="CW327" t="s">
        <v>12</v>
      </c>
      <c r="CX327" t="s">
        <v>12</v>
      </c>
      <c r="CY327" t="s">
        <v>12</v>
      </c>
      <c r="DA327" t="s">
        <v>104</v>
      </c>
      <c r="DD327" t="s">
        <v>93</v>
      </c>
      <c r="DQ327" t="s">
        <v>94</v>
      </c>
      <c r="DR327" t="s">
        <v>94</v>
      </c>
      <c r="DS327" t="s">
        <v>94</v>
      </c>
      <c r="DT327" t="s">
        <v>94</v>
      </c>
      <c r="DU327" t="s">
        <v>94</v>
      </c>
      <c r="DV327" t="s">
        <v>94</v>
      </c>
      <c r="DW327" t="s">
        <v>94</v>
      </c>
      <c r="DX327" s="2" t="s">
        <v>94</v>
      </c>
      <c r="DY327" t="s">
        <v>94</v>
      </c>
      <c r="DZ327" t="s">
        <v>94</v>
      </c>
      <c r="EA327" t="s">
        <v>94</v>
      </c>
      <c r="EB327" t="s">
        <v>94</v>
      </c>
      <c r="EC327" t="s">
        <v>94</v>
      </c>
      <c r="ED327" t="s">
        <v>94</v>
      </c>
      <c r="EE327" t="s">
        <v>89</v>
      </c>
      <c r="EF327" t="s">
        <v>94</v>
      </c>
      <c r="EG327" t="s">
        <v>105</v>
      </c>
      <c r="EJ327" t="s">
        <v>166</v>
      </c>
      <c r="EK327" t="b">
        <v>0</v>
      </c>
      <c r="EL327" t="b">
        <v>0</v>
      </c>
      <c r="EM327" t="b">
        <v>0</v>
      </c>
    </row>
    <row r="328" spans="3:143" ht="15">
      <c r="C328" s="82">
        <v>3</v>
      </c>
      <c r="D328" s="5"/>
      <c r="E328" s="4">
        <v>1</v>
      </c>
      <c r="F328" s="5">
        <v>1.45</v>
      </c>
      <c r="G328" s="5" t="s">
        <v>4409</v>
      </c>
      <c r="H328" s="4" t="s">
        <v>3654</v>
      </c>
      <c r="I328" s="81" t="s">
        <v>164</v>
      </c>
      <c r="J328" s="21"/>
      <c r="K328" s="22" t="s">
        <v>4354</v>
      </c>
      <c r="L328" s="84" t="s">
        <v>4355</v>
      </c>
      <c r="M328" s="23" t="s">
        <v>447</v>
      </c>
      <c r="N328" s="23">
        <v>43782</v>
      </c>
      <c r="O328" s="24" t="s">
        <v>102</v>
      </c>
      <c r="P328" s="24" t="s">
        <v>179</v>
      </c>
      <c r="Q328" s="24">
        <v>1</v>
      </c>
      <c r="R328" s="24">
        <v>1.45</v>
      </c>
      <c r="S328" t="s">
        <v>319</v>
      </c>
      <c r="T328">
        <v>42</v>
      </c>
      <c r="U328" s="2" t="s">
        <v>1780</v>
      </c>
      <c r="V328">
        <v>43782.813321759262</v>
      </c>
      <c r="W328" s="2" t="s">
        <v>444</v>
      </c>
      <c r="X328">
        <v>43784.423900462964</v>
      </c>
      <c r="AB328" t="s">
        <v>9</v>
      </c>
      <c r="AC328" t="s">
        <v>481</v>
      </c>
      <c r="AD328" t="s">
        <v>1602</v>
      </c>
      <c r="AE328">
        <v>188241</v>
      </c>
      <c r="AF328">
        <v>188241</v>
      </c>
      <c r="AG328" t="s">
        <v>183</v>
      </c>
      <c r="AH328" t="s">
        <v>4356</v>
      </c>
      <c r="AI328" t="s">
        <v>4356</v>
      </c>
      <c r="AJ328" t="s">
        <v>484</v>
      </c>
      <c r="AK328" t="s">
        <v>485</v>
      </c>
      <c r="AL328" t="s">
        <v>4357</v>
      </c>
      <c r="AO328" t="s">
        <v>4358</v>
      </c>
      <c r="AP328" t="s">
        <v>488</v>
      </c>
      <c r="AQ328" t="s">
        <v>4359</v>
      </c>
      <c r="AR328" t="s">
        <v>4360</v>
      </c>
      <c r="AS328">
        <v>880023300</v>
      </c>
      <c r="AT328" t="s">
        <v>4361</v>
      </c>
      <c r="AU328" t="s">
        <v>10</v>
      </c>
      <c r="AV328" t="s">
        <v>4362</v>
      </c>
      <c r="AW328" t="s">
        <v>4362</v>
      </c>
      <c r="AX328" t="s">
        <v>4363</v>
      </c>
      <c r="AY328" s="2"/>
      <c r="BA328" t="s">
        <v>1615</v>
      </c>
      <c r="BB328" t="s">
        <v>1616</v>
      </c>
      <c r="BC328" t="s">
        <v>188</v>
      </c>
      <c r="BD328">
        <v>528400</v>
      </c>
      <c r="BE328">
        <v>-8613580773436</v>
      </c>
      <c r="BF328" t="s">
        <v>4364</v>
      </c>
      <c r="BG328" t="b">
        <v>0</v>
      </c>
      <c r="BH328" s="6" t="s">
        <v>4365</v>
      </c>
      <c r="BI328" t="s">
        <v>4366</v>
      </c>
      <c r="BJ328">
        <v>4453163191</v>
      </c>
      <c r="BK328" t="s">
        <v>162</v>
      </c>
      <c r="BL328" t="s">
        <v>161</v>
      </c>
      <c r="BM328" s="2"/>
      <c r="BO328" t="s">
        <v>89</v>
      </c>
      <c r="BP328">
        <v>85414010</v>
      </c>
      <c r="BR328" t="s">
        <v>3461</v>
      </c>
      <c r="BS328" t="s">
        <v>103</v>
      </c>
      <c r="BU328">
        <v>0</v>
      </c>
      <c r="BV328">
        <v>0</v>
      </c>
      <c r="BW328">
        <v>0</v>
      </c>
      <c r="BX328">
        <v>0</v>
      </c>
      <c r="BY328">
        <v>0</v>
      </c>
      <c r="BZ328">
        <v>0</v>
      </c>
      <c r="CA328">
        <v>0</v>
      </c>
      <c r="CF328" s="2"/>
      <c r="CH328" s="2"/>
      <c r="CJ328">
        <v>5.3142019950165197E+17</v>
      </c>
      <c r="CK328" t="s">
        <v>1509</v>
      </c>
      <c r="CL328">
        <v>43782.37572916667</v>
      </c>
      <c r="CO328" t="s">
        <v>11</v>
      </c>
      <c r="CP328" t="s">
        <v>4410</v>
      </c>
      <c r="CQ328" t="s">
        <v>11</v>
      </c>
      <c r="CR328">
        <v>297.13</v>
      </c>
      <c r="CV328" t="s">
        <v>190</v>
      </c>
      <c r="CW328" t="s">
        <v>12</v>
      </c>
      <c r="CX328" t="s">
        <v>12</v>
      </c>
      <c r="CY328" t="s">
        <v>12</v>
      </c>
      <c r="DA328" t="s">
        <v>104</v>
      </c>
      <c r="DD328" t="s">
        <v>93</v>
      </c>
      <c r="DQ328" t="s">
        <v>94</v>
      </c>
      <c r="DR328" t="s">
        <v>94</v>
      </c>
      <c r="DS328" t="s">
        <v>94</v>
      </c>
      <c r="DT328" t="s">
        <v>94</v>
      </c>
      <c r="DU328" t="s">
        <v>94</v>
      </c>
      <c r="DV328" t="s">
        <v>94</v>
      </c>
      <c r="DW328" t="s">
        <v>94</v>
      </c>
      <c r="DX328" s="2" t="s">
        <v>94</v>
      </c>
      <c r="DY328" t="s">
        <v>94</v>
      </c>
      <c r="DZ328" t="s">
        <v>94</v>
      </c>
      <c r="EA328" t="s">
        <v>94</v>
      </c>
      <c r="EB328" t="s">
        <v>94</v>
      </c>
      <c r="EC328" t="s">
        <v>94</v>
      </c>
      <c r="ED328" t="s">
        <v>94</v>
      </c>
      <c r="EE328" t="s">
        <v>89</v>
      </c>
      <c r="EF328" t="s">
        <v>94</v>
      </c>
      <c r="EG328" t="s">
        <v>105</v>
      </c>
      <c r="EJ328" t="s">
        <v>166</v>
      </c>
      <c r="EK328" t="b">
        <v>0</v>
      </c>
      <c r="EL328" t="b">
        <v>0</v>
      </c>
      <c r="EM328" t="b">
        <v>0</v>
      </c>
    </row>
    <row r="329" spans="3:143" ht="15">
      <c r="C329" s="82">
        <v>13213</v>
      </c>
      <c r="D329" s="5"/>
      <c r="E329" s="4">
        <v>1</v>
      </c>
      <c r="F329" s="5">
        <v>68.5</v>
      </c>
      <c r="G329" s="5" t="s">
        <v>4429</v>
      </c>
      <c r="H329" s="4" t="s">
        <v>4430</v>
      </c>
      <c r="I329" s="81" t="s">
        <v>466</v>
      </c>
      <c r="J329" s="21"/>
      <c r="K329" s="22" t="s">
        <v>4412</v>
      </c>
      <c r="L329" s="84" t="s">
        <v>4413</v>
      </c>
      <c r="M329" s="23" t="s">
        <v>466</v>
      </c>
      <c r="N329" s="23">
        <v>43527</v>
      </c>
      <c r="O329" s="24" t="s">
        <v>102</v>
      </c>
      <c r="P329" s="24" t="s">
        <v>480</v>
      </c>
      <c r="Q329" s="24">
        <v>1</v>
      </c>
      <c r="R329" s="24">
        <v>68.5</v>
      </c>
      <c r="S329" t="s">
        <v>528</v>
      </c>
      <c r="T329">
        <v>892</v>
      </c>
      <c r="U329" s="2"/>
      <c r="W329" s="2"/>
      <c r="AB329" t="s">
        <v>9</v>
      </c>
      <c r="AC329" t="s">
        <v>4414</v>
      </c>
      <c r="AD329" t="s">
        <v>209</v>
      </c>
      <c r="AE329">
        <v>70140400</v>
      </c>
      <c r="AF329">
        <v>70140400</v>
      </c>
      <c r="AG329" t="s">
        <v>183</v>
      </c>
      <c r="AH329" t="s">
        <v>4415</v>
      </c>
      <c r="AI329" t="s">
        <v>4415</v>
      </c>
      <c r="AJ329" t="s">
        <v>776</v>
      </c>
      <c r="AK329" t="s">
        <v>777</v>
      </c>
      <c r="AL329" t="s">
        <v>4416</v>
      </c>
      <c r="AO329" t="s">
        <v>4417</v>
      </c>
      <c r="AP329" t="s">
        <v>4418</v>
      </c>
      <c r="AQ329" t="s">
        <v>4419</v>
      </c>
      <c r="AR329">
        <v>23617</v>
      </c>
      <c r="AS329">
        <v>4512902860</v>
      </c>
      <c r="AT329" t="s">
        <v>4420</v>
      </c>
      <c r="AU329" t="s">
        <v>10</v>
      </c>
      <c r="AV329" t="s">
        <v>4421</v>
      </c>
      <c r="AW329" t="s">
        <v>4421</v>
      </c>
      <c r="AX329" t="s">
        <v>4422</v>
      </c>
      <c r="AY329" s="2" t="s">
        <v>4423</v>
      </c>
      <c r="AZ329" t="s">
        <v>4424</v>
      </c>
      <c r="BA329" t="s">
        <v>520</v>
      </c>
      <c r="BB329" t="s">
        <v>223</v>
      </c>
      <c r="BC329" t="s">
        <v>188</v>
      </c>
      <c r="BD329">
        <v>510001</v>
      </c>
      <c r="BE329" t="s">
        <v>4425</v>
      </c>
      <c r="BF329" t="s">
        <v>4426</v>
      </c>
      <c r="BG329" t="b">
        <v>0</v>
      </c>
      <c r="BH329" s="6" t="s">
        <v>4427</v>
      </c>
      <c r="BI329" t="s">
        <v>4428</v>
      </c>
      <c r="BJ329">
        <v>4453163191</v>
      </c>
      <c r="BK329" t="s">
        <v>162</v>
      </c>
      <c r="BL329" t="s">
        <v>161</v>
      </c>
      <c r="BM329" s="2"/>
      <c r="BR329" t="s">
        <v>189</v>
      </c>
      <c r="BS329" t="s">
        <v>103</v>
      </c>
      <c r="BU329">
        <v>0</v>
      </c>
      <c r="BV329">
        <v>0</v>
      </c>
      <c r="BW329">
        <v>0</v>
      </c>
      <c r="BX329">
        <v>0</v>
      </c>
      <c r="BY329">
        <v>0</v>
      </c>
      <c r="BZ329">
        <v>0</v>
      </c>
      <c r="CA329">
        <v>0</v>
      </c>
      <c r="CF329" s="2"/>
      <c r="CH329" s="2"/>
      <c r="CK329" t="s">
        <v>1509</v>
      </c>
      <c r="CL329">
        <v>43527.388657407406</v>
      </c>
      <c r="CO329" t="s">
        <v>11</v>
      </c>
      <c r="CP329">
        <v>6962.24</v>
      </c>
      <c r="CQ329" t="s">
        <v>11</v>
      </c>
      <c r="CR329">
        <v>6962.24</v>
      </c>
      <c r="CV329" t="s">
        <v>190</v>
      </c>
      <c r="CW329" t="s">
        <v>12</v>
      </c>
      <c r="CX329" t="s">
        <v>12</v>
      </c>
      <c r="CY329" t="s">
        <v>12</v>
      </c>
      <c r="DA329" t="s">
        <v>104</v>
      </c>
      <c r="DD329" t="s">
        <v>93</v>
      </c>
      <c r="DQ329" t="s">
        <v>94</v>
      </c>
      <c r="DR329" t="s">
        <v>94</v>
      </c>
      <c r="DS329" t="s">
        <v>94</v>
      </c>
      <c r="DT329" t="s">
        <v>94</v>
      </c>
      <c r="DU329" t="s">
        <v>94</v>
      </c>
      <c r="DV329" t="s">
        <v>94</v>
      </c>
      <c r="DW329" t="s">
        <v>94</v>
      </c>
      <c r="DX329" s="2" t="s">
        <v>94</v>
      </c>
      <c r="DY329" t="s">
        <v>94</v>
      </c>
      <c r="DZ329" t="s">
        <v>94</v>
      </c>
      <c r="EA329" t="s">
        <v>94</v>
      </c>
      <c r="EB329" t="s">
        <v>94</v>
      </c>
      <c r="EC329" t="s">
        <v>94</v>
      </c>
      <c r="ED329" t="s">
        <v>94</v>
      </c>
      <c r="EE329" t="s">
        <v>89</v>
      </c>
      <c r="EF329" t="s">
        <v>94</v>
      </c>
      <c r="EG329" t="s">
        <v>543</v>
      </c>
      <c r="EJ329" t="s">
        <v>166</v>
      </c>
      <c r="EK329" t="b">
        <v>0</v>
      </c>
      <c r="EL329" t="b">
        <v>0</v>
      </c>
      <c r="EM329" t="b">
        <v>0</v>
      </c>
    </row>
    <row r="330" spans="3:143" ht="15">
      <c r="C330" s="82">
        <v>13213</v>
      </c>
      <c r="D330" s="5"/>
      <c r="E330" s="4">
        <v>1</v>
      </c>
      <c r="F330" s="5">
        <v>68.5</v>
      </c>
      <c r="G330" s="5" t="s">
        <v>4431</v>
      </c>
      <c r="H330" s="4" t="s">
        <v>4430</v>
      </c>
      <c r="I330" s="81" t="s">
        <v>466</v>
      </c>
      <c r="J330" s="21"/>
      <c r="K330" s="22" t="s">
        <v>4412</v>
      </c>
      <c r="L330" s="84" t="s">
        <v>4413</v>
      </c>
      <c r="M330" s="23" t="s">
        <v>466</v>
      </c>
      <c r="N330" s="23">
        <v>43527</v>
      </c>
      <c r="O330" s="24" t="s">
        <v>102</v>
      </c>
      <c r="P330" s="24" t="s">
        <v>480</v>
      </c>
      <c r="Q330" s="24">
        <v>1</v>
      </c>
      <c r="R330" s="24">
        <v>68.5</v>
      </c>
      <c r="S330" t="s">
        <v>528</v>
      </c>
      <c r="T330">
        <v>892</v>
      </c>
      <c r="U330" s="2"/>
      <c r="W330" s="2"/>
      <c r="AB330" t="s">
        <v>9</v>
      </c>
      <c r="AC330" t="s">
        <v>4414</v>
      </c>
      <c r="AD330" t="s">
        <v>209</v>
      </c>
      <c r="AE330">
        <v>70140400</v>
      </c>
      <c r="AF330">
        <v>70140400</v>
      </c>
      <c r="AG330" t="s">
        <v>183</v>
      </c>
      <c r="AH330" t="s">
        <v>4415</v>
      </c>
      <c r="AI330" t="s">
        <v>4415</v>
      </c>
      <c r="AJ330" t="s">
        <v>776</v>
      </c>
      <c r="AK330" t="s">
        <v>777</v>
      </c>
      <c r="AL330" t="s">
        <v>4416</v>
      </c>
      <c r="AO330" t="s">
        <v>4417</v>
      </c>
      <c r="AP330" t="s">
        <v>4418</v>
      </c>
      <c r="AQ330" t="s">
        <v>4419</v>
      </c>
      <c r="AR330">
        <v>23617</v>
      </c>
      <c r="AS330">
        <v>4512902860</v>
      </c>
      <c r="AT330" t="s">
        <v>4420</v>
      </c>
      <c r="AU330" t="s">
        <v>10</v>
      </c>
      <c r="AV330" t="s">
        <v>4421</v>
      </c>
      <c r="AW330" t="s">
        <v>4421</v>
      </c>
      <c r="AX330" t="s">
        <v>4422</v>
      </c>
      <c r="AY330" s="2" t="s">
        <v>4423</v>
      </c>
      <c r="AZ330" t="s">
        <v>4424</v>
      </c>
      <c r="BA330" t="s">
        <v>520</v>
      </c>
      <c r="BB330" t="s">
        <v>223</v>
      </c>
      <c r="BC330" t="s">
        <v>188</v>
      </c>
      <c r="BD330">
        <v>510001</v>
      </c>
      <c r="BE330" t="s">
        <v>4425</v>
      </c>
      <c r="BF330" t="s">
        <v>4426</v>
      </c>
      <c r="BG330" t="b">
        <v>0</v>
      </c>
      <c r="BH330" s="6" t="s">
        <v>4427</v>
      </c>
      <c r="BI330" t="s">
        <v>4428</v>
      </c>
      <c r="BJ330">
        <v>4453163191</v>
      </c>
      <c r="BK330" t="s">
        <v>162</v>
      </c>
      <c r="BL330" t="s">
        <v>161</v>
      </c>
      <c r="BM330" s="2"/>
      <c r="BR330" t="s">
        <v>189</v>
      </c>
      <c r="BS330" t="s">
        <v>103</v>
      </c>
      <c r="BU330">
        <v>0</v>
      </c>
      <c r="BV330">
        <v>0</v>
      </c>
      <c r="BW330">
        <v>0</v>
      </c>
      <c r="BX330">
        <v>0</v>
      </c>
      <c r="BY330">
        <v>0</v>
      </c>
      <c r="BZ330">
        <v>0</v>
      </c>
      <c r="CA330">
        <v>0</v>
      </c>
      <c r="CF330" s="2"/>
      <c r="CH330" s="2"/>
      <c r="CK330" t="s">
        <v>1509</v>
      </c>
      <c r="CL330">
        <v>43527.388657407406</v>
      </c>
      <c r="CO330" t="s">
        <v>11</v>
      </c>
      <c r="CP330">
        <v>6962.24</v>
      </c>
      <c r="CQ330" t="s">
        <v>11</v>
      </c>
      <c r="CR330">
        <v>6962.24</v>
      </c>
      <c r="CV330" t="s">
        <v>190</v>
      </c>
      <c r="CW330" t="s">
        <v>12</v>
      </c>
      <c r="CX330" t="s">
        <v>12</v>
      </c>
      <c r="CY330" t="s">
        <v>12</v>
      </c>
      <c r="DA330" t="s">
        <v>104</v>
      </c>
      <c r="DD330" t="s">
        <v>93</v>
      </c>
      <c r="DQ330" t="s">
        <v>94</v>
      </c>
      <c r="DR330" t="s">
        <v>94</v>
      </c>
      <c r="DS330" t="s">
        <v>94</v>
      </c>
      <c r="DT330" t="s">
        <v>94</v>
      </c>
      <c r="DU330" t="s">
        <v>94</v>
      </c>
      <c r="DV330" t="s">
        <v>94</v>
      </c>
      <c r="DW330" t="s">
        <v>94</v>
      </c>
      <c r="DX330" s="2" t="s">
        <v>94</v>
      </c>
      <c r="DY330" t="s">
        <v>94</v>
      </c>
      <c r="DZ330" t="s">
        <v>94</v>
      </c>
      <c r="EA330" t="s">
        <v>94</v>
      </c>
      <c r="EB330" t="s">
        <v>94</v>
      </c>
      <c r="EC330" t="s">
        <v>94</v>
      </c>
      <c r="ED330" t="s">
        <v>94</v>
      </c>
      <c r="EE330" t="s">
        <v>89</v>
      </c>
      <c r="EF330" t="s">
        <v>94</v>
      </c>
      <c r="EG330" t="s">
        <v>543</v>
      </c>
      <c r="EJ330" t="s">
        <v>166</v>
      </c>
      <c r="EK330" t="b">
        <v>0</v>
      </c>
      <c r="EL330" t="b">
        <v>0</v>
      </c>
      <c r="EM330" t="b">
        <v>0</v>
      </c>
    </row>
    <row r="331" spans="3:143" ht="15">
      <c r="C331" s="82">
        <v>13213</v>
      </c>
      <c r="D331" s="5"/>
      <c r="E331" s="4">
        <v>1</v>
      </c>
      <c r="F331" s="5">
        <v>1.45</v>
      </c>
      <c r="G331" s="5" t="s">
        <v>4432</v>
      </c>
      <c r="H331" s="4" t="s">
        <v>3654</v>
      </c>
      <c r="I331" s="81" t="s">
        <v>164</v>
      </c>
      <c r="J331" s="21"/>
      <c r="K331" s="22" t="s">
        <v>4354</v>
      </c>
      <c r="L331" s="84" t="s">
        <v>4355</v>
      </c>
      <c r="M331" s="23" t="s">
        <v>447</v>
      </c>
      <c r="N331" s="23">
        <v>43782</v>
      </c>
      <c r="O331" s="24" t="s">
        <v>102</v>
      </c>
      <c r="P331" s="24" t="s">
        <v>179</v>
      </c>
      <c r="Q331" s="24">
        <v>1</v>
      </c>
      <c r="R331" s="24">
        <v>1.45</v>
      </c>
      <c r="S331" t="s">
        <v>319</v>
      </c>
      <c r="T331">
        <v>42</v>
      </c>
      <c r="U331" s="2" t="s">
        <v>1780</v>
      </c>
      <c r="V331">
        <v>43782.813321759262</v>
      </c>
      <c r="W331" s="2" t="s">
        <v>444</v>
      </c>
      <c r="X331">
        <v>43784.423900462964</v>
      </c>
      <c r="AB331" t="s">
        <v>9</v>
      </c>
      <c r="AC331" t="s">
        <v>481</v>
      </c>
      <c r="AD331" t="s">
        <v>1602</v>
      </c>
      <c r="AE331">
        <v>188241</v>
      </c>
      <c r="AF331">
        <v>188241</v>
      </c>
      <c r="AG331" t="s">
        <v>183</v>
      </c>
      <c r="AH331" t="s">
        <v>4356</v>
      </c>
      <c r="AI331" t="s">
        <v>4356</v>
      </c>
      <c r="AJ331" t="s">
        <v>484</v>
      </c>
      <c r="AK331" t="s">
        <v>485</v>
      </c>
      <c r="AL331" t="s">
        <v>4357</v>
      </c>
      <c r="AO331" t="s">
        <v>4358</v>
      </c>
      <c r="AP331" t="s">
        <v>488</v>
      </c>
      <c r="AQ331" t="s">
        <v>4359</v>
      </c>
      <c r="AR331" t="s">
        <v>4360</v>
      </c>
      <c r="AS331">
        <v>880023300</v>
      </c>
      <c r="AT331" t="s">
        <v>4361</v>
      </c>
      <c r="AU331" t="s">
        <v>10</v>
      </c>
      <c r="AV331" t="s">
        <v>4362</v>
      </c>
      <c r="AW331" t="s">
        <v>4362</v>
      </c>
      <c r="AX331" t="s">
        <v>4363</v>
      </c>
      <c r="AY331" s="2"/>
      <c r="BA331" t="s">
        <v>1615</v>
      </c>
      <c r="BB331" t="s">
        <v>1616</v>
      </c>
      <c r="BC331" t="s">
        <v>188</v>
      </c>
      <c r="BD331">
        <v>528400</v>
      </c>
      <c r="BE331">
        <v>-8613580773436</v>
      </c>
      <c r="BF331" t="s">
        <v>4364</v>
      </c>
      <c r="BG331" t="b">
        <v>0</v>
      </c>
      <c r="BH331" s="6" t="s">
        <v>4365</v>
      </c>
      <c r="BI331" t="s">
        <v>4366</v>
      </c>
      <c r="BJ331">
        <v>4453163191</v>
      </c>
      <c r="BK331" t="s">
        <v>162</v>
      </c>
      <c r="BL331" t="s">
        <v>161</v>
      </c>
      <c r="BM331" s="2"/>
      <c r="BO331" t="s">
        <v>89</v>
      </c>
      <c r="BP331">
        <v>85414010</v>
      </c>
      <c r="BR331" t="s">
        <v>3461</v>
      </c>
      <c r="BS331" t="s">
        <v>103</v>
      </c>
      <c r="BU331">
        <v>0</v>
      </c>
      <c r="BV331">
        <v>0</v>
      </c>
      <c r="BW331">
        <v>0</v>
      </c>
      <c r="BX331">
        <v>0</v>
      </c>
      <c r="BY331">
        <v>0</v>
      </c>
      <c r="BZ331">
        <v>0</v>
      </c>
      <c r="CA331">
        <v>0</v>
      </c>
      <c r="CF331" s="2"/>
      <c r="CH331" s="2"/>
      <c r="CJ331">
        <v>5.3142019950165197E+17</v>
      </c>
      <c r="CK331" t="s">
        <v>1509</v>
      </c>
      <c r="CL331">
        <v>43782.37572916667</v>
      </c>
      <c r="CO331" t="s">
        <v>11</v>
      </c>
      <c r="CP331">
        <v>297.13</v>
      </c>
      <c r="CQ331" t="s">
        <v>11</v>
      </c>
      <c r="CR331">
        <v>297.13</v>
      </c>
      <c r="CV331" t="s">
        <v>190</v>
      </c>
      <c r="CW331" t="s">
        <v>12</v>
      </c>
      <c r="CX331" t="s">
        <v>12</v>
      </c>
      <c r="CY331" t="s">
        <v>12</v>
      </c>
      <c r="DA331" t="s">
        <v>104</v>
      </c>
      <c r="DD331" t="s">
        <v>93</v>
      </c>
      <c r="DQ331" t="s">
        <v>94</v>
      </c>
      <c r="DR331" t="s">
        <v>94</v>
      </c>
      <c r="DS331" t="s">
        <v>94</v>
      </c>
      <c r="DT331" t="s">
        <v>94</v>
      </c>
      <c r="DU331" t="s">
        <v>94</v>
      </c>
      <c r="DV331" t="s">
        <v>94</v>
      </c>
      <c r="DW331" t="s">
        <v>94</v>
      </c>
      <c r="DX331" s="2" t="s">
        <v>94</v>
      </c>
      <c r="DY331" t="s">
        <v>94</v>
      </c>
      <c r="DZ331" t="s">
        <v>94</v>
      </c>
      <c r="EA331" t="s">
        <v>94</v>
      </c>
      <c r="EB331" t="s">
        <v>94</v>
      </c>
      <c r="EC331" t="s">
        <v>94</v>
      </c>
      <c r="ED331" t="s">
        <v>94</v>
      </c>
      <c r="EE331" t="s">
        <v>89</v>
      </c>
      <c r="EF331" t="s">
        <v>94</v>
      </c>
      <c r="EG331" t="s">
        <v>105</v>
      </c>
      <c r="EJ331" t="s">
        <v>166</v>
      </c>
      <c r="EK331" t="b">
        <v>0</v>
      </c>
      <c r="EL331" t="b">
        <v>0</v>
      </c>
      <c r="EM331" t="b">
        <v>0</v>
      </c>
    </row>
    <row r="332" spans="3:143" ht="15">
      <c r="C332" s="82">
        <v>13213</v>
      </c>
      <c r="D332" s="5"/>
      <c r="E332" s="4">
        <v>1</v>
      </c>
      <c r="F332" s="5">
        <v>0.3</v>
      </c>
      <c r="G332" s="5" t="s">
        <v>4464</v>
      </c>
      <c r="H332" s="4" t="s">
        <v>4465</v>
      </c>
      <c r="I332" s="81" t="s">
        <v>817</v>
      </c>
      <c r="J332" s="21"/>
      <c r="K332" s="22" t="s">
        <v>4433</v>
      </c>
      <c r="L332" s="84" t="s">
        <v>4434</v>
      </c>
      <c r="M332" s="23" t="s">
        <v>817</v>
      </c>
      <c r="N332" s="23">
        <v>43793</v>
      </c>
      <c r="O332" s="24" t="s">
        <v>102</v>
      </c>
      <c r="P332" s="24" t="s">
        <v>179</v>
      </c>
      <c r="Q332" s="24">
        <v>1</v>
      </c>
      <c r="R332" s="24">
        <v>0.3</v>
      </c>
      <c r="S332" t="s">
        <v>319</v>
      </c>
      <c r="T332">
        <v>35</v>
      </c>
      <c r="U332" s="2" t="s">
        <v>163</v>
      </c>
      <c r="V332">
        <v>43793.792986111112</v>
      </c>
      <c r="W332" s="2" t="s">
        <v>444</v>
      </c>
      <c r="X332">
        <v>43793.808425925927</v>
      </c>
      <c r="AB332" t="s">
        <v>9</v>
      </c>
      <c r="AC332" t="s">
        <v>1101</v>
      </c>
      <c r="AD332" t="s">
        <v>249</v>
      </c>
      <c r="AE332">
        <v>85057208</v>
      </c>
      <c r="AF332">
        <v>85057208</v>
      </c>
      <c r="AG332" t="s">
        <v>183</v>
      </c>
      <c r="AH332" t="s">
        <v>4435</v>
      </c>
      <c r="AI332" t="s">
        <v>4435</v>
      </c>
      <c r="AJ332" t="s">
        <v>484</v>
      </c>
      <c r="AK332" t="s">
        <v>485</v>
      </c>
      <c r="AL332" t="s">
        <v>4436</v>
      </c>
      <c r="AO332" t="s">
        <v>4437</v>
      </c>
      <c r="AP332" t="s">
        <v>1105</v>
      </c>
      <c r="AQ332" t="s">
        <v>1106</v>
      </c>
      <c r="AR332" t="s">
        <v>4438</v>
      </c>
      <c r="AS332" t="s">
        <v>4439</v>
      </c>
      <c r="AT332" t="s">
        <v>4440</v>
      </c>
      <c r="AU332" t="s">
        <v>10</v>
      </c>
      <c r="AV332" t="s">
        <v>4441</v>
      </c>
      <c r="AW332" t="s">
        <v>4441</v>
      </c>
      <c r="AX332" t="s">
        <v>4442</v>
      </c>
      <c r="AY332" s="2" t="s">
        <v>4443</v>
      </c>
      <c r="AZ332" t="s">
        <v>4444</v>
      </c>
      <c r="BA332" t="s">
        <v>4445</v>
      </c>
      <c r="BB332" t="s">
        <v>4446</v>
      </c>
      <c r="BC332" t="s">
        <v>253</v>
      </c>
      <c r="BD332">
        <v>530400</v>
      </c>
      <c r="BE332" t="s">
        <v>4447</v>
      </c>
      <c r="BF332" t="s">
        <v>4448</v>
      </c>
      <c r="BG332" t="b">
        <v>0</v>
      </c>
      <c r="BH332" s="6" t="s">
        <v>4449</v>
      </c>
      <c r="BI332" t="s">
        <v>4450</v>
      </c>
      <c r="BJ332">
        <v>4453163191</v>
      </c>
      <c r="BK332" t="s">
        <v>162</v>
      </c>
      <c r="BL332" t="s">
        <v>161</v>
      </c>
      <c r="BM332" s="2"/>
      <c r="BO332" t="s">
        <v>89</v>
      </c>
      <c r="BP332">
        <v>73239300</v>
      </c>
      <c r="BR332" t="s">
        <v>189</v>
      </c>
      <c r="BS332" t="s">
        <v>103</v>
      </c>
      <c r="BU332">
        <v>0</v>
      </c>
      <c r="BV332">
        <v>0</v>
      </c>
      <c r="BW332">
        <v>0</v>
      </c>
      <c r="BX332">
        <v>0</v>
      </c>
      <c r="BY332">
        <v>0</v>
      </c>
      <c r="BZ332">
        <v>0</v>
      </c>
      <c r="CA332">
        <v>0</v>
      </c>
      <c r="CF332" s="2"/>
      <c r="CH332" s="2"/>
      <c r="CJ332">
        <v>5.3142019950173402E+17</v>
      </c>
      <c r="CK332" t="s">
        <v>4402</v>
      </c>
      <c r="CL332">
        <v>43793.580208333333</v>
      </c>
      <c r="CO332" t="s">
        <v>11</v>
      </c>
      <c r="CP332">
        <v>247.61</v>
      </c>
      <c r="CQ332" t="s">
        <v>11</v>
      </c>
      <c r="CR332">
        <v>247.61</v>
      </c>
      <c r="CV332" t="s">
        <v>190</v>
      </c>
      <c r="CW332" t="s">
        <v>12</v>
      </c>
      <c r="CX332" t="s">
        <v>12</v>
      </c>
      <c r="CY332" t="s">
        <v>12</v>
      </c>
      <c r="DA332" t="s">
        <v>104</v>
      </c>
      <c r="DD332" t="s">
        <v>93</v>
      </c>
      <c r="DQ332" t="s">
        <v>94</v>
      </c>
      <c r="DR332" t="s">
        <v>94</v>
      </c>
      <c r="DS332" t="s">
        <v>94</v>
      </c>
      <c r="DT332" t="s">
        <v>94</v>
      </c>
      <c r="DU332" t="s">
        <v>94</v>
      </c>
      <c r="DV332" t="s">
        <v>94</v>
      </c>
      <c r="DW332" t="s">
        <v>94</v>
      </c>
      <c r="DX332" s="2" t="s">
        <v>94</v>
      </c>
      <c r="DY332" t="s">
        <v>94</v>
      </c>
      <c r="DZ332" t="s">
        <v>94</v>
      </c>
      <c r="EA332" t="s">
        <v>94</v>
      </c>
      <c r="EB332" t="s">
        <v>94</v>
      </c>
      <c r="EC332" t="s">
        <v>94</v>
      </c>
      <c r="ED332" t="s">
        <v>94</v>
      </c>
      <c r="EE332" t="s">
        <v>89</v>
      </c>
      <c r="EF332" t="s">
        <v>425</v>
      </c>
      <c r="EG332" t="s">
        <v>105</v>
      </c>
      <c r="EJ332" t="s">
        <v>166</v>
      </c>
      <c r="EK332" t="b">
        <v>0</v>
      </c>
      <c r="EL332" t="b">
        <v>0</v>
      </c>
      <c r="EM332" t="b">
        <v>0</v>
      </c>
    </row>
    <row r="333" spans="3:143" ht="15">
      <c r="C333" s="82">
        <v>13</v>
      </c>
      <c r="D333" s="5">
        <v>35</v>
      </c>
      <c r="E333" s="4">
        <v>1</v>
      </c>
      <c r="F333" s="5">
        <v>35</v>
      </c>
      <c r="G333" s="5" t="s">
        <v>4466</v>
      </c>
      <c r="H333" s="4" t="s">
        <v>3100</v>
      </c>
      <c r="I333" s="81" t="s">
        <v>920</v>
      </c>
      <c r="J333" s="21"/>
      <c r="K333" s="22" t="s">
        <v>4451</v>
      </c>
      <c r="L333" s="84" t="s">
        <v>4452</v>
      </c>
      <c r="M333" s="23" t="s">
        <v>905</v>
      </c>
      <c r="N333" s="23">
        <v>43791</v>
      </c>
      <c r="O333" s="24" t="s">
        <v>102</v>
      </c>
      <c r="P333" s="24" t="s">
        <v>480</v>
      </c>
      <c r="Q333" s="24">
        <v>1</v>
      </c>
      <c r="R333" s="24">
        <v>88</v>
      </c>
      <c r="S333" t="s">
        <v>528</v>
      </c>
      <c r="T333">
        <v>10023.99</v>
      </c>
      <c r="U333" s="2"/>
      <c r="W333" s="2"/>
      <c r="AB333" t="s">
        <v>9</v>
      </c>
      <c r="AC333" t="s">
        <v>1482</v>
      </c>
      <c r="AD333" t="s">
        <v>1602</v>
      </c>
      <c r="AE333">
        <v>70303641</v>
      </c>
      <c r="AF333">
        <v>70303641</v>
      </c>
      <c r="AG333" t="s">
        <v>4467</v>
      </c>
      <c r="AH333" t="s">
        <v>4453</v>
      </c>
      <c r="AI333" t="s">
        <v>4453</v>
      </c>
      <c r="AJ333" t="s">
        <v>776</v>
      </c>
      <c r="AK333" t="s">
        <v>777</v>
      </c>
      <c r="AL333" t="s">
        <v>4454</v>
      </c>
      <c r="AO333" t="s">
        <v>4455</v>
      </c>
      <c r="AP333" t="s">
        <v>1486</v>
      </c>
      <c r="AQ333" t="s">
        <v>1012</v>
      </c>
      <c r="AR333" t="s">
        <v>4468</v>
      </c>
      <c r="AS333" t="s">
        <v>4469</v>
      </c>
      <c r="AT333" t="s">
        <v>4456</v>
      </c>
      <c r="AU333" t="s">
        <v>10</v>
      </c>
      <c r="AV333" t="s">
        <v>4457</v>
      </c>
      <c r="AW333" t="s">
        <v>4457</v>
      </c>
      <c r="AX333" t="s">
        <v>4458</v>
      </c>
      <c r="AY333" s="2"/>
      <c r="BA333" t="s">
        <v>1615</v>
      </c>
      <c r="BB333" t="s">
        <v>1616</v>
      </c>
      <c r="BC333" t="s">
        <v>188</v>
      </c>
      <c r="BD333">
        <v>528437</v>
      </c>
      <c r="BE333" t="s">
        <v>4459</v>
      </c>
      <c r="BF333" t="s">
        <v>4460</v>
      </c>
      <c r="BG333" t="b">
        <v>0</v>
      </c>
      <c r="BH333" s="6" t="s">
        <v>4461</v>
      </c>
      <c r="BI333" t="s">
        <v>4462</v>
      </c>
      <c r="BJ333">
        <v>4453163191</v>
      </c>
      <c r="BK333" t="s">
        <v>162</v>
      </c>
      <c r="BL333" t="s">
        <v>161</v>
      </c>
      <c r="BM333" s="2"/>
      <c r="BN333" t="s">
        <v>4463</v>
      </c>
      <c r="BR333" t="s">
        <v>189</v>
      </c>
      <c r="BS333" t="s">
        <v>103</v>
      </c>
      <c r="BU333">
        <v>0</v>
      </c>
      <c r="BV333">
        <v>0</v>
      </c>
      <c r="BW333">
        <v>0</v>
      </c>
      <c r="BX333">
        <v>0</v>
      </c>
      <c r="BY333">
        <v>0</v>
      </c>
      <c r="BZ333">
        <v>0</v>
      </c>
      <c r="CA333">
        <v>0</v>
      </c>
      <c r="CF333" s="2"/>
      <c r="CH333" s="2"/>
      <c r="CK333" t="s">
        <v>4402</v>
      </c>
      <c r="CL333">
        <v>43791.565370370372</v>
      </c>
      <c r="CO333" t="s">
        <v>11</v>
      </c>
      <c r="CP333">
        <v>78239.25</v>
      </c>
      <c r="CQ333" t="s">
        <v>11</v>
      </c>
      <c r="CR333">
        <v>78239.25</v>
      </c>
      <c r="CV333" t="s">
        <v>525</v>
      </c>
      <c r="CW333" t="s">
        <v>12</v>
      </c>
      <c r="CX333" t="s">
        <v>12</v>
      </c>
      <c r="CY333" t="s">
        <v>12</v>
      </c>
      <c r="DA333" t="s">
        <v>104</v>
      </c>
      <c r="DD333" t="s">
        <v>93</v>
      </c>
      <c r="DQ333" t="s">
        <v>94</v>
      </c>
      <c r="DR333" t="s">
        <v>94</v>
      </c>
      <c r="DS333" t="s">
        <v>94</v>
      </c>
      <c r="DT333" t="s">
        <v>94</v>
      </c>
      <c r="DU333" t="s">
        <v>94</v>
      </c>
      <c r="DV333" t="s">
        <v>94</v>
      </c>
      <c r="DW333" t="s">
        <v>94</v>
      </c>
      <c r="DX333" s="2" t="s">
        <v>94</v>
      </c>
      <c r="DY333" t="s">
        <v>94</v>
      </c>
      <c r="DZ333" t="s">
        <v>94</v>
      </c>
      <c r="EA333" t="s">
        <v>94</v>
      </c>
      <c r="EB333" t="s">
        <v>94</v>
      </c>
      <c r="EC333" t="s">
        <v>94</v>
      </c>
      <c r="ED333" t="s">
        <v>94</v>
      </c>
      <c r="EE333" t="s">
        <v>89</v>
      </c>
      <c r="EF333" t="s">
        <v>94</v>
      </c>
      <c r="EG333" t="s">
        <v>105</v>
      </c>
      <c r="EJ333" t="s">
        <v>166</v>
      </c>
      <c r="EK333" t="b">
        <v>0</v>
      </c>
      <c r="EL333" t="b">
        <v>0</v>
      </c>
      <c r="EM333" t="b">
        <v>0</v>
      </c>
    </row>
    <row r="334" spans="3:143" ht="15">
      <c r="C334" s="82">
        <v>333</v>
      </c>
      <c r="D334" s="5"/>
      <c r="E334" s="4">
        <v>1</v>
      </c>
      <c r="F334" s="5">
        <v>0.3</v>
      </c>
      <c r="G334" s="5" t="s">
        <v>4471</v>
      </c>
      <c r="H334" s="4" t="s">
        <v>4465</v>
      </c>
      <c r="I334" s="81" t="s">
        <v>817</v>
      </c>
      <c r="J334" s="21"/>
      <c r="K334" s="22" t="s">
        <v>4433</v>
      </c>
      <c r="L334" s="84" t="s">
        <v>4434</v>
      </c>
      <c r="M334" s="23" t="s">
        <v>817</v>
      </c>
      <c r="N334" s="23">
        <v>43793</v>
      </c>
      <c r="O334" s="24" t="s">
        <v>102</v>
      </c>
      <c r="P334" s="24" t="s">
        <v>179</v>
      </c>
      <c r="Q334" s="24">
        <v>1</v>
      </c>
      <c r="R334" s="24">
        <v>0.3</v>
      </c>
      <c r="S334" t="s">
        <v>319</v>
      </c>
      <c r="T334">
        <v>35</v>
      </c>
      <c r="U334" s="2" t="s">
        <v>163</v>
      </c>
      <c r="V334">
        <v>43793.792986111112</v>
      </c>
      <c r="W334" s="2" t="s">
        <v>444</v>
      </c>
      <c r="X334">
        <v>43793.808425925927</v>
      </c>
      <c r="AB334" t="s">
        <v>9</v>
      </c>
      <c r="AC334" t="s">
        <v>1101</v>
      </c>
      <c r="AD334" t="s">
        <v>249</v>
      </c>
      <c r="AE334">
        <v>85057208</v>
      </c>
      <c r="AF334">
        <v>85057208</v>
      </c>
      <c r="AG334" t="s">
        <v>183</v>
      </c>
      <c r="AH334" t="s">
        <v>4435</v>
      </c>
      <c r="AI334" t="s">
        <v>4435</v>
      </c>
      <c r="AJ334" t="s">
        <v>484</v>
      </c>
      <c r="AK334" t="s">
        <v>485</v>
      </c>
      <c r="AL334" t="s">
        <v>4436</v>
      </c>
      <c r="AO334" t="s">
        <v>4437</v>
      </c>
      <c r="AP334" t="s">
        <v>1105</v>
      </c>
      <c r="AQ334" t="s">
        <v>1106</v>
      </c>
      <c r="AR334" t="s">
        <v>4438</v>
      </c>
      <c r="AS334" t="s">
        <v>4439</v>
      </c>
      <c r="AT334" t="s">
        <v>4440</v>
      </c>
      <c r="AU334" t="s">
        <v>10</v>
      </c>
      <c r="AV334" t="s">
        <v>4441</v>
      </c>
      <c r="AW334" t="s">
        <v>4441</v>
      </c>
      <c r="AX334" t="s">
        <v>4442</v>
      </c>
      <c r="AY334" s="2" t="s">
        <v>4443</v>
      </c>
      <c r="AZ334" t="s">
        <v>4444</v>
      </c>
      <c r="BA334" t="s">
        <v>4445</v>
      </c>
      <c r="BB334" t="s">
        <v>4446</v>
      </c>
      <c r="BC334" t="s">
        <v>253</v>
      </c>
      <c r="BD334">
        <v>530400</v>
      </c>
      <c r="BE334" t="s">
        <v>4447</v>
      </c>
      <c r="BF334" t="s">
        <v>4448</v>
      </c>
      <c r="BG334" t="b">
        <v>0</v>
      </c>
      <c r="BH334" s="6" t="s">
        <v>4449</v>
      </c>
      <c r="BI334" t="s">
        <v>4450</v>
      </c>
      <c r="BJ334">
        <v>4453163191</v>
      </c>
      <c r="BK334" t="s">
        <v>162</v>
      </c>
      <c r="BL334" t="s">
        <v>161</v>
      </c>
      <c r="BM334" s="2"/>
      <c r="BO334" t="s">
        <v>89</v>
      </c>
      <c r="BP334">
        <v>73239300</v>
      </c>
      <c r="BR334" t="s">
        <v>189</v>
      </c>
      <c r="BS334" t="s">
        <v>103</v>
      </c>
      <c r="BU334">
        <v>0</v>
      </c>
      <c r="BV334">
        <v>0</v>
      </c>
      <c r="BW334">
        <v>0</v>
      </c>
      <c r="BX334">
        <v>0</v>
      </c>
      <c r="BY334">
        <v>0</v>
      </c>
      <c r="BZ334">
        <v>0</v>
      </c>
      <c r="CA334">
        <v>0</v>
      </c>
      <c r="CF334" s="2"/>
      <c r="CH334" s="2"/>
      <c r="CJ334">
        <v>5.3142019950173402E+17</v>
      </c>
      <c r="CK334" t="s">
        <v>4402</v>
      </c>
      <c r="CL334">
        <v>43793.580208333333</v>
      </c>
      <c r="CO334" t="s">
        <v>11</v>
      </c>
      <c r="CP334">
        <v>247.61</v>
      </c>
      <c r="CQ334" t="s">
        <v>11</v>
      </c>
      <c r="CR334">
        <v>247.61</v>
      </c>
      <c r="CV334" t="s">
        <v>190</v>
      </c>
      <c r="CW334" t="s">
        <v>12</v>
      </c>
      <c r="CX334" t="s">
        <v>12</v>
      </c>
      <c r="CY334" t="s">
        <v>12</v>
      </c>
      <c r="DA334" t="s">
        <v>104</v>
      </c>
      <c r="DD334" t="s">
        <v>93</v>
      </c>
      <c r="DQ334" t="s">
        <v>94</v>
      </c>
      <c r="DR334" t="s">
        <v>94</v>
      </c>
      <c r="DS334" t="s">
        <v>94</v>
      </c>
      <c r="DT334" t="s">
        <v>94</v>
      </c>
      <c r="DU334" t="s">
        <v>94</v>
      </c>
      <c r="DV334" t="s">
        <v>94</v>
      </c>
      <c r="DW334" t="s">
        <v>94</v>
      </c>
      <c r="DX334" s="2" t="s">
        <v>94</v>
      </c>
      <c r="DY334" t="s">
        <v>94</v>
      </c>
      <c r="DZ334" t="s">
        <v>94</v>
      </c>
      <c r="EA334" t="s">
        <v>94</v>
      </c>
      <c r="EB334" t="s">
        <v>94</v>
      </c>
      <c r="EC334" t="s">
        <v>94</v>
      </c>
      <c r="ED334" t="s">
        <v>94</v>
      </c>
      <c r="EE334" t="s">
        <v>89</v>
      </c>
      <c r="EF334" t="s">
        <v>425</v>
      </c>
      <c r="EG334" t="s">
        <v>105</v>
      </c>
      <c r="EJ334" t="s">
        <v>166</v>
      </c>
      <c r="EK334" t="b">
        <v>0</v>
      </c>
      <c r="EL334" t="b">
        <v>0</v>
      </c>
      <c r="EM334" t="b">
        <v>0</v>
      </c>
    </row>
    <row r="335" spans="3:143" ht="15">
      <c r="C335" s="82">
        <v>333</v>
      </c>
      <c r="D335" s="5"/>
      <c r="E335" s="4">
        <v>1</v>
      </c>
      <c r="F335" s="5">
        <v>1.25</v>
      </c>
      <c r="G335" s="5" t="s">
        <v>4501</v>
      </c>
      <c r="H335" s="4" t="s">
        <v>4502</v>
      </c>
      <c r="I335" s="81" t="s">
        <v>817</v>
      </c>
      <c r="J335" s="21"/>
      <c r="K335" s="22" t="s">
        <v>4472</v>
      </c>
      <c r="L335" s="84" t="s">
        <v>4434</v>
      </c>
      <c r="M335" s="23" t="s">
        <v>817</v>
      </c>
      <c r="N335" s="23">
        <v>43793</v>
      </c>
      <c r="O335" s="24" t="s">
        <v>102</v>
      </c>
      <c r="P335" s="24" t="s">
        <v>179</v>
      </c>
      <c r="Q335" s="24">
        <v>1</v>
      </c>
      <c r="R335" s="24">
        <v>1.25</v>
      </c>
      <c r="S335" t="s">
        <v>319</v>
      </c>
      <c r="T335">
        <v>30</v>
      </c>
      <c r="U335" s="2" t="s">
        <v>163</v>
      </c>
      <c r="V335">
        <v>43793.793124999997</v>
      </c>
      <c r="W335" s="2" t="s">
        <v>444</v>
      </c>
      <c r="X335">
        <v>43793.808425925927</v>
      </c>
      <c r="AB335" t="s">
        <v>9</v>
      </c>
      <c r="AC335" t="s">
        <v>4473</v>
      </c>
      <c r="AD335" t="s">
        <v>819</v>
      </c>
      <c r="AE335">
        <v>242963</v>
      </c>
      <c r="AF335">
        <v>242963</v>
      </c>
      <c r="AG335" t="s">
        <v>183</v>
      </c>
      <c r="AH335" t="s">
        <v>4474</v>
      </c>
      <c r="AI335" t="s">
        <v>4474</v>
      </c>
      <c r="AJ335" t="s">
        <v>484</v>
      </c>
      <c r="AK335" t="s">
        <v>485</v>
      </c>
      <c r="AL335" t="s">
        <v>4475</v>
      </c>
      <c r="AO335" t="s">
        <v>4476</v>
      </c>
      <c r="AP335" t="s">
        <v>4477</v>
      </c>
      <c r="AQ335" t="s">
        <v>1906</v>
      </c>
      <c r="AR335" t="s">
        <v>4478</v>
      </c>
      <c r="AS335">
        <v>-342407088</v>
      </c>
      <c r="AT335" t="s">
        <v>4479</v>
      </c>
      <c r="AU335" t="s">
        <v>10</v>
      </c>
      <c r="AV335" t="s">
        <v>4480</v>
      </c>
      <c r="AW335" t="s">
        <v>4480</v>
      </c>
      <c r="AX335" t="s">
        <v>4481</v>
      </c>
      <c r="AY335" s="2" t="s">
        <v>4482</v>
      </c>
      <c r="BA335" t="s">
        <v>1561</v>
      </c>
      <c r="BB335" t="s">
        <v>832</v>
      </c>
      <c r="BC335" t="s">
        <v>188</v>
      </c>
      <c r="BD335">
        <v>519020</v>
      </c>
      <c r="BE335">
        <v>-13543026212</v>
      </c>
      <c r="BF335" t="s">
        <v>4483</v>
      </c>
      <c r="BG335" t="b">
        <v>0</v>
      </c>
      <c r="BH335" s="6" t="s">
        <v>4484</v>
      </c>
      <c r="BI335" t="s">
        <v>4485</v>
      </c>
      <c r="BJ335">
        <v>4453163191</v>
      </c>
      <c r="BK335" t="s">
        <v>162</v>
      </c>
      <c r="BL335" t="s">
        <v>161</v>
      </c>
      <c r="BM335" s="2"/>
      <c r="BO335" t="s">
        <v>89</v>
      </c>
      <c r="BP335">
        <v>85444221</v>
      </c>
      <c r="BR335" t="s">
        <v>189</v>
      </c>
      <c r="BS335" t="s">
        <v>103</v>
      </c>
      <c r="BU335">
        <v>0</v>
      </c>
      <c r="BV335">
        <v>0</v>
      </c>
      <c r="BW335">
        <v>0</v>
      </c>
      <c r="BX335">
        <v>0</v>
      </c>
      <c r="BY335">
        <v>0</v>
      </c>
      <c r="BZ335">
        <v>0</v>
      </c>
      <c r="CA335">
        <v>0</v>
      </c>
      <c r="CF335" s="2"/>
      <c r="CH335" s="2"/>
      <c r="CJ335">
        <v>5.3142019950173498E+17</v>
      </c>
      <c r="CK335" t="s">
        <v>165</v>
      </c>
      <c r="CL335">
        <v>43793.375185185185</v>
      </c>
      <c r="CO335" t="s">
        <v>11</v>
      </c>
      <c r="CP335">
        <v>212.24</v>
      </c>
      <c r="CQ335" t="s">
        <v>11</v>
      </c>
      <c r="CR335">
        <v>212.24</v>
      </c>
      <c r="CV335" t="s">
        <v>190</v>
      </c>
      <c r="CW335" t="s">
        <v>12</v>
      </c>
      <c r="CX335" t="s">
        <v>12</v>
      </c>
      <c r="CY335" t="s">
        <v>12</v>
      </c>
      <c r="DA335" t="s">
        <v>104</v>
      </c>
      <c r="DD335" t="s">
        <v>93</v>
      </c>
      <c r="DQ335" t="s">
        <v>94</v>
      </c>
      <c r="DR335" t="s">
        <v>94</v>
      </c>
      <c r="DS335" t="s">
        <v>94</v>
      </c>
      <c r="DT335" t="s">
        <v>94</v>
      </c>
      <c r="DU335" t="s">
        <v>94</v>
      </c>
      <c r="DV335" t="s">
        <v>94</v>
      </c>
      <c r="DW335" t="s">
        <v>94</v>
      </c>
      <c r="DX335" s="2" t="s">
        <v>94</v>
      </c>
      <c r="DY335" t="s">
        <v>94</v>
      </c>
      <c r="DZ335" t="s">
        <v>94</v>
      </c>
      <c r="EA335" t="s">
        <v>94</v>
      </c>
      <c r="EB335" t="s">
        <v>94</v>
      </c>
      <c r="EC335" t="s">
        <v>94</v>
      </c>
      <c r="ED335" t="s">
        <v>94</v>
      </c>
      <c r="EE335" t="s">
        <v>89</v>
      </c>
      <c r="EF335" t="s">
        <v>425</v>
      </c>
      <c r="EG335" t="s">
        <v>105</v>
      </c>
      <c r="EJ335" t="s">
        <v>166</v>
      </c>
      <c r="EK335" t="b">
        <v>0</v>
      </c>
      <c r="EL335" t="b">
        <v>0</v>
      </c>
      <c r="EM335" t="b">
        <v>0</v>
      </c>
    </row>
    <row r="336" spans="3:143" ht="15">
      <c r="C336" s="82">
        <v>3</v>
      </c>
      <c r="D336" s="5"/>
      <c r="E336" s="4">
        <v>1</v>
      </c>
      <c r="F336" s="5">
        <v>5</v>
      </c>
      <c r="G336" s="5" t="s">
        <v>4503</v>
      </c>
      <c r="H336" s="4" t="s">
        <v>4504</v>
      </c>
      <c r="I336" s="81" t="s">
        <v>920</v>
      </c>
      <c r="J336" s="21"/>
      <c r="K336" s="22" t="s">
        <v>4486</v>
      </c>
      <c r="L336" s="84" t="s">
        <v>4487</v>
      </c>
      <c r="M336" s="23" t="s">
        <v>920</v>
      </c>
      <c r="N336" s="23">
        <v>43793</v>
      </c>
      <c r="O336" s="24" t="s">
        <v>102</v>
      </c>
      <c r="P336" s="24" t="s">
        <v>181</v>
      </c>
      <c r="Q336" s="24">
        <v>1</v>
      </c>
      <c r="R336" s="24">
        <v>5</v>
      </c>
      <c r="S336" t="s">
        <v>319</v>
      </c>
      <c r="T336">
        <v>159.54</v>
      </c>
      <c r="U336" s="2" t="s">
        <v>163</v>
      </c>
      <c r="V336">
        <v>43793.585844907408</v>
      </c>
      <c r="W336" s="2" t="s">
        <v>444</v>
      </c>
      <c r="X336">
        <v>43795.397812499999</v>
      </c>
      <c r="AB336" t="s">
        <v>9</v>
      </c>
      <c r="AC336" t="s">
        <v>4488</v>
      </c>
      <c r="AD336" t="s">
        <v>209</v>
      </c>
      <c r="AE336">
        <v>394053</v>
      </c>
      <c r="AF336">
        <v>394053</v>
      </c>
      <c r="AG336" t="s">
        <v>183</v>
      </c>
      <c r="AH336" t="s">
        <v>4489</v>
      </c>
      <c r="AI336" t="s">
        <v>4489</v>
      </c>
      <c r="AJ336" t="s">
        <v>601</v>
      </c>
      <c r="AK336" t="s">
        <v>602</v>
      </c>
      <c r="AL336" t="s">
        <v>4490</v>
      </c>
      <c r="AO336" t="s">
        <v>4491</v>
      </c>
      <c r="AP336" t="s">
        <v>4492</v>
      </c>
      <c r="AQ336" t="s">
        <v>4491</v>
      </c>
      <c r="AR336">
        <v>58100</v>
      </c>
      <c r="AS336">
        <v>0</v>
      </c>
      <c r="AT336" t="s">
        <v>4493</v>
      </c>
      <c r="AU336" t="s">
        <v>10</v>
      </c>
      <c r="AV336" t="s">
        <v>4494</v>
      </c>
      <c r="AW336" t="s">
        <v>4494</v>
      </c>
      <c r="AX336" t="s">
        <v>4495</v>
      </c>
      <c r="AY336" s="2"/>
      <c r="BA336" t="s">
        <v>4496</v>
      </c>
      <c r="BB336" t="s">
        <v>4497</v>
      </c>
      <c r="BC336" t="s">
        <v>4496</v>
      </c>
      <c r="BD336">
        <v>529700</v>
      </c>
      <c r="BE336">
        <v>867508826719</v>
      </c>
      <c r="BF336" t="s">
        <v>4498</v>
      </c>
      <c r="BG336" t="b">
        <v>0</v>
      </c>
      <c r="BH336" s="6" t="s">
        <v>3860</v>
      </c>
      <c r="BI336" t="s">
        <v>4499</v>
      </c>
      <c r="BJ336">
        <v>4453163191</v>
      </c>
      <c r="BK336" t="s">
        <v>162</v>
      </c>
      <c r="BL336" t="s">
        <v>161</v>
      </c>
      <c r="BM336" s="2"/>
      <c r="BO336" t="s">
        <v>89</v>
      </c>
      <c r="BP336">
        <v>4107999090</v>
      </c>
      <c r="BR336" t="s">
        <v>180</v>
      </c>
      <c r="BS336" t="s">
        <v>103</v>
      </c>
      <c r="BU336">
        <v>82.19</v>
      </c>
      <c r="BV336">
        <v>157.41</v>
      </c>
      <c r="BW336">
        <v>0</v>
      </c>
      <c r="BX336">
        <v>0</v>
      </c>
      <c r="BY336">
        <v>0</v>
      </c>
      <c r="BZ336">
        <v>0</v>
      </c>
      <c r="CA336">
        <v>239.6</v>
      </c>
      <c r="CF336" s="2"/>
      <c r="CH336" s="2"/>
      <c r="CJ336">
        <v>5.3142019950173402E+17</v>
      </c>
      <c r="CK336" t="s">
        <v>1509</v>
      </c>
      <c r="CL336">
        <v>43792.380324074074</v>
      </c>
      <c r="CO336" t="s">
        <v>11</v>
      </c>
      <c r="CP336">
        <v>1128.68</v>
      </c>
      <c r="CQ336" t="s">
        <v>11</v>
      </c>
      <c r="CR336">
        <v>1128.68</v>
      </c>
      <c r="CV336" t="s">
        <v>190</v>
      </c>
      <c r="CW336" t="s">
        <v>12</v>
      </c>
      <c r="CX336" t="s">
        <v>12</v>
      </c>
      <c r="CY336" t="s">
        <v>12</v>
      </c>
      <c r="DA336" t="s">
        <v>104</v>
      </c>
      <c r="DD336" t="s">
        <v>93</v>
      </c>
      <c r="DF336" t="s">
        <v>4500</v>
      </c>
      <c r="DQ336" t="s">
        <v>94</v>
      </c>
      <c r="DR336" t="s">
        <v>94</v>
      </c>
      <c r="DS336" t="s">
        <v>94</v>
      </c>
      <c r="DT336" t="s">
        <v>94</v>
      </c>
      <c r="DU336" t="s">
        <v>94</v>
      </c>
      <c r="DV336" t="s">
        <v>94</v>
      </c>
      <c r="DW336" t="s">
        <v>94</v>
      </c>
      <c r="DX336" s="2" t="s">
        <v>94</v>
      </c>
      <c r="DY336" t="s">
        <v>94</v>
      </c>
      <c r="DZ336" t="s">
        <v>94</v>
      </c>
      <c r="EA336" t="s">
        <v>94</v>
      </c>
      <c r="EB336" t="s">
        <v>94</v>
      </c>
      <c r="EC336" t="s">
        <v>94</v>
      </c>
      <c r="ED336" t="s">
        <v>94</v>
      </c>
      <c r="EE336" t="s">
        <v>89</v>
      </c>
      <c r="EF336" t="s">
        <v>425</v>
      </c>
      <c r="EG336" t="s">
        <v>105</v>
      </c>
      <c r="EJ336" t="s">
        <v>166</v>
      </c>
      <c r="EK336" t="b">
        <v>0</v>
      </c>
      <c r="EL336" t="b">
        <v>0</v>
      </c>
      <c r="EM336" t="b">
        <v>0</v>
      </c>
    </row>
    <row r="337" spans="3:143" ht="15">
      <c r="C337" s="82">
        <v>13</v>
      </c>
      <c r="D337" s="5"/>
      <c r="E337" s="4">
        <v>1</v>
      </c>
      <c r="F337" s="5">
        <v>5.5</v>
      </c>
      <c r="G337" s="5" t="s">
        <v>4521</v>
      </c>
      <c r="H337" s="4" t="s">
        <v>4522</v>
      </c>
      <c r="I337" s="81" t="s">
        <v>920</v>
      </c>
      <c r="J337" s="21"/>
      <c r="K337" s="22" t="s">
        <v>4505</v>
      </c>
      <c r="L337" s="84" t="s">
        <v>4506</v>
      </c>
      <c r="M337" s="23" t="s">
        <v>905</v>
      </c>
      <c r="N337" s="23">
        <v>43785</v>
      </c>
      <c r="O337" s="24" t="s">
        <v>102</v>
      </c>
      <c r="P337" s="24" t="s">
        <v>480</v>
      </c>
      <c r="Q337" s="24">
        <v>1</v>
      </c>
      <c r="R337" s="24">
        <v>5.5</v>
      </c>
      <c r="S337" t="s">
        <v>372</v>
      </c>
      <c r="T337">
        <v>80</v>
      </c>
      <c r="U337" s="2"/>
      <c r="W337" s="2"/>
      <c r="AB337" t="s">
        <v>9</v>
      </c>
      <c r="AC337" t="s">
        <v>3154</v>
      </c>
      <c r="AD337" t="s">
        <v>182</v>
      </c>
      <c r="AE337">
        <v>2519583</v>
      </c>
      <c r="AF337">
        <v>2519583</v>
      </c>
      <c r="AG337" t="s">
        <v>183</v>
      </c>
      <c r="AH337" t="s">
        <v>4507</v>
      </c>
      <c r="AI337" t="s">
        <v>4507</v>
      </c>
      <c r="AJ337" t="s">
        <v>184</v>
      </c>
      <c r="AK337" t="s">
        <v>185</v>
      </c>
      <c r="AL337" t="s">
        <v>4508</v>
      </c>
      <c r="AM337" t="s">
        <v>4509</v>
      </c>
      <c r="AO337" t="s">
        <v>4510</v>
      </c>
      <c r="AP337" t="s">
        <v>3160</v>
      </c>
      <c r="AQ337" t="s">
        <v>454</v>
      </c>
      <c r="AR337" t="s">
        <v>4511</v>
      </c>
      <c r="AS337">
        <v>7734087191</v>
      </c>
      <c r="AT337" t="s">
        <v>4512</v>
      </c>
      <c r="AU337" t="s">
        <v>10</v>
      </c>
      <c r="AV337" t="s">
        <v>4513</v>
      </c>
      <c r="AW337" t="s">
        <v>4513</v>
      </c>
      <c r="AX337" t="s">
        <v>4514</v>
      </c>
      <c r="AY337" s="2" t="s">
        <v>4515</v>
      </c>
      <c r="AZ337" t="s">
        <v>4516</v>
      </c>
      <c r="BA337" t="s">
        <v>194</v>
      </c>
      <c r="BB337" t="s">
        <v>272</v>
      </c>
      <c r="BC337" t="s">
        <v>188</v>
      </c>
      <c r="BD337">
        <v>518000</v>
      </c>
      <c r="BE337" t="s">
        <v>4517</v>
      </c>
      <c r="BF337" t="s">
        <v>4518</v>
      </c>
      <c r="BG337" t="b">
        <v>0</v>
      </c>
      <c r="BH337" s="6" t="s">
        <v>4519</v>
      </c>
      <c r="BI337" t="s">
        <v>4520</v>
      </c>
      <c r="BJ337">
        <v>4453163191</v>
      </c>
      <c r="BK337" t="s">
        <v>162</v>
      </c>
      <c r="BL337" t="s">
        <v>161</v>
      </c>
      <c r="BM337" s="2"/>
      <c r="BR337" t="s">
        <v>180</v>
      </c>
      <c r="BS337" t="s">
        <v>103</v>
      </c>
      <c r="BU337">
        <v>0</v>
      </c>
      <c r="BV337">
        <v>0</v>
      </c>
      <c r="BW337">
        <v>0</v>
      </c>
      <c r="BX337">
        <v>0</v>
      </c>
      <c r="BY337">
        <v>0</v>
      </c>
      <c r="BZ337">
        <v>0</v>
      </c>
      <c r="CA337">
        <v>0</v>
      </c>
      <c r="CF337" s="2"/>
      <c r="CH337" s="2"/>
      <c r="CK337" t="s">
        <v>2648</v>
      </c>
      <c r="CL337">
        <v>43785.374618055554</v>
      </c>
      <c r="CO337" t="s">
        <v>11</v>
      </c>
      <c r="CP337">
        <v>722</v>
      </c>
      <c r="CQ337" t="s">
        <v>11</v>
      </c>
      <c r="CR337">
        <v>722</v>
      </c>
      <c r="CV337" t="s">
        <v>190</v>
      </c>
      <c r="CW337" t="s">
        <v>12</v>
      </c>
      <c r="CX337" t="s">
        <v>12</v>
      </c>
      <c r="CY337" t="s">
        <v>12</v>
      </c>
      <c r="DA337" t="s">
        <v>104</v>
      </c>
      <c r="DD337" t="s">
        <v>93</v>
      </c>
      <c r="DQ337" t="s">
        <v>94</v>
      </c>
      <c r="DR337" t="s">
        <v>94</v>
      </c>
      <c r="DS337" t="s">
        <v>94</v>
      </c>
      <c r="DT337" t="s">
        <v>94</v>
      </c>
      <c r="DU337" t="s">
        <v>94</v>
      </c>
      <c r="DV337" t="s">
        <v>94</v>
      </c>
      <c r="DW337" t="s">
        <v>94</v>
      </c>
      <c r="DX337" s="2" t="s">
        <v>94</v>
      </c>
      <c r="DY337" t="s">
        <v>94</v>
      </c>
      <c r="DZ337" t="s">
        <v>94</v>
      </c>
      <c r="EA337" t="s">
        <v>94</v>
      </c>
      <c r="EB337" t="s">
        <v>94</v>
      </c>
      <c r="EC337" t="s">
        <v>94</v>
      </c>
      <c r="ED337" t="s">
        <v>94</v>
      </c>
      <c r="EE337" t="s">
        <v>89</v>
      </c>
      <c r="EF337" t="s">
        <v>425</v>
      </c>
      <c r="EG337" t="s">
        <v>105</v>
      </c>
      <c r="EJ337" t="s">
        <v>166</v>
      </c>
      <c r="EK337" t="b">
        <v>0</v>
      </c>
      <c r="EL337" t="b">
        <v>0</v>
      </c>
      <c r="EM337" t="b">
        <v>0</v>
      </c>
    </row>
    <row r="338" spans="3:143" ht="15">
      <c r="C338" s="82">
        <v>13</v>
      </c>
      <c r="D338" s="5"/>
      <c r="E338" s="4">
        <v>1</v>
      </c>
      <c r="F338" s="5">
        <v>1.5</v>
      </c>
      <c r="G338" s="5" t="s">
        <v>4538</v>
      </c>
      <c r="H338" s="4" t="s">
        <v>4539</v>
      </c>
      <c r="I338" s="81" t="s">
        <v>920</v>
      </c>
      <c r="J338" s="21"/>
      <c r="K338" s="22" t="s">
        <v>4523</v>
      </c>
      <c r="L338" s="84" t="s">
        <v>4452</v>
      </c>
      <c r="M338" s="23" t="s">
        <v>920</v>
      </c>
      <c r="N338" s="23">
        <v>43791</v>
      </c>
      <c r="O338" s="24" t="s">
        <v>102</v>
      </c>
      <c r="P338" s="24" t="s">
        <v>480</v>
      </c>
      <c r="Q338" s="24">
        <v>1</v>
      </c>
      <c r="R338" s="24">
        <v>1.5</v>
      </c>
      <c r="S338" t="s">
        <v>319</v>
      </c>
      <c r="T338">
        <v>39</v>
      </c>
      <c r="U338" s="2"/>
      <c r="W338" s="2"/>
      <c r="AB338" t="s">
        <v>9</v>
      </c>
      <c r="AC338" t="s">
        <v>1230</v>
      </c>
      <c r="AD338" t="s">
        <v>482</v>
      </c>
      <c r="AE338" t="s">
        <v>183</v>
      </c>
      <c r="AF338" t="s">
        <v>183</v>
      </c>
      <c r="AG338">
        <v>3071099</v>
      </c>
      <c r="AH338" t="s">
        <v>4524</v>
      </c>
      <c r="AI338" t="s">
        <v>4524</v>
      </c>
      <c r="AJ338" t="s">
        <v>1232</v>
      </c>
      <c r="AK338" t="s">
        <v>1233</v>
      </c>
      <c r="AL338" t="s">
        <v>4525</v>
      </c>
      <c r="AM338" t="s">
        <v>4526</v>
      </c>
      <c r="AO338" t="s">
        <v>1236</v>
      </c>
      <c r="AP338" t="s">
        <v>1233</v>
      </c>
      <c r="AR338">
        <v>641664</v>
      </c>
      <c r="AS338">
        <v>-96339707</v>
      </c>
      <c r="AT338" t="s">
        <v>4527</v>
      </c>
      <c r="AU338" t="s">
        <v>10</v>
      </c>
      <c r="AV338" t="s">
        <v>4528</v>
      </c>
      <c r="AW338" t="s">
        <v>4529</v>
      </c>
      <c r="AX338" t="s">
        <v>4530</v>
      </c>
      <c r="AY338" s="2" t="s">
        <v>4531</v>
      </c>
      <c r="AZ338" t="s">
        <v>4532</v>
      </c>
      <c r="BA338" t="s">
        <v>4533</v>
      </c>
      <c r="BB338" t="s">
        <v>626</v>
      </c>
      <c r="BC338" t="s">
        <v>496</v>
      </c>
      <c r="BD338">
        <v>410001</v>
      </c>
      <c r="BE338" t="s">
        <v>4534</v>
      </c>
      <c r="BF338" t="s">
        <v>4535</v>
      </c>
      <c r="BG338" t="b">
        <v>0</v>
      </c>
      <c r="BH338" s="6" t="s">
        <v>4536</v>
      </c>
      <c r="BI338" t="s">
        <v>4537</v>
      </c>
      <c r="BJ338">
        <v>4453163191</v>
      </c>
      <c r="BK338" t="s">
        <v>162</v>
      </c>
      <c r="BL338" t="s">
        <v>161</v>
      </c>
      <c r="BM338" s="2"/>
      <c r="BN338">
        <v>430111772254393</v>
      </c>
      <c r="BR338" t="s">
        <v>180</v>
      </c>
      <c r="BS338" t="s">
        <v>103</v>
      </c>
      <c r="BU338">
        <v>0</v>
      </c>
      <c r="BV338">
        <v>0</v>
      </c>
      <c r="BW338">
        <v>0</v>
      </c>
      <c r="BX338">
        <v>0</v>
      </c>
      <c r="BY338">
        <v>0</v>
      </c>
      <c r="BZ338">
        <v>0</v>
      </c>
      <c r="CA338">
        <v>0</v>
      </c>
      <c r="CF338" s="2"/>
      <c r="CH338" s="2"/>
      <c r="CK338" t="s">
        <v>4402</v>
      </c>
      <c r="CL338">
        <v>43791.382870370369</v>
      </c>
      <c r="CO338" t="s">
        <v>11</v>
      </c>
      <c r="CP338">
        <v>275.91000000000003</v>
      </c>
      <c r="CQ338" t="s">
        <v>11</v>
      </c>
      <c r="CR338">
        <v>275.91000000000003</v>
      </c>
      <c r="CV338" t="s">
        <v>525</v>
      </c>
      <c r="CW338" t="s">
        <v>12</v>
      </c>
      <c r="CX338" t="s">
        <v>12</v>
      </c>
      <c r="CY338" t="s">
        <v>12</v>
      </c>
      <c r="DA338" t="s">
        <v>104</v>
      </c>
      <c r="DD338" t="s">
        <v>93</v>
      </c>
      <c r="DQ338" t="s">
        <v>94</v>
      </c>
      <c r="DR338" t="s">
        <v>94</v>
      </c>
      <c r="DS338" t="s">
        <v>94</v>
      </c>
      <c r="DT338" t="s">
        <v>94</v>
      </c>
      <c r="DU338" t="s">
        <v>94</v>
      </c>
      <c r="DV338" t="s">
        <v>94</v>
      </c>
      <c r="DW338" t="s">
        <v>94</v>
      </c>
      <c r="DX338" s="2" t="s">
        <v>94</v>
      </c>
      <c r="DY338" t="s">
        <v>94</v>
      </c>
      <c r="DZ338" t="s">
        <v>94</v>
      </c>
      <c r="EA338" t="s">
        <v>94</v>
      </c>
      <c r="EB338" t="s">
        <v>94</v>
      </c>
      <c r="EC338" t="s">
        <v>94</v>
      </c>
      <c r="ED338" t="s">
        <v>94</v>
      </c>
      <c r="EE338" t="s">
        <v>89</v>
      </c>
      <c r="EF338" t="s">
        <v>425</v>
      </c>
      <c r="EG338" t="s">
        <v>105</v>
      </c>
      <c r="EJ338" t="s">
        <v>166</v>
      </c>
      <c r="EK338" t="b">
        <v>0</v>
      </c>
      <c r="EL338" t="b">
        <v>0</v>
      </c>
      <c r="EM338" t="b">
        <v>0</v>
      </c>
    </row>
    <row r="339" spans="3:143" ht="15">
      <c r="C339" s="82">
        <v>13</v>
      </c>
      <c r="D339" s="5"/>
      <c r="E339" s="4">
        <v>1</v>
      </c>
      <c r="F339" s="5">
        <v>1.5</v>
      </c>
      <c r="G339" s="5" t="s">
        <v>4556</v>
      </c>
      <c r="H339" s="4" t="s">
        <v>4539</v>
      </c>
      <c r="I339" s="81" t="s">
        <v>920</v>
      </c>
      <c r="J339" s="21"/>
      <c r="K339" s="22" t="s">
        <v>4523</v>
      </c>
      <c r="L339" s="84" t="s">
        <v>4452</v>
      </c>
      <c r="M339" s="23" t="s">
        <v>920</v>
      </c>
      <c r="N339" s="23">
        <v>43791</v>
      </c>
      <c r="O339" s="24" t="s">
        <v>102</v>
      </c>
      <c r="P339" s="24" t="s">
        <v>480</v>
      </c>
      <c r="Q339" s="24">
        <v>1</v>
      </c>
      <c r="R339" s="24">
        <v>1.5</v>
      </c>
      <c r="S339" t="s">
        <v>319</v>
      </c>
      <c r="T339">
        <v>39</v>
      </c>
      <c r="U339" s="2"/>
      <c r="W339" s="2"/>
      <c r="AB339" t="s">
        <v>9</v>
      </c>
      <c r="AC339" t="s">
        <v>1230</v>
      </c>
      <c r="AD339" t="s">
        <v>482</v>
      </c>
      <c r="AE339" t="s">
        <v>183</v>
      </c>
      <c r="AF339" t="s">
        <v>183</v>
      </c>
      <c r="AG339">
        <v>3071099</v>
      </c>
      <c r="AH339" t="s">
        <v>4524</v>
      </c>
      <c r="AI339" t="s">
        <v>4524</v>
      </c>
      <c r="AJ339" t="s">
        <v>1232</v>
      </c>
      <c r="AK339" t="s">
        <v>1233</v>
      </c>
      <c r="AL339" t="s">
        <v>4525</v>
      </c>
      <c r="AM339" t="s">
        <v>4526</v>
      </c>
      <c r="AO339" t="s">
        <v>1236</v>
      </c>
      <c r="AP339" t="s">
        <v>1233</v>
      </c>
      <c r="AR339">
        <v>641664</v>
      </c>
      <c r="AS339">
        <v>-96339707</v>
      </c>
      <c r="AT339" t="s">
        <v>4527</v>
      </c>
      <c r="AU339" t="s">
        <v>10</v>
      </c>
      <c r="AV339" t="s">
        <v>4528</v>
      </c>
      <c r="AW339" t="s">
        <v>4529</v>
      </c>
      <c r="AX339" t="s">
        <v>4530</v>
      </c>
      <c r="AY339" s="2" t="s">
        <v>4531</v>
      </c>
      <c r="AZ339" t="s">
        <v>4532</v>
      </c>
      <c r="BA339" t="s">
        <v>4533</v>
      </c>
      <c r="BB339" t="s">
        <v>626</v>
      </c>
      <c r="BC339" t="s">
        <v>496</v>
      </c>
      <c r="BD339">
        <v>410001</v>
      </c>
      <c r="BE339" t="s">
        <v>4534</v>
      </c>
      <c r="BF339" t="s">
        <v>4535</v>
      </c>
      <c r="BG339" t="b">
        <v>0</v>
      </c>
      <c r="BH339" s="6" t="s">
        <v>4536</v>
      </c>
      <c r="BI339" t="s">
        <v>4537</v>
      </c>
      <c r="BJ339">
        <v>4453163191</v>
      </c>
      <c r="BK339" t="s">
        <v>162</v>
      </c>
      <c r="BL339" t="s">
        <v>161</v>
      </c>
      <c r="BM339" s="2"/>
      <c r="BN339">
        <v>430111772254393</v>
      </c>
      <c r="BR339" t="s">
        <v>180</v>
      </c>
      <c r="BS339" t="s">
        <v>103</v>
      </c>
      <c r="BU339">
        <v>0</v>
      </c>
      <c r="BV339">
        <v>0</v>
      </c>
      <c r="BW339">
        <v>0</v>
      </c>
      <c r="BX339">
        <v>0</v>
      </c>
      <c r="BY339">
        <v>0</v>
      </c>
      <c r="BZ339">
        <v>0</v>
      </c>
      <c r="CA339">
        <v>0</v>
      </c>
      <c r="CF339" s="2"/>
      <c r="CH339" s="2"/>
      <c r="CK339" t="s">
        <v>4402</v>
      </c>
      <c r="CL339">
        <v>43791.382870370369</v>
      </c>
      <c r="CO339" t="s">
        <v>11</v>
      </c>
      <c r="CP339">
        <v>275.91000000000003</v>
      </c>
      <c r="CQ339" t="s">
        <v>11</v>
      </c>
      <c r="CR339">
        <v>275.91000000000003</v>
      </c>
      <c r="CV339" t="s">
        <v>525</v>
      </c>
      <c r="CW339" t="s">
        <v>12</v>
      </c>
      <c r="CX339" t="s">
        <v>12</v>
      </c>
      <c r="CY339" t="s">
        <v>12</v>
      </c>
      <c r="DA339" t="s">
        <v>104</v>
      </c>
      <c r="DD339" t="s">
        <v>93</v>
      </c>
      <c r="DQ339" t="s">
        <v>94</v>
      </c>
      <c r="DR339" t="s">
        <v>94</v>
      </c>
      <c r="DS339" t="s">
        <v>94</v>
      </c>
      <c r="DT339" t="s">
        <v>94</v>
      </c>
      <c r="DU339" t="s">
        <v>94</v>
      </c>
      <c r="DV339" t="s">
        <v>94</v>
      </c>
      <c r="DW339" t="s">
        <v>94</v>
      </c>
      <c r="DX339" s="2" t="s">
        <v>94</v>
      </c>
      <c r="DY339" t="s">
        <v>94</v>
      </c>
      <c r="DZ339" t="s">
        <v>94</v>
      </c>
      <c r="EA339" t="s">
        <v>94</v>
      </c>
      <c r="EB339" t="s">
        <v>94</v>
      </c>
      <c r="EC339" t="s">
        <v>94</v>
      </c>
      <c r="ED339" t="s">
        <v>94</v>
      </c>
      <c r="EE339" t="s">
        <v>89</v>
      </c>
      <c r="EF339" t="s">
        <v>425</v>
      </c>
      <c r="EG339" t="s">
        <v>105</v>
      </c>
      <c r="EJ339" t="s">
        <v>166</v>
      </c>
      <c r="EK339" t="b">
        <v>0</v>
      </c>
      <c r="EL339" t="b">
        <v>0</v>
      </c>
      <c r="EM339" t="b">
        <v>0</v>
      </c>
    </row>
    <row r="340" spans="3:143">
      <c r="C340" s="4">
        <v>123</v>
      </c>
      <c r="D340" s="4"/>
      <c r="E340" s="4">
        <v>1</v>
      </c>
      <c r="F340" s="4">
        <v>18.88</v>
      </c>
      <c r="G340" s="5" t="s">
        <v>4556</v>
      </c>
      <c r="H340" s="4" t="s">
        <v>4557</v>
      </c>
      <c r="I340" s="4" t="s">
        <v>920</v>
      </c>
      <c r="J340" s="5"/>
      <c r="K340" s="22" t="s">
        <v>4540</v>
      </c>
      <c r="L340" s="84" t="s">
        <v>4452</v>
      </c>
      <c r="M340" s="23" t="s">
        <v>920</v>
      </c>
      <c r="N340" s="23">
        <v>43791</v>
      </c>
      <c r="O340" s="24" t="s">
        <v>102</v>
      </c>
      <c r="P340" s="24" t="s">
        <v>480</v>
      </c>
      <c r="Q340" s="24">
        <v>1</v>
      </c>
      <c r="R340" s="24">
        <v>18.88</v>
      </c>
      <c r="S340" t="s">
        <v>319</v>
      </c>
      <c r="T340">
        <v>473</v>
      </c>
      <c r="U340" s="2"/>
      <c r="W340" s="2"/>
      <c r="AB340" t="s">
        <v>9</v>
      </c>
      <c r="AC340" t="s">
        <v>1143</v>
      </c>
      <c r="AD340" t="s">
        <v>182</v>
      </c>
      <c r="AE340" t="s">
        <v>183</v>
      </c>
      <c r="AF340" t="s">
        <v>183</v>
      </c>
      <c r="AG340">
        <v>3008463</v>
      </c>
      <c r="AH340" t="s">
        <v>4541</v>
      </c>
      <c r="AI340" t="s">
        <v>4542</v>
      </c>
      <c r="AJ340" t="s">
        <v>644</v>
      </c>
      <c r="AK340" t="s">
        <v>645</v>
      </c>
      <c r="AL340" t="s">
        <v>4543</v>
      </c>
      <c r="AM340" t="s">
        <v>4544</v>
      </c>
      <c r="AN340" t="s">
        <v>4545</v>
      </c>
      <c r="AO340" t="s">
        <v>4546</v>
      </c>
      <c r="AP340" t="s">
        <v>1149</v>
      </c>
      <c r="AR340">
        <v>43200</v>
      </c>
      <c r="AS340">
        <v>60123321772</v>
      </c>
      <c r="AT340" t="s">
        <v>4547</v>
      </c>
      <c r="AU340" t="s">
        <v>10</v>
      </c>
      <c r="AV340" t="s">
        <v>4548</v>
      </c>
      <c r="AW340" t="s">
        <v>4548</v>
      </c>
      <c r="AX340" t="s">
        <v>4549</v>
      </c>
      <c r="AY340" t="s">
        <v>4550</v>
      </c>
      <c r="AZ340" t="s">
        <v>4551</v>
      </c>
      <c r="BA340" t="s">
        <v>194</v>
      </c>
      <c r="BB340" t="s">
        <v>272</v>
      </c>
      <c r="BC340" t="s">
        <v>188</v>
      </c>
      <c r="BD340">
        <v>518000</v>
      </c>
      <c r="BE340" t="s">
        <v>4552</v>
      </c>
      <c r="BF340" t="s">
        <v>4553</v>
      </c>
      <c r="BG340" t="b">
        <v>0</v>
      </c>
      <c r="BH340" s="6" t="s">
        <v>4554</v>
      </c>
      <c r="BI340" t="s">
        <v>4555</v>
      </c>
      <c r="BJ340">
        <v>4453163191</v>
      </c>
      <c r="BK340" t="s">
        <v>162</v>
      </c>
      <c r="BL340" t="s">
        <v>161</v>
      </c>
      <c r="BM340" s="2"/>
      <c r="BN340">
        <v>9.1440300757632794E+17</v>
      </c>
      <c r="BR340" t="s">
        <v>180</v>
      </c>
      <c r="BS340" t="s">
        <v>103</v>
      </c>
      <c r="BU340">
        <v>0</v>
      </c>
      <c r="BV340">
        <v>0</v>
      </c>
      <c r="BW340">
        <v>0</v>
      </c>
      <c r="BX340">
        <v>0</v>
      </c>
      <c r="BY340">
        <v>0</v>
      </c>
      <c r="BZ340">
        <v>0</v>
      </c>
      <c r="CA340">
        <v>0</v>
      </c>
      <c r="CF340" s="2"/>
      <c r="CH340" s="2"/>
      <c r="CK340" t="s">
        <v>4402</v>
      </c>
      <c r="CL340">
        <v>43791.383217592593</v>
      </c>
      <c r="CO340" t="s">
        <v>11</v>
      </c>
      <c r="CP340">
        <v>3346.29</v>
      </c>
      <c r="CQ340" t="s">
        <v>11</v>
      </c>
      <c r="CR340">
        <v>3346.29</v>
      </c>
      <c r="CV340" t="s">
        <v>525</v>
      </c>
      <c r="CW340" t="s">
        <v>12</v>
      </c>
      <c r="CX340" t="s">
        <v>12</v>
      </c>
      <c r="CY340" t="s">
        <v>12</v>
      </c>
      <c r="DA340" t="s">
        <v>104</v>
      </c>
      <c r="DD340" t="s">
        <v>93</v>
      </c>
      <c r="DQ340" t="s">
        <v>94</v>
      </c>
      <c r="DR340" t="s">
        <v>94</v>
      </c>
      <c r="DS340" t="s">
        <v>94</v>
      </c>
      <c r="DT340" t="s">
        <v>94</v>
      </c>
      <c r="DU340" t="s">
        <v>94</v>
      </c>
      <c r="DV340" t="s">
        <v>94</v>
      </c>
      <c r="DW340" t="s">
        <v>94</v>
      </c>
      <c r="DX340" s="2" t="s">
        <v>94</v>
      </c>
      <c r="DY340" t="s">
        <v>94</v>
      </c>
      <c r="DZ340" t="s">
        <v>94</v>
      </c>
      <c r="EA340" t="s">
        <v>94</v>
      </c>
      <c r="EB340" t="s">
        <v>94</v>
      </c>
      <c r="EC340" t="s">
        <v>94</v>
      </c>
      <c r="ED340" t="s">
        <v>94</v>
      </c>
      <c r="EE340" t="s">
        <v>89</v>
      </c>
      <c r="EF340" t="s">
        <v>94</v>
      </c>
      <c r="EG340" t="s">
        <v>105</v>
      </c>
      <c r="EJ340" t="s">
        <v>166</v>
      </c>
      <c r="EK340" t="b">
        <v>0</v>
      </c>
      <c r="EL340" t="b">
        <v>0</v>
      </c>
      <c r="EM340" t="b">
        <v>0</v>
      </c>
    </row>
    <row r="341" spans="3:143" ht="15">
      <c r="C341" s="82">
        <v>13</v>
      </c>
      <c r="D341" s="5"/>
      <c r="E341" s="4">
        <v>2</v>
      </c>
      <c r="F341" s="5">
        <v>152</v>
      </c>
      <c r="G341" s="5" t="s">
        <v>4572</v>
      </c>
      <c r="H341" s="4" t="s">
        <v>4573</v>
      </c>
      <c r="I341" s="81" t="s">
        <v>920</v>
      </c>
      <c r="J341" s="21"/>
      <c r="K341" s="22" t="s">
        <v>4558</v>
      </c>
      <c r="L341" s="84" t="s">
        <v>4452</v>
      </c>
      <c r="M341" s="23" t="s">
        <v>920</v>
      </c>
      <c r="N341" s="23">
        <v>43791</v>
      </c>
      <c r="O341" s="24" t="s">
        <v>102</v>
      </c>
      <c r="P341" s="24" t="s">
        <v>480</v>
      </c>
      <c r="Q341" s="24">
        <v>2</v>
      </c>
      <c r="R341" s="24">
        <v>152</v>
      </c>
      <c r="S341" t="s">
        <v>528</v>
      </c>
      <c r="T341">
        <v>3426</v>
      </c>
      <c r="U341" s="2"/>
      <c r="W341" s="2"/>
      <c r="AB341" t="s">
        <v>9</v>
      </c>
      <c r="AC341" t="s">
        <v>4559</v>
      </c>
      <c r="AD341" t="s">
        <v>182</v>
      </c>
      <c r="AE341">
        <v>7973741</v>
      </c>
      <c r="AF341">
        <v>7973741</v>
      </c>
      <c r="AG341" t="s">
        <v>183</v>
      </c>
      <c r="AH341" t="s">
        <v>4560</v>
      </c>
      <c r="AI341" t="s">
        <v>4560</v>
      </c>
      <c r="AJ341" t="s">
        <v>508</v>
      </c>
      <c r="AK341" t="s">
        <v>509</v>
      </c>
      <c r="AL341" t="s">
        <v>4561</v>
      </c>
      <c r="AM341" t="s">
        <v>4562</v>
      </c>
      <c r="AO341" t="s">
        <v>4563</v>
      </c>
      <c r="AP341" t="s">
        <v>4564</v>
      </c>
      <c r="AR341">
        <v>13011</v>
      </c>
      <c r="AS341">
        <v>491346921</v>
      </c>
      <c r="AT341" t="s">
        <v>4565</v>
      </c>
      <c r="AU341" t="s">
        <v>10</v>
      </c>
      <c r="AV341" t="s">
        <v>4566</v>
      </c>
      <c r="AW341" t="s">
        <v>4566</v>
      </c>
      <c r="AX341" t="s">
        <v>4567</v>
      </c>
      <c r="AY341" s="2" t="s">
        <v>4568</v>
      </c>
      <c r="AZ341" t="s">
        <v>4569</v>
      </c>
      <c r="BA341" t="s">
        <v>194</v>
      </c>
      <c r="BB341" t="s">
        <v>272</v>
      </c>
      <c r="BC341" t="s">
        <v>188</v>
      </c>
      <c r="BD341">
        <v>518000</v>
      </c>
      <c r="BE341">
        <v>75542361233</v>
      </c>
      <c r="BG341" t="b">
        <v>0</v>
      </c>
      <c r="BH341" s="6" t="s">
        <v>4570</v>
      </c>
      <c r="BI341" t="s">
        <v>4571</v>
      </c>
      <c r="BJ341">
        <v>4453163191</v>
      </c>
      <c r="BK341" t="s">
        <v>162</v>
      </c>
      <c r="BL341" t="s">
        <v>161</v>
      </c>
      <c r="BM341" s="2"/>
      <c r="BR341" t="s">
        <v>189</v>
      </c>
      <c r="BS341" t="s">
        <v>103</v>
      </c>
      <c r="BU341">
        <v>0</v>
      </c>
      <c r="BV341">
        <v>0</v>
      </c>
      <c r="BW341">
        <v>0</v>
      </c>
      <c r="BX341">
        <v>0</v>
      </c>
      <c r="BY341">
        <v>0</v>
      </c>
      <c r="BZ341">
        <v>0</v>
      </c>
      <c r="CA341">
        <v>0</v>
      </c>
      <c r="CF341" s="2"/>
      <c r="CH341" s="2"/>
      <c r="CK341" t="s">
        <v>4402</v>
      </c>
      <c r="CL341">
        <v>43791.565358796295</v>
      </c>
      <c r="CO341" t="s">
        <v>11</v>
      </c>
      <c r="CP341">
        <v>26740.62</v>
      </c>
      <c r="CQ341" t="s">
        <v>11</v>
      </c>
      <c r="CR341">
        <v>26740.62</v>
      </c>
      <c r="CV341" t="s">
        <v>190</v>
      </c>
      <c r="CW341" t="s">
        <v>12</v>
      </c>
      <c r="CX341" t="s">
        <v>12</v>
      </c>
      <c r="CY341" t="s">
        <v>12</v>
      </c>
      <c r="DA341" t="s">
        <v>104</v>
      </c>
      <c r="DD341" t="s">
        <v>93</v>
      </c>
      <c r="DQ341" t="s">
        <v>94</v>
      </c>
      <c r="DR341" t="s">
        <v>94</v>
      </c>
      <c r="DS341" t="s">
        <v>94</v>
      </c>
      <c r="DT341" t="s">
        <v>94</v>
      </c>
      <c r="DU341" t="s">
        <v>94</v>
      </c>
      <c r="DV341" t="s">
        <v>94</v>
      </c>
      <c r="DW341" t="s">
        <v>94</v>
      </c>
      <c r="DX341" s="2" t="s">
        <v>94</v>
      </c>
      <c r="DY341" t="s">
        <v>94</v>
      </c>
      <c r="DZ341" t="s">
        <v>94</v>
      </c>
      <c r="EA341" t="s">
        <v>94</v>
      </c>
      <c r="EB341" t="s">
        <v>94</v>
      </c>
      <c r="EC341" t="s">
        <v>94</v>
      </c>
      <c r="ED341" t="s">
        <v>94</v>
      </c>
      <c r="EE341" t="s">
        <v>89</v>
      </c>
      <c r="EF341" t="s">
        <v>94</v>
      </c>
      <c r="EG341" t="s">
        <v>105</v>
      </c>
      <c r="EJ341" t="s">
        <v>166</v>
      </c>
      <c r="EK341" t="b">
        <v>0</v>
      </c>
      <c r="EL341" t="b">
        <v>0</v>
      </c>
      <c r="EM341" t="b">
        <v>0</v>
      </c>
    </row>
    <row r="342" spans="3:143" ht="15">
      <c r="C342" s="82">
        <v>13</v>
      </c>
      <c r="D342" s="5"/>
      <c r="E342" s="4">
        <v>1</v>
      </c>
      <c r="F342" s="5">
        <v>1.5</v>
      </c>
      <c r="G342" s="5" t="s">
        <v>4574</v>
      </c>
      <c r="H342" s="4" t="s">
        <v>4539</v>
      </c>
      <c r="I342" s="81" t="s">
        <v>920</v>
      </c>
      <c r="J342" s="21"/>
      <c r="K342" s="22" t="s">
        <v>4523</v>
      </c>
      <c r="L342" s="84" t="s">
        <v>4452</v>
      </c>
      <c r="M342" s="23" t="s">
        <v>920</v>
      </c>
      <c r="N342" s="23">
        <v>43791</v>
      </c>
      <c r="O342" s="24" t="s">
        <v>102</v>
      </c>
      <c r="P342" s="24" t="s">
        <v>480</v>
      </c>
      <c r="Q342" s="24">
        <v>1</v>
      </c>
      <c r="R342" s="24">
        <v>1.5</v>
      </c>
      <c r="S342" t="s">
        <v>319</v>
      </c>
      <c r="T342">
        <v>39</v>
      </c>
      <c r="U342" s="2"/>
      <c r="W342" s="2"/>
      <c r="AB342" t="s">
        <v>9</v>
      </c>
      <c r="AC342" t="s">
        <v>1230</v>
      </c>
      <c r="AD342" t="s">
        <v>482</v>
      </c>
      <c r="AE342" t="s">
        <v>183</v>
      </c>
      <c r="AF342" t="s">
        <v>183</v>
      </c>
      <c r="AG342" t="s">
        <v>4575</v>
      </c>
      <c r="AH342" t="s">
        <v>4524</v>
      </c>
      <c r="AI342" t="s">
        <v>4524</v>
      </c>
      <c r="AJ342" t="s">
        <v>1232</v>
      </c>
      <c r="AK342" t="s">
        <v>1233</v>
      </c>
      <c r="AL342" t="s">
        <v>4525</v>
      </c>
      <c r="AM342" t="s">
        <v>4526</v>
      </c>
      <c r="AO342" t="s">
        <v>1236</v>
      </c>
      <c r="AP342" t="s">
        <v>1233</v>
      </c>
      <c r="AR342">
        <v>641664</v>
      </c>
      <c r="AS342">
        <v>-96339707</v>
      </c>
      <c r="AT342" t="s">
        <v>4527</v>
      </c>
      <c r="AU342" t="s">
        <v>10</v>
      </c>
      <c r="AV342" t="s">
        <v>4528</v>
      </c>
      <c r="AW342" t="s">
        <v>4529</v>
      </c>
      <c r="AX342" t="s">
        <v>4530</v>
      </c>
      <c r="AY342" s="2" t="s">
        <v>4531</v>
      </c>
      <c r="AZ342" t="s">
        <v>4532</v>
      </c>
      <c r="BA342" t="s">
        <v>4533</v>
      </c>
      <c r="BB342" t="s">
        <v>626</v>
      </c>
      <c r="BC342" t="s">
        <v>496</v>
      </c>
      <c r="BD342">
        <v>410001</v>
      </c>
      <c r="BE342" t="s">
        <v>4534</v>
      </c>
      <c r="BF342" t="s">
        <v>4535</v>
      </c>
      <c r="BG342" t="b">
        <v>0</v>
      </c>
      <c r="BH342" s="6" t="s">
        <v>4536</v>
      </c>
      <c r="BI342" t="s">
        <v>4537</v>
      </c>
      <c r="BJ342">
        <v>4453163191</v>
      </c>
      <c r="BK342" t="s">
        <v>162</v>
      </c>
      <c r="BL342" t="s">
        <v>161</v>
      </c>
      <c r="BM342" s="2"/>
      <c r="BN342">
        <v>430111772254393</v>
      </c>
      <c r="BR342" t="s">
        <v>180</v>
      </c>
      <c r="BS342" t="s">
        <v>103</v>
      </c>
      <c r="BU342">
        <v>0</v>
      </c>
      <c r="BV342">
        <v>0</v>
      </c>
      <c r="BW342">
        <v>0</v>
      </c>
      <c r="BX342">
        <v>0</v>
      </c>
      <c r="BY342">
        <v>0</v>
      </c>
      <c r="BZ342">
        <v>0</v>
      </c>
      <c r="CA342">
        <v>0</v>
      </c>
      <c r="CF342" s="2"/>
      <c r="CH342" s="2"/>
      <c r="CK342" t="s">
        <v>4402</v>
      </c>
      <c r="CL342">
        <v>43791.382870370369</v>
      </c>
      <c r="CO342" t="s">
        <v>11</v>
      </c>
      <c r="CP342" t="s">
        <v>4576</v>
      </c>
      <c r="CQ342" t="s">
        <v>11</v>
      </c>
      <c r="CR342">
        <v>275.91000000000003</v>
      </c>
      <c r="CV342" t="s">
        <v>525</v>
      </c>
      <c r="CW342" t="s">
        <v>12</v>
      </c>
      <c r="CX342" t="s">
        <v>12</v>
      </c>
      <c r="CY342" t="s">
        <v>12</v>
      </c>
      <c r="DA342" t="s">
        <v>104</v>
      </c>
      <c r="DD342" t="s">
        <v>93</v>
      </c>
      <c r="DQ342" t="s">
        <v>94</v>
      </c>
      <c r="DR342" t="s">
        <v>94</v>
      </c>
      <c r="DS342" t="s">
        <v>94</v>
      </c>
      <c r="DT342" t="s">
        <v>94</v>
      </c>
      <c r="DU342" t="s">
        <v>94</v>
      </c>
      <c r="DV342" t="s">
        <v>94</v>
      </c>
      <c r="DW342" t="s">
        <v>94</v>
      </c>
      <c r="DX342" s="2" t="s">
        <v>94</v>
      </c>
      <c r="DY342" t="s">
        <v>94</v>
      </c>
      <c r="DZ342" t="s">
        <v>94</v>
      </c>
      <c r="EA342" t="s">
        <v>94</v>
      </c>
      <c r="EB342" t="s">
        <v>94</v>
      </c>
      <c r="EC342" t="s">
        <v>94</v>
      </c>
      <c r="ED342" t="s">
        <v>94</v>
      </c>
      <c r="EE342" t="s">
        <v>89</v>
      </c>
      <c r="EF342" t="s">
        <v>425</v>
      </c>
      <c r="EG342" t="s">
        <v>105</v>
      </c>
      <c r="EJ342" t="s">
        <v>166</v>
      </c>
      <c r="EK342" t="b">
        <v>0</v>
      </c>
      <c r="EL342" t="b">
        <v>0</v>
      </c>
      <c r="EM342" t="b">
        <v>0</v>
      </c>
    </row>
    <row r="343" spans="3:143">
      <c r="C343" s="4">
        <v>3</v>
      </c>
      <c r="D343" s="4"/>
      <c r="E343" s="4">
        <v>1</v>
      </c>
      <c r="F343" s="4">
        <v>18.88</v>
      </c>
      <c r="G343" s="5" t="s">
        <v>4574</v>
      </c>
      <c r="H343" s="4" t="s">
        <v>4557</v>
      </c>
      <c r="I343" s="4" t="s">
        <v>920</v>
      </c>
      <c r="J343" s="5"/>
      <c r="K343" s="22" t="s">
        <v>4540</v>
      </c>
      <c r="L343" s="84" t="s">
        <v>4452</v>
      </c>
      <c r="M343" s="23" t="s">
        <v>920</v>
      </c>
      <c r="N343" s="23">
        <v>43791</v>
      </c>
      <c r="O343" s="24" t="s">
        <v>102</v>
      </c>
      <c r="P343" s="24" t="s">
        <v>480</v>
      </c>
      <c r="Q343" s="24">
        <v>1</v>
      </c>
      <c r="R343" s="24">
        <v>18.88</v>
      </c>
      <c r="S343" t="s">
        <v>319</v>
      </c>
      <c r="T343">
        <v>473</v>
      </c>
      <c r="U343" s="2"/>
      <c r="W343" s="2"/>
      <c r="AB343" t="s">
        <v>9</v>
      </c>
      <c r="AC343" t="s">
        <v>1143</v>
      </c>
      <c r="AD343" t="s">
        <v>182</v>
      </c>
      <c r="AE343" t="s">
        <v>183</v>
      </c>
      <c r="AF343" t="s">
        <v>183</v>
      </c>
      <c r="AG343" t="s">
        <v>4577</v>
      </c>
      <c r="AH343" t="s">
        <v>4541</v>
      </c>
      <c r="AI343" t="s">
        <v>4542</v>
      </c>
      <c r="AJ343" t="s">
        <v>644</v>
      </c>
      <c r="AK343" t="s">
        <v>645</v>
      </c>
      <c r="AL343" t="s">
        <v>4543</v>
      </c>
      <c r="AM343" t="s">
        <v>4544</v>
      </c>
      <c r="AN343" t="s">
        <v>4545</v>
      </c>
      <c r="AO343" t="s">
        <v>4546</v>
      </c>
      <c r="AP343" t="s">
        <v>1149</v>
      </c>
      <c r="AR343">
        <v>43200</v>
      </c>
      <c r="AS343">
        <v>60123321772</v>
      </c>
      <c r="AT343" t="s">
        <v>4547</v>
      </c>
      <c r="AU343" t="s">
        <v>10</v>
      </c>
      <c r="AV343" t="s">
        <v>4548</v>
      </c>
      <c r="AW343" t="s">
        <v>4548</v>
      </c>
      <c r="AX343" t="s">
        <v>4549</v>
      </c>
      <c r="AY343" t="s">
        <v>4550</v>
      </c>
      <c r="AZ343" t="s">
        <v>4551</v>
      </c>
      <c r="BA343" t="s">
        <v>194</v>
      </c>
      <c r="BB343" t="s">
        <v>272</v>
      </c>
      <c r="BC343" t="s">
        <v>188</v>
      </c>
      <c r="BD343">
        <v>518000</v>
      </c>
      <c r="BE343" t="s">
        <v>4552</v>
      </c>
      <c r="BF343" t="s">
        <v>4553</v>
      </c>
      <c r="BG343" t="b">
        <v>0</v>
      </c>
      <c r="BH343" s="6" t="s">
        <v>4554</v>
      </c>
      <c r="BI343" t="s">
        <v>4555</v>
      </c>
      <c r="BJ343">
        <v>4453163191</v>
      </c>
      <c r="BK343" t="s">
        <v>162</v>
      </c>
      <c r="BL343" t="s">
        <v>161</v>
      </c>
      <c r="BM343" s="2"/>
      <c r="BN343">
        <v>9.1440300757632794E+17</v>
      </c>
      <c r="BR343" t="s">
        <v>180</v>
      </c>
      <c r="BS343" t="s">
        <v>103</v>
      </c>
      <c r="BU343">
        <v>0</v>
      </c>
      <c r="BV343">
        <v>0</v>
      </c>
      <c r="BW343">
        <v>0</v>
      </c>
      <c r="BX343">
        <v>0</v>
      </c>
      <c r="BY343">
        <v>0</v>
      </c>
      <c r="BZ343">
        <v>0</v>
      </c>
      <c r="CA343">
        <v>0</v>
      </c>
      <c r="CF343" s="2"/>
      <c r="CH343" s="2"/>
      <c r="CK343" t="s">
        <v>4402</v>
      </c>
      <c r="CL343">
        <v>43791.383217592593</v>
      </c>
      <c r="CO343" t="s">
        <v>11</v>
      </c>
      <c r="CP343" t="s">
        <v>4578</v>
      </c>
      <c r="CQ343" t="s">
        <v>11</v>
      </c>
      <c r="CR343">
        <v>3346.29</v>
      </c>
      <c r="CV343" t="s">
        <v>525</v>
      </c>
      <c r="CW343" t="s">
        <v>12</v>
      </c>
      <c r="CX343" t="s">
        <v>12</v>
      </c>
      <c r="CY343" t="s">
        <v>12</v>
      </c>
      <c r="DA343" t="s">
        <v>104</v>
      </c>
      <c r="DD343" t="s">
        <v>93</v>
      </c>
      <c r="DQ343" t="s">
        <v>94</v>
      </c>
      <c r="DR343" t="s">
        <v>94</v>
      </c>
      <c r="DS343" t="s">
        <v>94</v>
      </c>
      <c r="DT343" t="s">
        <v>94</v>
      </c>
      <c r="DU343" t="s">
        <v>94</v>
      </c>
      <c r="DV343" t="s">
        <v>94</v>
      </c>
      <c r="DW343" t="s">
        <v>94</v>
      </c>
      <c r="DX343" s="2" t="s">
        <v>94</v>
      </c>
      <c r="DY343" t="s">
        <v>94</v>
      </c>
      <c r="DZ343" t="s">
        <v>94</v>
      </c>
      <c r="EA343" t="s">
        <v>94</v>
      </c>
      <c r="EB343" t="s">
        <v>94</v>
      </c>
      <c r="EC343" t="s">
        <v>94</v>
      </c>
      <c r="ED343" t="s">
        <v>94</v>
      </c>
      <c r="EE343" t="s">
        <v>89</v>
      </c>
      <c r="EF343" t="s">
        <v>94</v>
      </c>
      <c r="EG343" t="s">
        <v>105</v>
      </c>
      <c r="EJ343" t="s">
        <v>166</v>
      </c>
      <c r="EK343" t="b">
        <v>0</v>
      </c>
      <c r="EL343" t="b">
        <v>0</v>
      </c>
      <c r="EM343" t="b">
        <v>0</v>
      </c>
    </row>
    <row r="344" spans="3:143">
      <c r="C344" s="4">
        <v>3</v>
      </c>
      <c r="D344" s="5"/>
      <c r="E344" s="5">
        <v>2</v>
      </c>
      <c r="F344" s="4">
        <v>152</v>
      </c>
      <c r="G344" s="5" t="s">
        <v>4574</v>
      </c>
      <c r="H344" s="4" t="s">
        <v>4573</v>
      </c>
      <c r="I344" s="4" t="s">
        <v>920</v>
      </c>
      <c r="J344" s="4"/>
      <c r="K344" s="22" t="s">
        <v>4558</v>
      </c>
      <c r="L344" s="84" t="s">
        <v>4452</v>
      </c>
      <c r="M344" s="23" t="s">
        <v>920</v>
      </c>
      <c r="N344" s="23">
        <v>43791</v>
      </c>
      <c r="O344" s="24" t="s">
        <v>102</v>
      </c>
      <c r="P344" s="24" t="s">
        <v>480</v>
      </c>
      <c r="Q344" s="24">
        <v>2</v>
      </c>
      <c r="R344" s="24">
        <v>152</v>
      </c>
      <c r="S344" t="s">
        <v>528</v>
      </c>
      <c r="T344">
        <v>3426</v>
      </c>
      <c r="U344" s="2"/>
      <c r="W344" s="2"/>
      <c r="AB344" t="s">
        <v>9</v>
      </c>
      <c r="AC344" t="s">
        <v>4559</v>
      </c>
      <c r="AD344" t="s">
        <v>182</v>
      </c>
      <c r="AE344" t="s">
        <v>4579</v>
      </c>
      <c r="AF344" t="s">
        <v>4579</v>
      </c>
      <c r="AG344" t="s">
        <v>183</v>
      </c>
      <c r="AH344" t="s">
        <v>4560</v>
      </c>
      <c r="AI344" t="s">
        <v>4560</v>
      </c>
      <c r="AJ344" t="s">
        <v>508</v>
      </c>
      <c r="AK344" t="s">
        <v>509</v>
      </c>
      <c r="AL344" t="s">
        <v>4561</v>
      </c>
      <c r="AM344" t="s">
        <v>4562</v>
      </c>
      <c r="AO344" t="s">
        <v>4563</v>
      </c>
      <c r="AP344" t="s">
        <v>4564</v>
      </c>
      <c r="AR344">
        <v>13011</v>
      </c>
      <c r="AS344">
        <v>491346921</v>
      </c>
      <c r="AT344" t="s">
        <v>4565</v>
      </c>
      <c r="AU344" t="s">
        <v>10</v>
      </c>
      <c r="AV344" t="s">
        <v>4566</v>
      </c>
      <c r="AW344" t="s">
        <v>4566</v>
      </c>
      <c r="AX344" t="s">
        <v>4567</v>
      </c>
      <c r="AY344" t="s">
        <v>4568</v>
      </c>
      <c r="AZ344" t="s">
        <v>4569</v>
      </c>
      <c r="BA344" t="s">
        <v>194</v>
      </c>
      <c r="BB344" t="s">
        <v>272</v>
      </c>
      <c r="BC344" t="s">
        <v>188</v>
      </c>
      <c r="BD344">
        <v>518000</v>
      </c>
      <c r="BE344" t="s">
        <v>4580</v>
      </c>
      <c r="BG344" t="b">
        <v>0</v>
      </c>
      <c r="BH344" s="6" t="s">
        <v>4570</v>
      </c>
      <c r="BI344" t="s">
        <v>4571</v>
      </c>
      <c r="BJ344">
        <v>4453163191</v>
      </c>
      <c r="BK344" t="s">
        <v>162</v>
      </c>
      <c r="BL344" t="s">
        <v>161</v>
      </c>
      <c r="BM344" s="2"/>
      <c r="BR344" t="s">
        <v>189</v>
      </c>
      <c r="BS344" t="s">
        <v>103</v>
      </c>
      <c r="BU344">
        <v>0</v>
      </c>
      <c r="BV344">
        <v>0</v>
      </c>
      <c r="BW344">
        <v>0</v>
      </c>
      <c r="BX344">
        <v>0</v>
      </c>
      <c r="BY344">
        <v>0</v>
      </c>
      <c r="BZ344">
        <v>0</v>
      </c>
      <c r="CA344">
        <v>0</v>
      </c>
      <c r="CF344" s="2"/>
      <c r="CH344" s="2"/>
      <c r="CK344" t="s">
        <v>4402</v>
      </c>
      <c r="CL344">
        <v>43791.565358796295</v>
      </c>
      <c r="CO344" t="s">
        <v>11</v>
      </c>
      <c r="CP344" t="s">
        <v>4581</v>
      </c>
      <c r="CQ344" t="s">
        <v>11</v>
      </c>
      <c r="CR344">
        <v>26740.62</v>
      </c>
      <c r="CV344" t="s">
        <v>190</v>
      </c>
      <c r="CW344" t="s">
        <v>12</v>
      </c>
      <c r="CX344" t="s">
        <v>12</v>
      </c>
      <c r="CY344" t="s">
        <v>12</v>
      </c>
      <c r="DA344" t="s">
        <v>104</v>
      </c>
      <c r="DD344" t="s">
        <v>93</v>
      </c>
      <c r="DQ344" t="s">
        <v>94</v>
      </c>
      <c r="DR344" t="s">
        <v>94</v>
      </c>
      <c r="DS344" t="s">
        <v>94</v>
      </c>
      <c r="DT344" t="s">
        <v>94</v>
      </c>
      <c r="DU344" t="s">
        <v>94</v>
      </c>
      <c r="DV344" t="s">
        <v>94</v>
      </c>
      <c r="DW344" t="s">
        <v>94</v>
      </c>
      <c r="DX344" s="2" t="s">
        <v>94</v>
      </c>
      <c r="DY344" t="s">
        <v>94</v>
      </c>
      <c r="DZ344" t="s">
        <v>94</v>
      </c>
      <c r="EA344" t="s">
        <v>94</v>
      </c>
      <c r="EB344" t="s">
        <v>94</v>
      </c>
      <c r="EC344" t="s">
        <v>94</v>
      </c>
      <c r="ED344" t="s">
        <v>94</v>
      </c>
      <c r="EE344" t="s">
        <v>89</v>
      </c>
      <c r="EF344" t="s">
        <v>94</v>
      </c>
      <c r="EG344" t="s">
        <v>105</v>
      </c>
      <c r="EJ344" t="s">
        <v>166</v>
      </c>
      <c r="EK344" t="b">
        <v>0</v>
      </c>
      <c r="EL344" t="b">
        <v>0</v>
      </c>
      <c r="EM344" t="b">
        <v>0</v>
      </c>
    </row>
    <row r="345" spans="3:143" ht="15">
      <c r="C345" s="82">
        <v>13</v>
      </c>
      <c r="D345" s="5"/>
      <c r="E345" s="4">
        <v>1</v>
      </c>
      <c r="F345" s="5">
        <v>1.5</v>
      </c>
      <c r="G345" s="5" t="s">
        <v>4582</v>
      </c>
      <c r="H345" s="4" t="s">
        <v>4539</v>
      </c>
      <c r="I345" s="81" t="s">
        <v>920</v>
      </c>
      <c r="J345" s="21"/>
      <c r="K345" s="22" t="s">
        <v>4523</v>
      </c>
      <c r="L345" s="84" t="s">
        <v>4452</v>
      </c>
      <c r="M345" s="23" t="s">
        <v>920</v>
      </c>
      <c r="N345" s="23">
        <v>43791</v>
      </c>
      <c r="O345" s="24" t="s">
        <v>102</v>
      </c>
      <c r="P345" s="24" t="s">
        <v>480</v>
      </c>
      <c r="Q345" s="24">
        <v>1</v>
      </c>
      <c r="R345" s="24">
        <v>1.5</v>
      </c>
      <c r="S345" t="s">
        <v>319</v>
      </c>
      <c r="T345">
        <v>39</v>
      </c>
      <c r="U345" s="2"/>
      <c r="W345" s="2"/>
      <c r="AB345" t="s">
        <v>9</v>
      </c>
      <c r="AC345" t="s">
        <v>1230</v>
      </c>
      <c r="AD345" t="s">
        <v>482</v>
      </c>
      <c r="AE345" t="s">
        <v>183</v>
      </c>
      <c r="AF345" t="s">
        <v>183</v>
      </c>
      <c r="AG345" t="s">
        <v>4575</v>
      </c>
      <c r="AH345" t="s">
        <v>4524</v>
      </c>
      <c r="AI345" t="s">
        <v>4524</v>
      </c>
      <c r="AJ345" t="s">
        <v>1232</v>
      </c>
      <c r="AK345" t="s">
        <v>1233</v>
      </c>
      <c r="AL345" t="s">
        <v>4525</v>
      </c>
      <c r="AM345" t="s">
        <v>4526</v>
      </c>
      <c r="AO345" t="s">
        <v>1236</v>
      </c>
      <c r="AP345" t="s">
        <v>1233</v>
      </c>
      <c r="AR345">
        <v>641664</v>
      </c>
      <c r="AS345">
        <v>-96339707</v>
      </c>
      <c r="AT345" t="s">
        <v>4527</v>
      </c>
      <c r="AU345" t="s">
        <v>10</v>
      </c>
      <c r="AV345" t="s">
        <v>4528</v>
      </c>
      <c r="AW345" t="s">
        <v>4529</v>
      </c>
      <c r="AX345" t="s">
        <v>4530</v>
      </c>
      <c r="AY345" s="2" t="s">
        <v>4531</v>
      </c>
      <c r="AZ345" t="s">
        <v>4532</v>
      </c>
      <c r="BA345" t="s">
        <v>4533</v>
      </c>
      <c r="BB345" t="s">
        <v>626</v>
      </c>
      <c r="BC345" t="s">
        <v>496</v>
      </c>
      <c r="BD345">
        <v>410001</v>
      </c>
      <c r="BE345" t="s">
        <v>4534</v>
      </c>
      <c r="BF345" t="s">
        <v>4535</v>
      </c>
      <c r="BG345" t="b">
        <v>0</v>
      </c>
      <c r="BH345" s="6" t="s">
        <v>4536</v>
      </c>
      <c r="BI345" t="s">
        <v>4537</v>
      </c>
      <c r="BJ345">
        <v>4453163191</v>
      </c>
      <c r="BK345" t="s">
        <v>162</v>
      </c>
      <c r="BL345" t="s">
        <v>161</v>
      </c>
      <c r="BM345" s="2"/>
      <c r="BN345">
        <v>430111772254393</v>
      </c>
      <c r="BR345" t="s">
        <v>180</v>
      </c>
      <c r="BS345" t="s">
        <v>103</v>
      </c>
      <c r="BU345">
        <v>0</v>
      </c>
      <c r="BV345">
        <v>0</v>
      </c>
      <c r="BW345">
        <v>0</v>
      </c>
      <c r="BX345">
        <v>0</v>
      </c>
      <c r="BY345">
        <v>0</v>
      </c>
      <c r="BZ345">
        <v>0</v>
      </c>
      <c r="CA345">
        <v>0</v>
      </c>
      <c r="CF345" s="2"/>
      <c r="CH345" s="2"/>
      <c r="CK345" t="s">
        <v>4402</v>
      </c>
      <c r="CL345">
        <v>43791.382870370369</v>
      </c>
      <c r="CO345" t="s">
        <v>11</v>
      </c>
      <c r="CP345" t="s">
        <v>4576</v>
      </c>
      <c r="CQ345" t="s">
        <v>11</v>
      </c>
      <c r="CR345">
        <v>275.91000000000003</v>
      </c>
      <c r="CV345" t="s">
        <v>525</v>
      </c>
      <c r="CW345" t="s">
        <v>12</v>
      </c>
      <c r="CX345" t="s">
        <v>12</v>
      </c>
      <c r="CY345" t="s">
        <v>12</v>
      </c>
      <c r="DA345" t="s">
        <v>104</v>
      </c>
      <c r="DD345" t="s">
        <v>93</v>
      </c>
      <c r="DQ345" t="s">
        <v>94</v>
      </c>
      <c r="DR345" t="s">
        <v>94</v>
      </c>
      <c r="DS345" t="s">
        <v>94</v>
      </c>
      <c r="DT345" t="s">
        <v>94</v>
      </c>
      <c r="DU345" t="s">
        <v>94</v>
      </c>
      <c r="DV345" t="s">
        <v>94</v>
      </c>
      <c r="DW345" t="s">
        <v>94</v>
      </c>
      <c r="DX345" s="2" t="s">
        <v>94</v>
      </c>
      <c r="DY345" t="s">
        <v>94</v>
      </c>
      <c r="DZ345" t="s">
        <v>94</v>
      </c>
      <c r="EA345" t="s">
        <v>94</v>
      </c>
      <c r="EB345" t="s">
        <v>94</v>
      </c>
      <c r="EC345" t="s">
        <v>94</v>
      </c>
      <c r="ED345" t="s">
        <v>94</v>
      </c>
      <c r="EE345" t="s">
        <v>89</v>
      </c>
      <c r="EF345" t="s">
        <v>425</v>
      </c>
      <c r="EG345" t="s">
        <v>105</v>
      </c>
      <c r="EJ345" t="s">
        <v>166</v>
      </c>
      <c r="EK345" t="b">
        <v>0</v>
      </c>
      <c r="EL345" t="b">
        <v>0</v>
      </c>
      <c r="EM345" t="b">
        <v>0</v>
      </c>
    </row>
    <row r="346" spans="3:143">
      <c r="C346" s="4">
        <v>3</v>
      </c>
      <c r="D346" s="4"/>
      <c r="E346" s="4">
        <v>1</v>
      </c>
      <c r="F346" s="4">
        <v>18.88</v>
      </c>
      <c r="G346" s="5" t="s">
        <v>4582</v>
      </c>
      <c r="H346" s="4" t="s">
        <v>4557</v>
      </c>
      <c r="I346" s="4" t="s">
        <v>920</v>
      </c>
      <c r="J346" s="5"/>
      <c r="K346" s="22" t="s">
        <v>4540</v>
      </c>
      <c r="L346" s="84" t="s">
        <v>4452</v>
      </c>
      <c r="M346" s="23" t="s">
        <v>920</v>
      </c>
      <c r="N346" s="23">
        <v>43791</v>
      </c>
      <c r="O346" s="24" t="s">
        <v>102</v>
      </c>
      <c r="P346" s="24" t="s">
        <v>480</v>
      </c>
      <c r="Q346" s="24">
        <v>1</v>
      </c>
      <c r="R346" s="24">
        <v>18.88</v>
      </c>
      <c r="S346" t="s">
        <v>319</v>
      </c>
      <c r="T346">
        <v>473</v>
      </c>
      <c r="U346" s="2"/>
      <c r="W346" s="2"/>
      <c r="AB346" t="s">
        <v>9</v>
      </c>
      <c r="AC346" t="s">
        <v>1143</v>
      </c>
      <c r="AD346" t="s">
        <v>182</v>
      </c>
      <c r="AE346" t="s">
        <v>183</v>
      </c>
      <c r="AF346" t="s">
        <v>183</v>
      </c>
      <c r="AG346" t="s">
        <v>4577</v>
      </c>
      <c r="AH346" t="s">
        <v>4541</v>
      </c>
      <c r="AI346" t="s">
        <v>4542</v>
      </c>
      <c r="AJ346" t="s">
        <v>644</v>
      </c>
      <c r="AK346" t="s">
        <v>645</v>
      </c>
      <c r="AL346" t="s">
        <v>4543</v>
      </c>
      <c r="AM346" t="s">
        <v>4544</v>
      </c>
      <c r="AN346" t="s">
        <v>4545</v>
      </c>
      <c r="AO346" t="s">
        <v>4546</v>
      </c>
      <c r="AP346" t="s">
        <v>1149</v>
      </c>
      <c r="AR346">
        <v>43200</v>
      </c>
      <c r="AS346">
        <v>60123321772</v>
      </c>
      <c r="AT346" t="s">
        <v>4547</v>
      </c>
      <c r="AU346" t="s">
        <v>10</v>
      </c>
      <c r="AV346" t="s">
        <v>4548</v>
      </c>
      <c r="AW346" t="s">
        <v>4548</v>
      </c>
      <c r="AX346" t="s">
        <v>4549</v>
      </c>
      <c r="AY346" t="s">
        <v>4550</v>
      </c>
      <c r="AZ346" t="s">
        <v>4551</v>
      </c>
      <c r="BA346" t="s">
        <v>194</v>
      </c>
      <c r="BB346" t="s">
        <v>272</v>
      </c>
      <c r="BC346" t="s">
        <v>188</v>
      </c>
      <c r="BD346">
        <v>518000</v>
      </c>
      <c r="BE346" t="s">
        <v>4552</v>
      </c>
      <c r="BF346" t="s">
        <v>4553</v>
      </c>
      <c r="BG346" t="b">
        <v>0</v>
      </c>
      <c r="BH346" s="6" t="s">
        <v>4554</v>
      </c>
      <c r="BI346" t="s">
        <v>4555</v>
      </c>
      <c r="BJ346">
        <v>4453163191</v>
      </c>
      <c r="BK346" t="s">
        <v>162</v>
      </c>
      <c r="BL346" t="s">
        <v>161</v>
      </c>
      <c r="BM346" s="2"/>
      <c r="BN346">
        <v>9.1440300757632794E+17</v>
      </c>
      <c r="BR346" t="s">
        <v>180</v>
      </c>
      <c r="BS346" t="s">
        <v>103</v>
      </c>
      <c r="BU346">
        <v>0</v>
      </c>
      <c r="BV346">
        <v>0</v>
      </c>
      <c r="BW346">
        <v>0</v>
      </c>
      <c r="BX346">
        <v>0</v>
      </c>
      <c r="BY346">
        <v>0</v>
      </c>
      <c r="BZ346">
        <v>0</v>
      </c>
      <c r="CA346">
        <v>0</v>
      </c>
      <c r="CF346" s="2"/>
      <c r="CH346" s="2"/>
      <c r="CK346" t="s">
        <v>4402</v>
      </c>
      <c r="CL346">
        <v>43791.383217592593</v>
      </c>
      <c r="CO346" t="s">
        <v>11</v>
      </c>
      <c r="CP346" t="s">
        <v>4578</v>
      </c>
      <c r="CQ346" t="s">
        <v>11</v>
      </c>
      <c r="CR346">
        <v>3346.29</v>
      </c>
      <c r="CV346" t="s">
        <v>525</v>
      </c>
      <c r="CW346" t="s">
        <v>12</v>
      </c>
      <c r="CX346" t="s">
        <v>12</v>
      </c>
      <c r="CY346" t="s">
        <v>12</v>
      </c>
      <c r="DA346" t="s">
        <v>104</v>
      </c>
      <c r="DD346" t="s">
        <v>93</v>
      </c>
      <c r="DQ346" t="s">
        <v>94</v>
      </c>
      <c r="DR346" t="s">
        <v>94</v>
      </c>
      <c r="DS346" t="s">
        <v>94</v>
      </c>
      <c r="DT346" t="s">
        <v>94</v>
      </c>
      <c r="DU346" t="s">
        <v>94</v>
      </c>
      <c r="DV346" t="s">
        <v>94</v>
      </c>
      <c r="DW346" t="s">
        <v>94</v>
      </c>
      <c r="DX346" s="2" t="s">
        <v>94</v>
      </c>
      <c r="DY346" t="s">
        <v>94</v>
      </c>
      <c r="DZ346" t="s">
        <v>94</v>
      </c>
      <c r="EA346" t="s">
        <v>94</v>
      </c>
      <c r="EB346" t="s">
        <v>94</v>
      </c>
      <c r="EC346" t="s">
        <v>94</v>
      </c>
      <c r="ED346" t="s">
        <v>94</v>
      </c>
      <c r="EE346" t="s">
        <v>89</v>
      </c>
      <c r="EF346" t="s">
        <v>94</v>
      </c>
      <c r="EG346" t="s">
        <v>105</v>
      </c>
      <c r="EJ346" t="s">
        <v>166</v>
      </c>
      <c r="EK346" t="b">
        <v>0</v>
      </c>
      <c r="EL346" t="b">
        <v>0</v>
      </c>
      <c r="EM346" t="b">
        <v>0</v>
      </c>
    </row>
    <row r="347" spans="3:143" ht="15">
      <c r="C347" s="82">
        <v>131</v>
      </c>
      <c r="D347" s="5">
        <v>237.5</v>
      </c>
      <c r="E347" s="4">
        <v>2</v>
      </c>
      <c r="F347" s="5">
        <v>237.5</v>
      </c>
      <c r="G347" s="5" t="s">
        <v>4583</v>
      </c>
      <c r="H347" s="4" t="s">
        <v>4573</v>
      </c>
      <c r="I347" s="81" t="s">
        <v>920</v>
      </c>
      <c r="J347" s="21"/>
      <c r="K347" s="22" t="s">
        <v>4558</v>
      </c>
      <c r="L347" s="84" t="s">
        <v>4452</v>
      </c>
      <c r="M347" s="23" t="s">
        <v>920</v>
      </c>
      <c r="N347" s="23">
        <v>43791</v>
      </c>
      <c r="O347" s="24" t="s">
        <v>102</v>
      </c>
      <c r="P347" s="24" t="s">
        <v>480</v>
      </c>
      <c r="Q347" s="24">
        <v>2</v>
      </c>
      <c r="R347" s="24">
        <v>152</v>
      </c>
      <c r="S347" t="s">
        <v>528</v>
      </c>
      <c r="T347">
        <v>3426</v>
      </c>
      <c r="U347" s="2"/>
      <c r="W347" s="2"/>
      <c r="AB347" t="s">
        <v>9</v>
      </c>
      <c r="AC347" t="s">
        <v>4559</v>
      </c>
      <c r="AD347" t="s">
        <v>182</v>
      </c>
      <c r="AE347">
        <v>7973741</v>
      </c>
      <c r="AF347">
        <v>7973741</v>
      </c>
      <c r="AG347" t="s">
        <v>183</v>
      </c>
      <c r="AH347" t="s">
        <v>4560</v>
      </c>
      <c r="AI347" t="s">
        <v>4560</v>
      </c>
      <c r="AJ347" t="s">
        <v>508</v>
      </c>
      <c r="AK347" t="s">
        <v>509</v>
      </c>
      <c r="AL347" t="s">
        <v>4561</v>
      </c>
      <c r="AM347" t="s">
        <v>4562</v>
      </c>
      <c r="AO347" t="s">
        <v>4563</v>
      </c>
      <c r="AP347" t="s">
        <v>4564</v>
      </c>
      <c r="AR347">
        <v>13011</v>
      </c>
      <c r="AS347">
        <v>491346921</v>
      </c>
      <c r="AT347" t="s">
        <v>4565</v>
      </c>
      <c r="AU347" t="s">
        <v>10</v>
      </c>
      <c r="AV347" t="s">
        <v>4566</v>
      </c>
      <c r="AW347" t="s">
        <v>4566</v>
      </c>
      <c r="AX347" t="s">
        <v>4567</v>
      </c>
      <c r="AY347" s="2" t="s">
        <v>4568</v>
      </c>
      <c r="AZ347" t="s">
        <v>4569</v>
      </c>
      <c r="BA347" t="s">
        <v>194</v>
      </c>
      <c r="BB347" t="s">
        <v>272</v>
      </c>
      <c r="BC347" t="s">
        <v>188</v>
      </c>
      <c r="BD347">
        <v>518000</v>
      </c>
      <c r="BE347">
        <v>75542361233</v>
      </c>
      <c r="BG347" t="b">
        <v>0</v>
      </c>
      <c r="BH347" s="6" t="s">
        <v>4570</v>
      </c>
      <c r="BI347" t="s">
        <v>4571</v>
      </c>
      <c r="BJ347">
        <v>4453163191</v>
      </c>
      <c r="BK347" t="s">
        <v>162</v>
      </c>
      <c r="BL347" t="s">
        <v>161</v>
      </c>
      <c r="BM347" s="2"/>
      <c r="BR347" t="s">
        <v>189</v>
      </c>
      <c r="BS347" t="s">
        <v>103</v>
      </c>
      <c r="BU347">
        <v>0</v>
      </c>
      <c r="BV347">
        <v>0</v>
      </c>
      <c r="BW347">
        <v>0</v>
      </c>
      <c r="BX347">
        <v>0</v>
      </c>
      <c r="BY347">
        <v>0</v>
      </c>
      <c r="BZ347">
        <v>0</v>
      </c>
      <c r="CA347">
        <v>0</v>
      </c>
      <c r="CF347" s="2"/>
      <c r="CH347" s="2"/>
      <c r="CK347" t="s">
        <v>4402</v>
      </c>
      <c r="CL347">
        <v>43791.565358796295</v>
      </c>
      <c r="CO347" t="s">
        <v>11</v>
      </c>
      <c r="CP347" t="s">
        <v>4581</v>
      </c>
      <c r="CQ347" t="s">
        <v>11</v>
      </c>
      <c r="CR347">
        <v>26740.62</v>
      </c>
      <c r="CV347" t="s">
        <v>190</v>
      </c>
      <c r="CW347" t="s">
        <v>12</v>
      </c>
      <c r="CX347" t="s">
        <v>12</v>
      </c>
      <c r="CY347" t="s">
        <v>12</v>
      </c>
      <c r="DA347" t="s">
        <v>104</v>
      </c>
      <c r="DD347" t="s">
        <v>93</v>
      </c>
      <c r="DQ347" t="s">
        <v>94</v>
      </c>
      <c r="DR347" t="s">
        <v>94</v>
      </c>
      <c r="DS347" t="s">
        <v>94</v>
      </c>
      <c r="DT347" t="s">
        <v>94</v>
      </c>
      <c r="DU347" t="s">
        <v>94</v>
      </c>
      <c r="DV347" t="s">
        <v>94</v>
      </c>
      <c r="DW347" t="s">
        <v>94</v>
      </c>
      <c r="DX347" s="2" t="s">
        <v>94</v>
      </c>
      <c r="DY347" t="s">
        <v>94</v>
      </c>
      <c r="DZ347" t="s">
        <v>94</v>
      </c>
      <c r="EA347" t="s">
        <v>94</v>
      </c>
      <c r="EB347" t="s">
        <v>94</v>
      </c>
      <c r="EC347" t="s">
        <v>94</v>
      </c>
      <c r="ED347" t="s">
        <v>94</v>
      </c>
      <c r="EE347" t="s">
        <v>89</v>
      </c>
      <c r="EF347" t="s">
        <v>94</v>
      </c>
      <c r="EG347" t="s">
        <v>105</v>
      </c>
      <c r="EJ347" t="s">
        <v>166</v>
      </c>
      <c r="EK347" t="b">
        <v>0</v>
      </c>
      <c r="EL347" t="b">
        <v>0</v>
      </c>
      <c r="EM347" t="b">
        <v>0</v>
      </c>
    </row>
    <row r="348" spans="3:143" ht="15">
      <c r="C348" s="82">
        <v>12</v>
      </c>
      <c r="D348" s="5">
        <v>237</v>
      </c>
      <c r="E348" s="4">
        <v>2</v>
      </c>
      <c r="F348" s="5">
        <v>237</v>
      </c>
      <c r="G348" s="5" t="s">
        <v>4590</v>
      </c>
      <c r="H348" s="4" t="s">
        <v>4589</v>
      </c>
      <c r="I348" s="81" t="s">
        <v>164</v>
      </c>
      <c r="J348" s="21"/>
      <c r="K348" s="22" t="s">
        <v>4584</v>
      </c>
      <c r="L348" s="84" t="s">
        <v>4585</v>
      </c>
      <c r="M348" s="23" t="s">
        <v>447</v>
      </c>
      <c r="N348" s="23">
        <v>43795</v>
      </c>
      <c r="O348" s="24" t="s">
        <v>102</v>
      </c>
      <c r="P348" s="24" t="s">
        <v>480</v>
      </c>
      <c r="Q348" s="24">
        <v>2</v>
      </c>
      <c r="R348" s="24">
        <v>120</v>
      </c>
      <c r="S348" t="s">
        <v>528</v>
      </c>
      <c r="T348">
        <v>37828</v>
      </c>
      <c r="U348" s="2"/>
      <c r="W348" s="2"/>
      <c r="AB348" t="s">
        <v>9</v>
      </c>
      <c r="AC348" t="s">
        <v>1482</v>
      </c>
      <c r="AD348" t="s">
        <v>1602</v>
      </c>
      <c r="AE348">
        <v>70303641</v>
      </c>
      <c r="AF348">
        <v>70303641</v>
      </c>
      <c r="AG348">
        <v>108322</v>
      </c>
      <c r="AH348" t="s">
        <v>4453</v>
      </c>
      <c r="AI348" t="s">
        <v>4453</v>
      </c>
      <c r="AJ348" t="s">
        <v>776</v>
      </c>
      <c r="AK348" t="s">
        <v>777</v>
      </c>
      <c r="AL348" t="s">
        <v>4454</v>
      </c>
      <c r="AO348" t="s">
        <v>4455</v>
      </c>
      <c r="AP348" t="s">
        <v>1486</v>
      </c>
      <c r="AQ348" t="s">
        <v>1012</v>
      </c>
      <c r="AR348">
        <v>35578</v>
      </c>
      <c r="AS348">
        <v>6441912165</v>
      </c>
      <c r="AT348" t="s">
        <v>4586</v>
      </c>
      <c r="AU348" t="s">
        <v>10</v>
      </c>
      <c r="AV348" t="s">
        <v>4457</v>
      </c>
      <c r="AW348" t="s">
        <v>4457</v>
      </c>
      <c r="AX348" t="s">
        <v>4458</v>
      </c>
      <c r="AY348" s="2"/>
      <c r="BA348" t="s">
        <v>1615</v>
      </c>
      <c r="BB348" t="s">
        <v>1616</v>
      </c>
      <c r="BC348" t="s">
        <v>188</v>
      </c>
      <c r="BD348">
        <v>528437</v>
      </c>
      <c r="BE348" t="s">
        <v>4459</v>
      </c>
      <c r="BF348" t="s">
        <v>4460</v>
      </c>
      <c r="BG348" t="b">
        <v>0</v>
      </c>
      <c r="BH348" s="6" t="s">
        <v>4587</v>
      </c>
      <c r="BI348" t="s">
        <v>4588</v>
      </c>
      <c r="BJ348">
        <v>4453163191</v>
      </c>
      <c r="BK348" t="s">
        <v>162</v>
      </c>
      <c r="BL348" t="s">
        <v>161</v>
      </c>
      <c r="BM348" s="2"/>
      <c r="BN348" t="s">
        <v>4463</v>
      </c>
      <c r="BR348" t="s">
        <v>189</v>
      </c>
      <c r="BS348" t="s">
        <v>103</v>
      </c>
      <c r="BU348">
        <v>0</v>
      </c>
      <c r="BV348">
        <v>0</v>
      </c>
      <c r="BW348">
        <v>0</v>
      </c>
      <c r="BX348">
        <v>0</v>
      </c>
      <c r="BY348">
        <v>0</v>
      </c>
      <c r="BZ348">
        <v>0</v>
      </c>
      <c r="CA348">
        <v>0</v>
      </c>
      <c r="CF348" s="2"/>
      <c r="CH348" s="2"/>
      <c r="CK348" t="s">
        <v>4402</v>
      </c>
      <c r="CL348">
        <v>43795.374745370369</v>
      </c>
      <c r="CO348" t="s">
        <v>11</v>
      </c>
      <c r="CP348">
        <v>295255.11</v>
      </c>
      <c r="CQ348" t="s">
        <v>11</v>
      </c>
      <c r="CR348">
        <v>295255.11</v>
      </c>
      <c r="CV348" t="s">
        <v>525</v>
      </c>
      <c r="CW348" t="s">
        <v>12</v>
      </c>
      <c r="CX348" t="s">
        <v>12</v>
      </c>
      <c r="CY348" t="s">
        <v>12</v>
      </c>
      <c r="DA348" t="s">
        <v>104</v>
      </c>
      <c r="DD348" t="s">
        <v>93</v>
      </c>
      <c r="DQ348" t="s">
        <v>94</v>
      </c>
      <c r="DR348" t="s">
        <v>94</v>
      </c>
      <c r="DS348" t="s">
        <v>94</v>
      </c>
      <c r="DT348" t="s">
        <v>94</v>
      </c>
      <c r="DU348" t="s">
        <v>94</v>
      </c>
      <c r="DV348" t="s">
        <v>94</v>
      </c>
      <c r="DW348" t="s">
        <v>94</v>
      </c>
      <c r="DX348" s="2" t="s">
        <v>94</v>
      </c>
      <c r="DY348" t="s">
        <v>94</v>
      </c>
      <c r="DZ348" t="s">
        <v>94</v>
      </c>
      <c r="EA348" t="s">
        <v>94</v>
      </c>
      <c r="EB348" t="s">
        <v>94</v>
      </c>
      <c r="EC348" t="s">
        <v>94</v>
      </c>
      <c r="ED348" t="s">
        <v>94</v>
      </c>
      <c r="EE348" t="s">
        <v>89</v>
      </c>
      <c r="EF348" t="s">
        <v>94</v>
      </c>
      <c r="EG348" t="s">
        <v>105</v>
      </c>
      <c r="EJ348" t="s">
        <v>166</v>
      </c>
      <c r="EK348" t="b">
        <v>0</v>
      </c>
      <c r="EL348" t="b">
        <v>0</v>
      </c>
      <c r="EM348" t="b">
        <v>0</v>
      </c>
    </row>
    <row r="349" spans="3:143" ht="15">
      <c r="C349" s="82">
        <v>23</v>
      </c>
      <c r="D349" s="5"/>
      <c r="E349" s="4">
        <v>1</v>
      </c>
      <c r="F349" s="5">
        <v>0.95</v>
      </c>
      <c r="G349" s="5" t="s">
        <v>4622</v>
      </c>
      <c r="H349" s="4" t="s">
        <v>4623</v>
      </c>
      <c r="I349" s="81" t="s">
        <v>920</v>
      </c>
      <c r="J349" s="21"/>
      <c r="K349" s="22" t="s">
        <v>4591</v>
      </c>
      <c r="L349" s="84" t="s">
        <v>4487</v>
      </c>
      <c r="M349" s="23" t="s">
        <v>920</v>
      </c>
      <c r="N349" s="23">
        <v>43793</v>
      </c>
      <c r="O349" s="24" t="s">
        <v>102</v>
      </c>
      <c r="P349" s="24" t="s">
        <v>179</v>
      </c>
      <c r="Q349" s="24">
        <v>1</v>
      </c>
      <c r="R349" s="24">
        <v>0.95</v>
      </c>
      <c r="S349" t="s">
        <v>528</v>
      </c>
      <c r="T349">
        <v>22</v>
      </c>
      <c r="U349" s="2" t="s">
        <v>163</v>
      </c>
      <c r="V349">
        <v>43793.585532407407</v>
      </c>
      <c r="W349" s="2" t="s">
        <v>444</v>
      </c>
      <c r="X349">
        <v>43795.397812499999</v>
      </c>
      <c r="AB349" t="s">
        <v>9</v>
      </c>
      <c r="AC349" t="s">
        <v>4592</v>
      </c>
      <c r="AD349" t="s">
        <v>191</v>
      </c>
      <c r="AE349">
        <v>26195</v>
      </c>
      <c r="AF349">
        <v>26195</v>
      </c>
      <c r="AG349" t="s">
        <v>183</v>
      </c>
      <c r="AH349" t="s">
        <v>4593</v>
      </c>
      <c r="AI349" t="s">
        <v>4593</v>
      </c>
      <c r="AJ349" t="s">
        <v>2983</v>
      </c>
      <c r="AK349" t="s">
        <v>2984</v>
      </c>
      <c r="AL349" t="s">
        <v>4594</v>
      </c>
      <c r="AO349" t="s">
        <v>4595</v>
      </c>
      <c r="AP349" t="s">
        <v>4596</v>
      </c>
      <c r="AR349">
        <v>3526</v>
      </c>
      <c r="AS349">
        <v>-36205835564</v>
      </c>
      <c r="AT349" t="s">
        <v>4597</v>
      </c>
      <c r="AU349" t="s">
        <v>10</v>
      </c>
      <c r="AV349" t="s">
        <v>4598</v>
      </c>
      <c r="AW349" t="s">
        <v>4598</v>
      </c>
      <c r="AX349" t="s">
        <v>4599</v>
      </c>
      <c r="AY349" s="2" t="s">
        <v>4600</v>
      </c>
      <c r="AZ349" t="s">
        <v>4601</v>
      </c>
      <c r="BA349" t="s">
        <v>371</v>
      </c>
      <c r="BB349" t="s">
        <v>192</v>
      </c>
      <c r="BC349" t="s">
        <v>188</v>
      </c>
      <c r="BD349">
        <v>523857</v>
      </c>
      <c r="BE349">
        <v>-8613829249380</v>
      </c>
      <c r="BF349" t="s">
        <v>4602</v>
      </c>
      <c r="BG349" t="b">
        <v>0</v>
      </c>
      <c r="BH349" s="6" t="s">
        <v>4603</v>
      </c>
      <c r="BI349" t="s">
        <v>4604</v>
      </c>
      <c r="BJ349">
        <v>4453163191</v>
      </c>
      <c r="BK349" t="s">
        <v>162</v>
      </c>
      <c r="BL349" t="s">
        <v>161</v>
      </c>
      <c r="BM349" s="2"/>
      <c r="BO349" t="s">
        <v>89</v>
      </c>
      <c r="BP349">
        <v>73269090</v>
      </c>
      <c r="BR349" t="s">
        <v>180</v>
      </c>
      <c r="BS349" t="s">
        <v>103</v>
      </c>
      <c r="BU349">
        <v>0</v>
      </c>
      <c r="BV349">
        <v>0</v>
      </c>
      <c r="BW349">
        <v>0</v>
      </c>
      <c r="BX349">
        <v>0</v>
      </c>
      <c r="BY349">
        <v>0</v>
      </c>
      <c r="BZ349">
        <v>0</v>
      </c>
      <c r="CA349">
        <v>0</v>
      </c>
      <c r="CF349" s="2"/>
      <c r="CH349" s="2"/>
      <c r="CJ349">
        <v>5.3142019950173402E+17</v>
      </c>
      <c r="CK349" t="s">
        <v>1509</v>
      </c>
      <c r="CL349">
        <v>43792.378842592596</v>
      </c>
      <c r="CO349" t="s">
        <v>11</v>
      </c>
      <c r="CP349">
        <v>171.71</v>
      </c>
      <c r="CQ349" t="s">
        <v>11</v>
      </c>
      <c r="CR349">
        <v>171.71</v>
      </c>
      <c r="CV349" t="s">
        <v>190</v>
      </c>
      <c r="CW349" t="s">
        <v>12</v>
      </c>
      <c r="CX349" t="s">
        <v>12</v>
      </c>
      <c r="CY349" t="s">
        <v>12</v>
      </c>
      <c r="DA349" t="s">
        <v>104</v>
      </c>
      <c r="DD349" t="s">
        <v>93</v>
      </c>
      <c r="DQ349" t="s">
        <v>94</v>
      </c>
      <c r="DR349" t="s">
        <v>94</v>
      </c>
      <c r="DS349" t="s">
        <v>94</v>
      </c>
      <c r="DT349" t="s">
        <v>94</v>
      </c>
      <c r="DU349" t="s">
        <v>94</v>
      </c>
      <c r="DV349" t="s">
        <v>94</v>
      </c>
      <c r="DW349" t="s">
        <v>94</v>
      </c>
      <c r="DX349" s="2" t="s">
        <v>94</v>
      </c>
      <c r="DY349" t="s">
        <v>94</v>
      </c>
      <c r="DZ349" t="s">
        <v>94</v>
      </c>
      <c r="EA349" t="s">
        <v>94</v>
      </c>
      <c r="EB349" t="s">
        <v>94</v>
      </c>
      <c r="EC349" t="s">
        <v>94</v>
      </c>
      <c r="ED349" t="s">
        <v>94</v>
      </c>
      <c r="EE349" t="s">
        <v>89</v>
      </c>
      <c r="EF349" t="s">
        <v>425</v>
      </c>
      <c r="EG349" t="s">
        <v>105</v>
      </c>
      <c r="EJ349" t="s">
        <v>166</v>
      </c>
      <c r="EK349" t="b">
        <v>0</v>
      </c>
      <c r="EL349" t="b">
        <v>0</v>
      </c>
      <c r="EM349" t="b">
        <v>0</v>
      </c>
    </row>
    <row r="350" spans="3:143" ht="15">
      <c r="C350" s="82">
        <v>23</v>
      </c>
      <c r="D350" s="5"/>
      <c r="E350" s="4">
        <v>1</v>
      </c>
      <c r="F350" s="5">
        <v>0.67</v>
      </c>
      <c r="G350" s="5" t="s">
        <v>4624</v>
      </c>
      <c r="H350" s="4" t="s">
        <v>4625</v>
      </c>
      <c r="I350" s="81" t="s">
        <v>164</v>
      </c>
      <c r="J350" s="21"/>
      <c r="K350" s="22" t="s">
        <v>4605</v>
      </c>
      <c r="L350" s="84" t="s">
        <v>4606</v>
      </c>
      <c r="M350" s="23" t="s">
        <v>447</v>
      </c>
      <c r="N350" s="23">
        <v>43794</v>
      </c>
      <c r="O350" s="24" t="s">
        <v>102</v>
      </c>
      <c r="P350" s="24" t="s">
        <v>179</v>
      </c>
      <c r="Q350" s="24">
        <v>1</v>
      </c>
      <c r="R350" s="24">
        <v>0.67</v>
      </c>
      <c r="S350" t="s">
        <v>319</v>
      </c>
      <c r="T350">
        <v>25</v>
      </c>
      <c r="U350" s="2" t="s">
        <v>1780</v>
      </c>
      <c r="V350">
        <v>43794.846967592595</v>
      </c>
      <c r="W350" s="2" t="s">
        <v>444</v>
      </c>
      <c r="X350">
        <v>43796.410324074073</v>
      </c>
      <c r="AB350" t="s">
        <v>9</v>
      </c>
      <c r="AC350" t="s">
        <v>4607</v>
      </c>
      <c r="AD350" t="s">
        <v>819</v>
      </c>
      <c r="AE350">
        <v>113878</v>
      </c>
      <c r="AF350">
        <v>113878</v>
      </c>
      <c r="AG350" t="s">
        <v>183</v>
      </c>
      <c r="AH350" t="s">
        <v>4608</v>
      </c>
      <c r="AI350" t="s">
        <v>4608</v>
      </c>
      <c r="AJ350" t="s">
        <v>4609</v>
      </c>
      <c r="AK350" t="s">
        <v>4610</v>
      </c>
      <c r="AL350" t="s">
        <v>4611</v>
      </c>
      <c r="AM350" t="s">
        <v>4612</v>
      </c>
      <c r="AO350" t="s">
        <v>4613</v>
      </c>
      <c r="AP350" t="s">
        <v>4614</v>
      </c>
      <c r="AS350">
        <v>1278975609</v>
      </c>
      <c r="AT350" t="s">
        <v>4615</v>
      </c>
      <c r="AU350" t="s">
        <v>10</v>
      </c>
      <c r="AV350" t="s">
        <v>4616</v>
      </c>
      <c r="AW350" t="s">
        <v>4616</v>
      </c>
      <c r="AX350" t="s">
        <v>4617</v>
      </c>
      <c r="AY350" s="2" t="s">
        <v>4618</v>
      </c>
      <c r="AZ350">
        <v>9.9285546659223076</v>
      </c>
      <c r="BA350" t="s">
        <v>831</v>
      </c>
      <c r="BB350" t="s">
        <v>832</v>
      </c>
      <c r="BC350" t="s">
        <v>188</v>
      </c>
      <c r="BD350">
        <v>519000</v>
      </c>
      <c r="BE350">
        <v>8613702337920</v>
      </c>
      <c r="BF350" t="s">
        <v>4619</v>
      </c>
      <c r="BG350" t="b">
        <v>0</v>
      </c>
      <c r="BH350" s="6" t="s">
        <v>4620</v>
      </c>
      <c r="BI350" t="s">
        <v>4621</v>
      </c>
      <c r="BJ350">
        <v>4453163191</v>
      </c>
      <c r="BK350" t="s">
        <v>162</v>
      </c>
      <c r="BL350" t="s">
        <v>161</v>
      </c>
      <c r="BM350" s="2"/>
      <c r="BO350" t="s">
        <v>89</v>
      </c>
      <c r="BP350">
        <v>39173900</v>
      </c>
      <c r="BR350" t="s">
        <v>180</v>
      </c>
      <c r="BS350" t="s">
        <v>103</v>
      </c>
      <c r="BU350">
        <v>0</v>
      </c>
      <c r="BV350">
        <v>0</v>
      </c>
      <c r="BW350">
        <v>0</v>
      </c>
      <c r="BX350">
        <v>0</v>
      </c>
      <c r="BY350">
        <v>0</v>
      </c>
      <c r="BZ350">
        <v>0</v>
      </c>
      <c r="CA350">
        <v>0</v>
      </c>
      <c r="CF350" s="2"/>
      <c r="CH350" s="2"/>
      <c r="CJ350">
        <v>5.3142019950173901E+17</v>
      </c>
      <c r="CK350" t="s">
        <v>4402</v>
      </c>
      <c r="CL350">
        <v>43794.558136574073</v>
      </c>
      <c r="CO350" t="s">
        <v>11</v>
      </c>
      <c r="CP350">
        <v>176.87</v>
      </c>
      <c r="CQ350" t="s">
        <v>11</v>
      </c>
      <c r="CR350">
        <v>176.87</v>
      </c>
      <c r="CV350" t="s">
        <v>190</v>
      </c>
      <c r="CW350" t="s">
        <v>12</v>
      </c>
      <c r="CX350" t="s">
        <v>12</v>
      </c>
      <c r="CY350" t="s">
        <v>12</v>
      </c>
      <c r="DA350" t="s">
        <v>104</v>
      </c>
      <c r="DD350" t="s">
        <v>93</v>
      </c>
      <c r="DQ350" t="s">
        <v>94</v>
      </c>
      <c r="DR350" t="s">
        <v>94</v>
      </c>
      <c r="DS350" t="s">
        <v>94</v>
      </c>
      <c r="DT350" t="s">
        <v>94</v>
      </c>
      <c r="DU350" t="s">
        <v>94</v>
      </c>
      <c r="DV350" t="s">
        <v>94</v>
      </c>
      <c r="DW350" t="s">
        <v>94</v>
      </c>
      <c r="DX350" s="2" t="s">
        <v>94</v>
      </c>
      <c r="DY350" t="s">
        <v>94</v>
      </c>
      <c r="DZ350" t="s">
        <v>94</v>
      </c>
      <c r="EA350" t="s">
        <v>94</v>
      </c>
      <c r="EB350" t="s">
        <v>94</v>
      </c>
      <c r="EC350" t="s">
        <v>94</v>
      </c>
      <c r="ED350" t="s">
        <v>94</v>
      </c>
      <c r="EE350" t="s">
        <v>89</v>
      </c>
      <c r="EF350" t="s">
        <v>425</v>
      </c>
      <c r="EG350" t="s">
        <v>105</v>
      </c>
      <c r="EJ350" t="s">
        <v>166</v>
      </c>
      <c r="EK350" t="b">
        <v>0</v>
      </c>
      <c r="EL350" t="b">
        <v>0</v>
      </c>
      <c r="EM350" t="b">
        <v>0</v>
      </c>
    </row>
    <row r="351" spans="3:143" ht="15">
      <c r="C351" s="82">
        <v>12</v>
      </c>
      <c r="D351" s="5"/>
      <c r="E351" s="4">
        <v>1</v>
      </c>
      <c r="F351" s="5">
        <v>0.95</v>
      </c>
      <c r="G351" s="5" t="s">
        <v>4626</v>
      </c>
      <c r="H351" s="4" t="s">
        <v>4623</v>
      </c>
      <c r="I351" s="81" t="s">
        <v>920</v>
      </c>
      <c r="J351" s="21"/>
      <c r="K351" s="22" t="s">
        <v>4591</v>
      </c>
      <c r="L351" s="84" t="s">
        <v>4487</v>
      </c>
      <c r="M351" s="23" t="s">
        <v>920</v>
      </c>
      <c r="N351" s="23">
        <v>43793</v>
      </c>
      <c r="O351" s="24" t="s">
        <v>102</v>
      </c>
      <c r="P351" s="24" t="s">
        <v>179</v>
      </c>
      <c r="Q351" s="24">
        <v>1</v>
      </c>
      <c r="R351" s="24">
        <v>0.95</v>
      </c>
      <c r="S351" t="s">
        <v>528</v>
      </c>
      <c r="T351">
        <v>22</v>
      </c>
      <c r="U351" s="2" t="s">
        <v>163</v>
      </c>
      <c r="V351">
        <v>43793.585532407407</v>
      </c>
      <c r="W351" s="2" t="s">
        <v>444</v>
      </c>
      <c r="X351">
        <v>43795.397812499999</v>
      </c>
      <c r="AB351" t="s">
        <v>9</v>
      </c>
      <c r="AC351" t="s">
        <v>4592</v>
      </c>
      <c r="AD351" t="s">
        <v>191</v>
      </c>
      <c r="AE351">
        <v>26195</v>
      </c>
      <c r="AF351">
        <v>26195</v>
      </c>
      <c r="AG351" t="s">
        <v>183</v>
      </c>
      <c r="AH351" t="s">
        <v>4593</v>
      </c>
      <c r="AI351" t="s">
        <v>4593</v>
      </c>
      <c r="AJ351" t="s">
        <v>2983</v>
      </c>
      <c r="AK351" t="s">
        <v>2984</v>
      </c>
      <c r="AL351" t="s">
        <v>4594</v>
      </c>
      <c r="AO351" t="s">
        <v>4595</v>
      </c>
      <c r="AP351" t="s">
        <v>4596</v>
      </c>
      <c r="AR351">
        <v>3526</v>
      </c>
      <c r="AS351">
        <v>-36205835564</v>
      </c>
      <c r="AT351" t="s">
        <v>4597</v>
      </c>
      <c r="AU351" t="s">
        <v>10</v>
      </c>
      <c r="AV351" t="s">
        <v>4598</v>
      </c>
      <c r="AW351" t="s">
        <v>4598</v>
      </c>
      <c r="AX351" t="s">
        <v>4599</v>
      </c>
      <c r="AY351" s="2" t="s">
        <v>4600</v>
      </c>
      <c r="AZ351" t="s">
        <v>4601</v>
      </c>
      <c r="BA351" t="s">
        <v>371</v>
      </c>
      <c r="BB351" t="s">
        <v>192</v>
      </c>
      <c r="BC351" t="s">
        <v>188</v>
      </c>
      <c r="BD351">
        <v>523857</v>
      </c>
      <c r="BE351">
        <v>-8613829249380</v>
      </c>
      <c r="BF351" t="s">
        <v>4602</v>
      </c>
      <c r="BG351" t="b">
        <v>0</v>
      </c>
      <c r="BH351" s="6" t="s">
        <v>4603</v>
      </c>
      <c r="BI351" t="s">
        <v>4604</v>
      </c>
      <c r="BJ351">
        <v>4453163191</v>
      </c>
      <c r="BK351" t="s">
        <v>162</v>
      </c>
      <c r="BL351" t="s">
        <v>161</v>
      </c>
      <c r="BM351" s="2"/>
      <c r="BO351" t="s">
        <v>89</v>
      </c>
      <c r="BP351">
        <v>73269090</v>
      </c>
      <c r="BR351" t="s">
        <v>180</v>
      </c>
      <c r="BS351" t="s">
        <v>103</v>
      </c>
      <c r="BU351">
        <v>0</v>
      </c>
      <c r="BV351">
        <v>0</v>
      </c>
      <c r="BW351">
        <v>0</v>
      </c>
      <c r="BX351">
        <v>0</v>
      </c>
      <c r="BY351">
        <v>0</v>
      </c>
      <c r="BZ351">
        <v>0</v>
      </c>
      <c r="CA351">
        <v>0</v>
      </c>
      <c r="CF351" s="2"/>
      <c r="CH351" s="2"/>
      <c r="CJ351">
        <v>5.3142019950173402E+17</v>
      </c>
      <c r="CK351" t="s">
        <v>1509</v>
      </c>
      <c r="CL351">
        <v>43792.378842592596</v>
      </c>
      <c r="CO351" t="s">
        <v>11</v>
      </c>
      <c r="CP351">
        <v>171.71</v>
      </c>
      <c r="CQ351" t="s">
        <v>11</v>
      </c>
      <c r="CR351">
        <v>171.71</v>
      </c>
      <c r="CV351" t="s">
        <v>190</v>
      </c>
      <c r="CW351" t="s">
        <v>12</v>
      </c>
      <c r="CX351" t="s">
        <v>12</v>
      </c>
      <c r="CY351" t="s">
        <v>12</v>
      </c>
      <c r="DA351" t="s">
        <v>104</v>
      </c>
      <c r="DD351" t="s">
        <v>93</v>
      </c>
      <c r="DQ351" t="s">
        <v>94</v>
      </c>
      <c r="DR351" t="s">
        <v>94</v>
      </c>
      <c r="DS351" t="s">
        <v>94</v>
      </c>
      <c r="DT351" t="s">
        <v>94</v>
      </c>
      <c r="DU351" t="s">
        <v>94</v>
      </c>
      <c r="DV351" t="s">
        <v>94</v>
      </c>
      <c r="DW351" t="s">
        <v>94</v>
      </c>
      <c r="DX351" s="2" t="s">
        <v>94</v>
      </c>
      <c r="DY351" t="s">
        <v>94</v>
      </c>
      <c r="DZ351" t="s">
        <v>94</v>
      </c>
      <c r="EA351" t="s">
        <v>94</v>
      </c>
      <c r="EB351" t="s">
        <v>94</v>
      </c>
      <c r="EC351" t="s">
        <v>94</v>
      </c>
      <c r="ED351" t="s">
        <v>94</v>
      </c>
      <c r="EE351" t="s">
        <v>89</v>
      </c>
      <c r="EF351" t="s">
        <v>425</v>
      </c>
      <c r="EG351" t="s">
        <v>105</v>
      </c>
      <c r="EJ351" t="s">
        <v>166</v>
      </c>
      <c r="EK351" t="b">
        <v>0</v>
      </c>
      <c r="EL351" t="b">
        <v>0</v>
      </c>
      <c r="EM351" t="b">
        <v>0</v>
      </c>
    </row>
    <row r="352" spans="3:143" ht="15">
      <c r="C352" s="82">
        <v>1221</v>
      </c>
      <c r="D352" s="5"/>
      <c r="E352" s="4">
        <v>1</v>
      </c>
      <c r="F352" s="5">
        <v>0.67</v>
      </c>
      <c r="G352" s="5" t="s">
        <v>4627</v>
      </c>
      <c r="H352" s="4" t="s">
        <v>4625</v>
      </c>
      <c r="I352" s="81" t="s">
        <v>164</v>
      </c>
      <c r="J352" s="21"/>
      <c r="K352" s="22" t="s">
        <v>4605</v>
      </c>
      <c r="L352" s="84" t="s">
        <v>4606</v>
      </c>
      <c r="M352" s="23" t="s">
        <v>447</v>
      </c>
      <c r="N352" s="23">
        <v>43794</v>
      </c>
      <c r="O352" s="24" t="s">
        <v>102</v>
      </c>
      <c r="P352" s="24" t="s">
        <v>179</v>
      </c>
      <c r="Q352" s="24">
        <v>1</v>
      </c>
      <c r="R352" s="24">
        <v>0.67</v>
      </c>
      <c r="S352" t="s">
        <v>319</v>
      </c>
      <c r="T352">
        <v>25</v>
      </c>
      <c r="U352" s="2" t="s">
        <v>1780</v>
      </c>
      <c r="V352">
        <v>43794.846967592595</v>
      </c>
      <c r="W352" s="2" t="s">
        <v>444</v>
      </c>
      <c r="X352">
        <v>43796.410324074073</v>
      </c>
      <c r="AB352" t="s">
        <v>9</v>
      </c>
      <c r="AC352" t="s">
        <v>4607</v>
      </c>
      <c r="AD352" t="s">
        <v>819</v>
      </c>
      <c r="AE352">
        <v>113878</v>
      </c>
      <c r="AF352">
        <v>113878</v>
      </c>
      <c r="AG352" t="s">
        <v>183</v>
      </c>
      <c r="AH352" t="s">
        <v>4608</v>
      </c>
      <c r="AI352" t="s">
        <v>4608</v>
      </c>
      <c r="AJ352" t="s">
        <v>4609</v>
      </c>
      <c r="AK352" t="s">
        <v>4610</v>
      </c>
      <c r="AL352" t="s">
        <v>4611</v>
      </c>
      <c r="AM352" t="s">
        <v>4612</v>
      </c>
      <c r="AO352" t="s">
        <v>4613</v>
      </c>
      <c r="AP352" t="s">
        <v>4614</v>
      </c>
      <c r="AS352">
        <v>1278975609</v>
      </c>
      <c r="AT352" t="s">
        <v>4615</v>
      </c>
      <c r="AU352" t="s">
        <v>10</v>
      </c>
      <c r="AV352" t="s">
        <v>4616</v>
      </c>
      <c r="AW352" t="s">
        <v>4616</v>
      </c>
      <c r="AX352" t="s">
        <v>4617</v>
      </c>
      <c r="AY352" s="2" t="s">
        <v>4618</v>
      </c>
      <c r="AZ352" t="s">
        <v>4628</v>
      </c>
      <c r="BA352" t="s">
        <v>831</v>
      </c>
      <c r="BB352" t="s">
        <v>832</v>
      </c>
      <c r="BC352" t="s">
        <v>188</v>
      </c>
      <c r="BD352">
        <v>519000</v>
      </c>
      <c r="BE352">
        <v>8613702337920</v>
      </c>
      <c r="BF352" t="s">
        <v>4619</v>
      </c>
      <c r="BG352" t="b">
        <v>0</v>
      </c>
      <c r="BH352" s="6" t="s">
        <v>4620</v>
      </c>
      <c r="BI352" t="s">
        <v>4621</v>
      </c>
      <c r="BJ352">
        <v>4453163191</v>
      </c>
      <c r="BK352" t="s">
        <v>162</v>
      </c>
      <c r="BL352" t="s">
        <v>161</v>
      </c>
      <c r="BM352" s="2"/>
      <c r="BO352" t="s">
        <v>89</v>
      </c>
      <c r="BP352">
        <v>39173900</v>
      </c>
      <c r="BR352" t="s">
        <v>180</v>
      </c>
      <c r="BS352" t="s">
        <v>103</v>
      </c>
      <c r="BU352">
        <v>0</v>
      </c>
      <c r="BV352">
        <v>0</v>
      </c>
      <c r="BW352">
        <v>0</v>
      </c>
      <c r="BX352">
        <v>0</v>
      </c>
      <c r="BY352">
        <v>0</v>
      </c>
      <c r="BZ352">
        <v>0</v>
      </c>
      <c r="CA352">
        <v>0</v>
      </c>
      <c r="CF352" s="2"/>
      <c r="CH352" s="2"/>
      <c r="CJ352">
        <v>5.3142019950173901E+17</v>
      </c>
      <c r="CK352" t="s">
        <v>4402</v>
      </c>
      <c r="CL352">
        <v>43794.558136574073</v>
      </c>
      <c r="CO352" t="s">
        <v>11</v>
      </c>
      <c r="CP352">
        <v>176.87</v>
      </c>
      <c r="CQ352" t="s">
        <v>11</v>
      </c>
      <c r="CR352">
        <v>176.87</v>
      </c>
      <c r="CV352" t="s">
        <v>190</v>
      </c>
      <c r="CW352" t="s">
        <v>12</v>
      </c>
      <c r="CX352" t="s">
        <v>12</v>
      </c>
      <c r="CY352" t="s">
        <v>12</v>
      </c>
      <c r="DA352" t="s">
        <v>104</v>
      </c>
      <c r="DD352" t="s">
        <v>93</v>
      </c>
      <c r="DQ352" t="s">
        <v>94</v>
      </c>
      <c r="DR352" t="s">
        <v>94</v>
      </c>
      <c r="DS352" t="s">
        <v>94</v>
      </c>
      <c r="DT352" t="s">
        <v>94</v>
      </c>
      <c r="DU352" t="s">
        <v>94</v>
      </c>
      <c r="DV352" t="s">
        <v>94</v>
      </c>
      <c r="DW352" t="s">
        <v>94</v>
      </c>
      <c r="DX352" s="2" t="s">
        <v>94</v>
      </c>
      <c r="DY352" t="s">
        <v>94</v>
      </c>
      <c r="DZ352" t="s">
        <v>94</v>
      </c>
      <c r="EA352" t="s">
        <v>94</v>
      </c>
      <c r="EB352" t="s">
        <v>94</v>
      </c>
      <c r="EC352" t="s">
        <v>94</v>
      </c>
      <c r="ED352" t="s">
        <v>94</v>
      </c>
      <c r="EE352" t="s">
        <v>89</v>
      </c>
      <c r="EF352" t="s">
        <v>425</v>
      </c>
      <c r="EG352" t="s">
        <v>105</v>
      </c>
      <c r="EJ352" t="s">
        <v>166</v>
      </c>
      <c r="EK352" t="b">
        <v>0</v>
      </c>
      <c r="EL352" t="b">
        <v>0</v>
      </c>
      <c r="EM352" t="b">
        <v>0</v>
      </c>
    </row>
    <row r="353" spans="3:143" ht="15">
      <c r="C353" s="82">
        <v>231</v>
      </c>
      <c r="D353" s="5"/>
      <c r="E353" s="4">
        <v>1</v>
      </c>
      <c r="F353" s="5">
        <v>33</v>
      </c>
      <c r="G353" s="5" t="s">
        <v>4641</v>
      </c>
      <c r="H353" s="4" t="s">
        <v>4642</v>
      </c>
      <c r="I353" s="81" t="s">
        <v>920</v>
      </c>
      <c r="J353" s="21"/>
      <c r="K353" s="22" t="s">
        <v>4629</v>
      </c>
      <c r="L353" s="84" t="s">
        <v>4630</v>
      </c>
      <c r="M353" s="23" t="s">
        <v>905</v>
      </c>
      <c r="N353" s="23">
        <v>43798</v>
      </c>
      <c r="O353" s="24" t="s">
        <v>102</v>
      </c>
      <c r="P353" s="24" t="s">
        <v>181</v>
      </c>
      <c r="Q353" s="24">
        <v>1</v>
      </c>
      <c r="R353" s="24">
        <v>33</v>
      </c>
      <c r="S353" t="s">
        <v>11</v>
      </c>
      <c r="T353">
        <v>1500</v>
      </c>
      <c r="U353" s="2" t="s">
        <v>163</v>
      </c>
      <c r="V353">
        <v>43798.8909375</v>
      </c>
      <c r="W353" s="2" t="s">
        <v>427</v>
      </c>
      <c r="X353">
        <v>43798.894490740742</v>
      </c>
      <c r="AB353" t="s">
        <v>9</v>
      </c>
      <c r="AC353" t="s">
        <v>4631</v>
      </c>
      <c r="AD353" t="s">
        <v>209</v>
      </c>
      <c r="AE353">
        <v>315396</v>
      </c>
      <c r="AF353">
        <v>315396</v>
      </c>
      <c r="AG353" t="s">
        <v>183</v>
      </c>
      <c r="AH353" t="s">
        <v>4632</v>
      </c>
      <c r="AI353" t="s">
        <v>4632</v>
      </c>
      <c r="AJ353" t="s">
        <v>601</v>
      </c>
      <c r="AK353" t="s">
        <v>602</v>
      </c>
      <c r="AL353" t="s">
        <v>4633</v>
      </c>
      <c r="AO353" t="s">
        <v>4634</v>
      </c>
      <c r="AP353" t="s">
        <v>4635</v>
      </c>
      <c r="AQ353" t="s">
        <v>4634</v>
      </c>
      <c r="AR353">
        <v>4020</v>
      </c>
      <c r="AS353">
        <v>0</v>
      </c>
      <c r="AT353" t="s">
        <v>4636</v>
      </c>
      <c r="AU353" t="s">
        <v>10</v>
      </c>
      <c r="AV353" t="s">
        <v>4637</v>
      </c>
      <c r="AW353" t="s">
        <v>4637</v>
      </c>
      <c r="AX353" t="s">
        <v>4638</v>
      </c>
      <c r="AY353" s="2" t="s">
        <v>1575</v>
      </c>
      <c r="BA353" t="s">
        <v>2257</v>
      </c>
      <c r="BB353" t="s">
        <v>1576</v>
      </c>
      <c r="BC353" t="s">
        <v>2257</v>
      </c>
      <c r="BD353">
        <v>510800</v>
      </c>
      <c r="BE353">
        <v>86206660908</v>
      </c>
      <c r="BF353" t="s">
        <v>4639</v>
      </c>
      <c r="BG353" t="b">
        <v>0</v>
      </c>
      <c r="BH353" s="6" t="s">
        <v>4006</v>
      </c>
      <c r="BI353" t="s">
        <v>4640</v>
      </c>
      <c r="BJ353">
        <v>4453163191</v>
      </c>
      <c r="BK353" t="s">
        <v>162</v>
      </c>
      <c r="BL353" t="s">
        <v>161</v>
      </c>
      <c r="BM353" s="2"/>
      <c r="BO353" t="s">
        <v>89</v>
      </c>
      <c r="BP353">
        <v>94054090</v>
      </c>
      <c r="BR353" t="s">
        <v>180</v>
      </c>
      <c r="BS353" t="s">
        <v>103</v>
      </c>
      <c r="BU353">
        <v>90</v>
      </c>
      <c r="BV353">
        <v>206.7</v>
      </c>
      <c r="BW353">
        <v>0</v>
      </c>
      <c r="BX353">
        <v>0</v>
      </c>
      <c r="BY353">
        <v>0</v>
      </c>
      <c r="BZ353">
        <v>0</v>
      </c>
      <c r="CA353">
        <v>296.7</v>
      </c>
      <c r="CB353" t="s">
        <v>444</v>
      </c>
      <c r="CF353" s="2"/>
      <c r="CH353" s="2"/>
      <c r="CJ353">
        <v>5.3142019950177402E+17</v>
      </c>
      <c r="CK353" t="s">
        <v>4402</v>
      </c>
      <c r="CL353">
        <v>43798.560277777775</v>
      </c>
      <c r="CO353" t="s">
        <v>11</v>
      </c>
      <c r="CP353">
        <v>1500</v>
      </c>
      <c r="CQ353" t="s">
        <v>11</v>
      </c>
      <c r="CR353">
        <v>1500</v>
      </c>
      <c r="CV353" t="s">
        <v>190</v>
      </c>
      <c r="CW353" t="s">
        <v>12</v>
      </c>
      <c r="CX353" t="s">
        <v>12</v>
      </c>
      <c r="CY353" t="s">
        <v>12</v>
      </c>
      <c r="DA353" t="s">
        <v>104</v>
      </c>
      <c r="DD353" t="s">
        <v>93</v>
      </c>
      <c r="DQ353" t="s">
        <v>94</v>
      </c>
      <c r="DR353" t="s">
        <v>94</v>
      </c>
      <c r="DS353" t="s">
        <v>94</v>
      </c>
      <c r="DT353" t="s">
        <v>94</v>
      </c>
      <c r="DU353" t="s">
        <v>94</v>
      </c>
      <c r="DV353" t="s">
        <v>94</v>
      </c>
      <c r="DW353" t="s">
        <v>94</v>
      </c>
      <c r="DX353" s="2" t="s">
        <v>94</v>
      </c>
      <c r="DY353" t="s">
        <v>94</v>
      </c>
      <c r="DZ353" t="s">
        <v>94</v>
      </c>
      <c r="EA353" t="s">
        <v>94</v>
      </c>
      <c r="EB353" t="s">
        <v>94</v>
      </c>
      <c r="EC353" t="s">
        <v>94</v>
      </c>
      <c r="ED353" t="s">
        <v>94</v>
      </c>
      <c r="EE353" t="s">
        <v>89</v>
      </c>
      <c r="EF353" t="s">
        <v>425</v>
      </c>
      <c r="EG353" t="s">
        <v>105</v>
      </c>
      <c r="EJ353" t="s">
        <v>166</v>
      </c>
      <c r="EK353" t="b">
        <v>0</v>
      </c>
      <c r="EL353" t="b">
        <v>0</v>
      </c>
      <c r="EM353" t="b">
        <v>0</v>
      </c>
    </row>
    <row r="354" spans="3:143" ht="15">
      <c r="C354" s="82">
        <v>131</v>
      </c>
      <c r="D354" s="5"/>
      <c r="E354" s="4">
        <v>3</v>
      </c>
      <c r="F354" s="5">
        <v>11</v>
      </c>
      <c r="G354" s="5" t="s">
        <v>4648</v>
      </c>
      <c r="H354" s="4" t="s">
        <v>3369</v>
      </c>
      <c r="I354" s="81" t="s">
        <v>920</v>
      </c>
      <c r="J354" s="21"/>
      <c r="K354" s="22" t="s">
        <v>4643</v>
      </c>
      <c r="L354" s="84" t="s">
        <v>4644</v>
      </c>
      <c r="M354" s="23" t="s">
        <v>4645</v>
      </c>
      <c r="N354" s="23">
        <v>43799</v>
      </c>
      <c r="O354" s="24" t="s">
        <v>102</v>
      </c>
      <c r="P354" s="24" t="s">
        <v>181</v>
      </c>
      <c r="Q354" s="24">
        <v>3</v>
      </c>
      <c r="R354" s="24">
        <v>11</v>
      </c>
      <c r="S354" t="s">
        <v>319</v>
      </c>
      <c r="T354">
        <v>98</v>
      </c>
      <c r="U354" s="2" t="s">
        <v>163</v>
      </c>
      <c r="V354">
        <v>43799.852141203701</v>
      </c>
      <c r="W354" s="2" t="s">
        <v>444</v>
      </c>
      <c r="X354">
        <v>43799.867719907408</v>
      </c>
      <c r="AB354" t="s">
        <v>9</v>
      </c>
      <c r="AC354" t="s">
        <v>4488</v>
      </c>
      <c r="AD354" t="s">
        <v>209</v>
      </c>
      <c r="AE354">
        <v>394053</v>
      </c>
      <c r="AF354">
        <v>394053</v>
      </c>
      <c r="AG354" t="s">
        <v>183</v>
      </c>
      <c r="AH354" t="s">
        <v>4489</v>
      </c>
      <c r="AI354" t="s">
        <v>4489</v>
      </c>
      <c r="AJ354" t="s">
        <v>601</v>
      </c>
      <c r="AK354" t="s">
        <v>602</v>
      </c>
      <c r="AL354" t="s">
        <v>4490</v>
      </c>
      <c r="AO354" t="s">
        <v>4491</v>
      </c>
      <c r="AP354" t="s">
        <v>4492</v>
      </c>
      <c r="AQ354" t="s">
        <v>4491</v>
      </c>
      <c r="AR354">
        <v>58100</v>
      </c>
      <c r="AS354">
        <v>0</v>
      </c>
      <c r="AT354" t="s">
        <v>4493</v>
      </c>
      <c r="AU354" t="s">
        <v>10</v>
      </c>
      <c r="AV354" t="s">
        <v>4494</v>
      </c>
      <c r="AW354" t="s">
        <v>4494</v>
      </c>
      <c r="AX354" t="s">
        <v>4495</v>
      </c>
      <c r="AY354" s="2"/>
      <c r="BA354" t="s">
        <v>4496</v>
      </c>
      <c r="BB354" t="s">
        <v>4497</v>
      </c>
      <c r="BC354" t="s">
        <v>4496</v>
      </c>
      <c r="BD354">
        <v>529700</v>
      </c>
      <c r="BE354">
        <v>8675088267191</v>
      </c>
      <c r="BF354" t="s">
        <v>4498</v>
      </c>
      <c r="BG354" t="b">
        <v>0</v>
      </c>
      <c r="BH354" s="6" t="s">
        <v>4646</v>
      </c>
      <c r="BI354" t="s">
        <v>4647</v>
      </c>
      <c r="BJ354">
        <v>4453163191</v>
      </c>
      <c r="BK354" t="s">
        <v>162</v>
      </c>
      <c r="BL354" t="s">
        <v>161</v>
      </c>
      <c r="BM354" s="2"/>
      <c r="BO354" t="s">
        <v>89</v>
      </c>
      <c r="BP354">
        <v>5208490090</v>
      </c>
      <c r="BR354" t="s">
        <v>180</v>
      </c>
      <c r="BS354" t="s">
        <v>103</v>
      </c>
      <c r="BU354">
        <v>0</v>
      </c>
      <c r="BV354">
        <v>95.94</v>
      </c>
      <c r="BW354">
        <v>0</v>
      </c>
      <c r="BX354">
        <v>0</v>
      </c>
      <c r="BY354">
        <v>0</v>
      </c>
      <c r="BZ354">
        <v>0</v>
      </c>
      <c r="CA354">
        <v>95.94</v>
      </c>
      <c r="CF354" s="2"/>
      <c r="CH354" s="2"/>
      <c r="CJ354">
        <v>5.3142019950178099E+17</v>
      </c>
      <c r="CK354" t="s">
        <v>2710</v>
      </c>
      <c r="CL354">
        <v>43799.381481481483</v>
      </c>
      <c r="CO354" t="s">
        <v>11</v>
      </c>
      <c r="CP354">
        <v>686.25</v>
      </c>
      <c r="CQ354" t="s">
        <v>11</v>
      </c>
      <c r="CR354">
        <v>686.25</v>
      </c>
      <c r="CV354" t="s">
        <v>190</v>
      </c>
      <c r="CW354" t="s">
        <v>12</v>
      </c>
      <c r="CX354" t="s">
        <v>12</v>
      </c>
      <c r="CY354" t="s">
        <v>12</v>
      </c>
      <c r="DA354" t="s">
        <v>104</v>
      </c>
      <c r="DD354" t="s">
        <v>93</v>
      </c>
      <c r="DQ354" t="s">
        <v>94</v>
      </c>
      <c r="DR354" t="s">
        <v>94</v>
      </c>
      <c r="DS354" t="s">
        <v>94</v>
      </c>
      <c r="DT354" t="s">
        <v>94</v>
      </c>
      <c r="DU354" t="s">
        <v>94</v>
      </c>
      <c r="DV354" t="s">
        <v>94</v>
      </c>
      <c r="DW354" t="s">
        <v>94</v>
      </c>
      <c r="DX354" s="2" t="s">
        <v>94</v>
      </c>
      <c r="DY354" t="s">
        <v>94</v>
      </c>
      <c r="DZ354" t="s">
        <v>94</v>
      </c>
      <c r="EA354" t="s">
        <v>94</v>
      </c>
      <c r="EB354" t="s">
        <v>94</v>
      </c>
      <c r="EC354" t="s">
        <v>94</v>
      </c>
      <c r="ED354" t="s">
        <v>94</v>
      </c>
      <c r="EE354" t="s">
        <v>89</v>
      </c>
      <c r="EF354" t="s">
        <v>425</v>
      </c>
      <c r="EG354" t="s">
        <v>105</v>
      </c>
      <c r="EJ354" t="s">
        <v>166</v>
      </c>
      <c r="EK354" t="b">
        <v>0</v>
      </c>
      <c r="EL354" t="b">
        <v>0</v>
      </c>
      <c r="EM354" t="b">
        <v>0</v>
      </c>
    </row>
    <row r="355" spans="3:143" ht="15">
      <c r="C355" s="82">
        <v>132</v>
      </c>
      <c r="D355" s="5"/>
      <c r="E355" s="4">
        <v>1</v>
      </c>
      <c r="F355" s="5">
        <v>0.9</v>
      </c>
      <c r="G355" s="5" t="s">
        <v>4675</v>
      </c>
      <c r="H355" s="4" t="s">
        <v>4676</v>
      </c>
      <c r="I355" s="81" t="s">
        <v>920</v>
      </c>
      <c r="J355" s="21"/>
      <c r="K355" s="22" t="s">
        <v>4649</v>
      </c>
      <c r="L355" s="84" t="s">
        <v>4644</v>
      </c>
      <c r="M355" s="23" t="s">
        <v>920</v>
      </c>
      <c r="N355" s="23">
        <v>43799</v>
      </c>
      <c r="O355" s="24" t="s">
        <v>102</v>
      </c>
      <c r="P355" s="24" t="s">
        <v>179</v>
      </c>
      <c r="Q355" s="24">
        <v>1</v>
      </c>
      <c r="R355" s="24">
        <v>0.9</v>
      </c>
      <c r="S355" t="s">
        <v>528</v>
      </c>
      <c r="T355">
        <v>23</v>
      </c>
      <c r="U355" s="2" t="s">
        <v>163</v>
      </c>
      <c r="V355">
        <v>43799.852233796293</v>
      </c>
      <c r="W355" s="2" t="s">
        <v>444</v>
      </c>
      <c r="X355">
        <v>43799.874837962961</v>
      </c>
      <c r="AB355" t="s">
        <v>9</v>
      </c>
      <c r="AC355" t="s">
        <v>2246</v>
      </c>
      <c r="AD355" t="s">
        <v>191</v>
      </c>
      <c r="AE355">
        <v>729726</v>
      </c>
      <c r="AF355">
        <v>729726</v>
      </c>
      <c r="AG355" t="s">
        <v>183</v>
      </c>
      <c r="AH355" t="s">
        <v>4650</v>
      </c>
      <c r="AI355" t="s">
        <v>4650</v>
      </c>
      <c r="AJ355" t="s">
        <v>795</v>
      </c>
      <c r="AK355" t="s">
        <v>796</v>
      </c>
      <c r="AL355" t="s">
        <v>4651</v>
      </c>
      <c r="AM355" t="s">
        <v>4652</v>
      </c>
      <c r="AO355" t="s">
        <v>4653</v>
      </c>
      <c r="AP355" t="s">
        <v>2250</v>
      </c>
      <c r="AQ355" t="s">
        <v>2251</v>
      </c>
      <c r="AR355">
        <v>3430</v>
      </c>
      <c r="AS355">
        <v>965564950</v>
      </c>
      <c r="AT355" t="s">
        <v>4654</v>
      </c>
      <c r="AU355" t="s">
        <v>10</v>
      </c>
      <c r="AV355" t="s">
        <v>4655</v>
      </c>
      <c r="AW355" t="s">
        <v>4655</v>
      </c>
      <c r="AX355" t="s">
        <v>4656</v>
      </c>
      <c r="AY355" s="2" t="s">
        <v>4657</v>
      </c>
      <c r="AZ355" t="s">
        <v>4658</v>
      </c>
      <c r="BA355" t="s">
        <v>371</v>
      </c>
      <c r="BB355" t="s">
        <v>192</v>
      </c>
      <c r="BC355" t="s">
        <v>188</v>
      </c>
      <c r="BD355">
        <v>523009</v>
      </c>
      <c r="BE355">
        <v>-8613713306697</v>
      </c>
      <c r="BF355" t="s">
        <v>4659</v>
      </c>
      <c r="BG355" t="b">
        <v>0</v>
      </c>
      <c r="BH355" s="6" t="s">
        <v>4660</v>
      </c>
      <c r="BI355" t="s">
        <v>4661</v>
      </c>
      <c r="BJ355">
        <v>4453163191</v>
      </c>
      <c r="BK355" t="s">
        <v>162</v>
      </c>
      <c r="BL355" t="s">
        <v>161</v>
      </c>
      <c r="BM355" s="2"/>
      <c r="BO355" t="s">
        <v>89</v>
      </c>
      <c r="BP355">
        <v>95030089</v>
      </c>
      <c r="BR355" t="s">
        <v>180</v>
      </c>
      <c r="BS355" t="s">
        <v>103</v>
      </c>
      <c r="BU355">
        <v>0</v>
      </c>
      <c r="BV355">
        <v>0</v>
      </c>
      <c r="BW355">
        <v>0</v>
      </c>
      <c r="BX355">
        <v>0</v>
      </c>
      <c r="BY355">
        <v>0</v>
      </c>
      <c r="BZ355">
        <v>0</v>
      </c>
      <c r="CA355">
        <v>0</v>
      </c>
      <c r="CF355" s="2"/>
      <c r="CH355" s="2"/>
      <c r="CJ355">
        <v>5.3142019950178099E+17</v>
      </c>
      <c r="CK355" t="s">
        <v>2710</v>
      </c>
      <c r="CL355">
        <v>43799.381157407406</v>
      </c>
      <c r="CO355" t="s">
        <v>11</v>
      </c>
      <c r="CP355">
        <v>177.36</v>
      </c>
      <c r="CQ355" t="s">
        <v>11</v>
      </c>
      <c r="CR355">
        <v>177.36</v>
      </c>
      <c r="CV355" t="s">
        <v>190</v>
      </c>
      <c r="CW355" t="s">
        <v>12</v>
      </c>
      <c r="CX355" t="s">
        <v>12</v>
      </c>
      <c r="CY355" t="s">
        <v>12</v>
      </c>
      <c r="DA355" t="s">
        <v>104</v>
      </c>
      <c r="DD355" t="s">
        <v>93</v>
      </c>
      <c r="DQ355" t="s">
        <v>94</v>
      </c>
      <c r="DR355" t="s">
        <v>94</v>
      </c>
      <c r="DS355" t="s">
        <v>94</v>
      </c>
      <c r="DT355" t="s">
        <v>94</v>
      </c>
      <c r="DU355" t="s">
        <v>94</v>
      </c>
      <c r="DV355" t="s">
        <v>94</v>
      </c>
      <c r="DW355" t="s">
        <v>94</v>
      </c>
      <c r="DX355" s="2" t="s">
        <v>94</v>
      </c>
      <c r="DY355" t="s">
        <v>94</v>
      </c>
      <c r="DZ355" t="s">
        <v>94</v>
      </c>
      <c r="EA355" t="s">
        <v>94</v>
      </c>
      <c r="EB355" t="s">
        <v>94</v>
      </c>
      <c r="EC355" t="s">
        <v>94</v>
      </c>
      <c r="ED355" t="s">
        <v>94</v>
      </c>
      <c r="EE355" t="s">
        <v>89</v>
      </c>
      <c r="EF355" t="s">
        <v>425</v>
      </c>
      <c r="EG355" t="s">
        <v>105</v>
      </c>
      <c r="EJ355" t="s">
        <v>166</v>
      </c>
      <c r="EK355" t="b">
        <v>0</v>
      </c>
      <c r="EL355" t="b">
        <v>0</v>
      </c>
      <c r="EM355" t="b">
        <v>0</v>
      </c>
    </row>
    <row r="356" spans="3:143" ht="15">
      <c r="C356" s="82">
        <v>1231</v>
      </c>
      <c r="D356" s="5">
        <v>57</v>
      </c>
      <c r="E356" s="4">
        <v>1</v>
      </c>
      <c r="F356" s="5">
        <v>57</v>
      </c>
      <c r="G356" s="5" t="s">
        <v>4677</v>
      </c>
      <c r="H356" s="4" t="s">
        <v>4678</v>
      </c>
      <c r="I356" s="81" t="s">
        <v>920</v>
      </c>
      <c r="J356" s="21"/>
      <c r="K356" s="22" t="s">
        <v>4662</v>
      </c>
      <c r="L356" s="84" t="s">
        <v>4630</v>
      </c>
      <c r="M356" s="23" t="s">
        <v>905</v>
      </c>
      <c r="N356" s="23">
        <v>43798</v>
      </c>
      <c r="O356" s="24" t="s">
        <v>102</v>
      </c>
      <c r="P356" s="24" t="s">
        <v>480</v>
      </c>
      <c r="Q356" s="24">
        <v>1</v>
      </c>
      <c r="R356" s="24">
        <v>76</v>
      </c>
      <c r="S356" t="s">
        <v>528</v>
      </c>
      <c r="T356">
        <v>1052.8599999999999</v>
      </c>
      <c r="U356" s="2"/>
      <c r="W356" s="2"/>
      <c r="AB356" t="s">
        <v>9</v>
      </c>
      <c r="AC356" t="s">
        <v>4663</v>
      </c>
      <c r="AD356" t="s">
        <v>191</v>
      </c>
      <c r="AE356">
        <v>892420</v>
      </c>
      <c r="AF356">
        <v>892420</v>
      </c>
      <c r="AG356" t="s">
        <v>183</v>
      </c>
      <c r="AH356" t="s">
        <v>4664</v>
      </c>
      <c r="AI356" t="s">
        <v>4664</v>
      </c>
      <c r="AJ356" t="s">
        <v>601</v>
      </c>
      <c r="AK356" t="s">
        <v>602</v>
      </c>
      <c r="AL356" t="s">
        <v>4665</v>
      </c>
      <c r="AO356" t="s">
        <v>4666</v>
      </c>
      <c r="AP356" t="s">
        <v>4667</v>
      </c>
      <c r="AQ356" t="s">
        <v>4668</v>
      </c>
      <c r="AR356">
        <v>37012</v>
      </c>
      <c r="AS356">
        <v>459999</v>
      </c>
      <c r="AT356" t="s">
        <v>4669</v>
      </c>
      <c r="AU356" t="s">
        <v>10</v>
      </c>
      <c r="AV356" t="s">
        <v>4670</v>
      </c>
      <c r="AW356" t="s">
        <v>4670</v>
      </c>
      <c r="AX356" t="s">
        <v>4671</v>
      </c>
      <c r="AY356" s="2"/>
      <c r="BA356" t="s">
        <v>726</v>
      </c>
      <c r="BB356" t="s">
        <v>192</v>
      </c>
      <c r="BC356" t="s">
        <v>188</v>
      </c>
      <c r="BD356">
        <v>523950</v>
      </c>
      <c r="BE356">
        <v>76982588810</v>
      </c>
      <c r="BF356" t="s">
        <v>4672</v>
      </c>
      <c r="BG356" t="b">
        <v>0</v>
      </c>
      <c r="BH356" s="6" t="s">
        <v>4673</v>
      </c>
      <c r="BI356" t="s">
        <v>4674</v>
      </c>
      <c r="BJ356">
        <v>4453163191</v>
      </c>
      <c r="BK356" t="s">
        <v>162</v>
      </c>
      <c r="BL356" t="s">
        <v>161</v>
      </c>
      <c r="BM356" s="2"/>
      <c r="BR356" t="s">
        <v>189</v>
      </c>
      <c r="BS356" t="s">
        <v>103</v>
      </c>
      <c r="BU356">
        <v>0</v>
      </c>
      <c r="BV356">
        <v>0</v>
      </c>
      <c r="BW356">
        <v>0</v>
      </c>
      <c r="BX356">
        <v>0</v>
      </c>
      <c r="BY356">
        <v>0</v>
      </c>
      <c r="BZ356">
        <v>0</v>
      </c>
      <c r="CA356">
        <v>0</v>
      </c>
      <c r="CF356" s="2"/>
      <c r="CH356" s="2"/>
      <c r="CK356" t="s">
        <v>4402</v>
      </c>
      <c r="CL356">
        <v>43798.560995370368</v>
      </c>
      <c r="CO356" t="s">
        <v>11</v>
      </c>
      <c r="CP356">
        <v>8118.92</v>
      </c>
      <c r="CQ356" t="s">
        <v>11</v>
      </c>
      <c r="CR356">
        <v>8118.92</v>
      </c>
      <c r="CV356" t="s">
        <v>190</v>
      </c>
      <c r="CW356" t="s">
        <v>12</v>
      </c>
      <c r="CX356" t="s">
        <v>12</v>
      </c>
      <c r="CY356" t="s">
        <v>12</v>
      </c>
      <c r="DA356" t="s">
        <v>104</v>
      </c>
      <c r="DD356" t="s">
        <v>93</v>
      </c>
      <c r="DQ356" t="s">
        <v>94</v>
      </c>
      <c r="DR356" t="s">
        <v>94</v>
      </c>
      <c r="DS356" t="s">
        <v>94</v>
      </c>
      <c r="DT356" t="s">
        <v>94</v>
      </c>
      <c r="DU356" t="s">
        <v>94</v>
      </c>
      <c r="DV356" t="s">
        <v>94</v>
      </c>
      <c r="DW356" t="s">
        <v>94</v>
      </c>
      <c r="DX356" s="2" t="s">
        <v>94</v>
      </c>
      <c r="DY356" t="s">
        <v>94</v>
      </c>
      <c r="DZ356" t="s">
        <v>94</v>
      </c>
      <c r="EA356" t="s">
        <v>94</v>
      </c>
      <c r="EB356" t="s">
        <v>94</v>
      </c>
      <c r="EC356" t="s">
        <v>94</v>
      </c>
      <c r="ED356" t="s">
        <v>94</v>
      </c>
      <c r="EE356" t="s">
        <v>89</v>
      </c>
      <c r="EF356" t="s">
        <v>94</v>
      </c>
      <c r="EG356" t="s">
        <v>105</v>
      </c>
      <c r="EJ356" t="s">
        <v>166</v>
      </c>
      <c r="EK356" t="b">
        <v>0</v>
      </c>
      <c r="EL356" t="b">
        <v>0</v>
      </c>
      <c r="EM356" t="b">
        <v>0</v>
      </c>
    </row>
    <row r="357" spans="3:143" ht="15">
      <c r="C357" s="82">
        <v>12</v>
      </c>
      <c r="D357" s="5">
        <v>54</v>
      </c>
      <c r="E357" s="4">
        <v>1</v>
      </c>
      <c r="F357" s="5">
        <v>54</v>
      </c>
      <c r="G357" s="5" t="s">
        <v>4721</v>
      </c>
      <c r="H357" s="4" t="s">
        <v>691</v>
      </c>
      <c r="I357" s="81" t="s">
        <v>920</v>
      </c>
      <c r="J357" s="21"/>
      <c r="K357" s="22" t="s">
        <v>4695</v>
      </c>
      <c r="L357" s="84" t="s">
        <v>4696</v>
      </c>
      <c r="M357" s="23" t="s">
        <v>920</v>
      </c>
      <c r="N357" s="23">
        <v>43790</v>
      </c>
      <c r="O357" s="24" t="s">
        <v>102</v>
      </c>
      <c r="P357" s="24" t="s">
        <v>480</v>
      </c>
      <c r="Q357" s="24">
        <v>1</v>
      </c>
      <c r="R357" s="24">
        <v>82</v>
      </c>
      <c r="S357" t="s">
        <v>528</v>
      </c>
      <c r="T357">
        <v>280</v>
      </c>
      <c r="U357" s="2"/>
      <c r="W357" s="2"/>
      <c r="AB357" t="s">
        <v>9</v>
      </c>
      <c r="AC357" t="s">
        <v>1566</v>
      </c>
      <c r="AD357" t="s">
        <v>819</v>
      </c>
      <c r="AE357">
        <v>205873</v>
      </c>
      <c r="AF357">
        <v>205873</v>
      </c>
      <c r="AG357" t="s">
        <v>183</v>
      </c>
      <c r="AH357" t="s">
        <v>4697</v>
      </c>
      <c r="AI357" t="s">
        <v>4697</v>
      </c>
      <c r="AJ357" t="s">
        <v>601</v>
      </c>
      <c r="AK357" t="s">
        <v>602</v>
      </c>
      <c r="AL357" t="s">
        <v>4698</v>
      </c>
      <c r="AO357" t="s">
        <v>2376</v>
      </c>
      <c r="AP357" t="s">
        <v>1570</v>
      </c>
      <c r="AQ357" t="s">
        <v>2376</v>
      </c>
      <c r="AR357" t="s">
        <v>4722</v>
      </c>
      <c r="AS357">
        <v>0</v>
      </c>
      <c r="AT357" t="s">
        <v>4699</v>
      </c>
      <c r="AU357" t="s">
        <v>10</v>
      </c>
      <c r="AV357" t="s">
        <v>4700</v>
      </c>
      <c r="AW357" t="s">
        <v>4700</v>
      </c>
      <c r="AX357" t="s">
        <v>4701</v>
      </c>
      <c r="AY357" s="2"/>
      <c r="BA357" t="s">
        <v>831</v>
      </c>
      <c r="BB357" t="s">
        <v>832</v>
      </c>
      <c r="BC357" t="s">
        <v>831</v>
      </c>
      <c r="BD357">
        <v>519090</v>
      </c>
      <c r="BE357">
        <v>7566292865</v>
      </c>
      <c r="BF357" t="s">
        <v>4702</v>
      </c>
      <c r="BG357" t="b">
        <v>0</v>
      </c>
      <c r="BH357" s="6" t="s">
        <v>4703</v>
      </c>
      <c r="BI357" t="s">
        <v>4704</v>
      </c>
      <c r="BJ357">
        <v>4453163191</v>
      </c>
      <c r="BK357" t="s">
        <v>162</v>
      </c>
      <c r="BL357" t="s">
        <v>161</v>
      </c>
      <c r="BM357" s="2"/>
      <c r="BR357" t="s">
        <v>180</v>
      </c>
      <c r="BS357" t="s">
        <v>103</v>
      </c>
      <c r="BU357">
        <v>0</v>
      </c>
      <c r="BV357">
        <v>0</v>
      </c>
      <c r="BW357">
        <v>0</v>
      </c>
      <c r="BX357">
        <v>0</v>
      </c>
      <c r="BY357">
        <v>0</v>
      </c>
      <c r="BZ357">
        <v>0</v>
      </c>
      <c r="CA357">
        <v>0</v>
      </c>
      <c r="CF357" s="2"/>
      <c r="CH357" s="2"/>
      <c r="CK357" t="s">
        <v>4402</v>
      </c>
      <c r="CL357">
        <v>43790.378113425926</v>
      </c>
      <c r="CO357" t="s">
        <v>11</v>
      </c>
      <c r="CP357">
        <v>2159.16</v>
      </c>
      <c r="CQ357" t="s">
        <v>11</v>
      </c>
      <c r="CR357">
        <v>2159.16</v>
      </c>
      <c r="CV357" t="s">
        <v>190</v>
      </c>
      <c r="CW357" t="s">
        <v>12</v>
      </c>
      <c r="CX357" t="s">
        <v>12</v>
      </c>
      <c r="CY357" t="s">
        <v>12</v>
      </c>
      <c r="DA357" t="s">
        <v>104</v>
      </c>
      <c r="DD357" t="s">
        <v>93</v>
      </c>
      <c r="DQ357" t="s">
        <v>94</v>
      </c>
      <c r="DR357" t="s">
        <v>94</v>
      </c>
      <c r="DS357" t="s">
        <v>94</v>
      </c>
      <c r="DT357" t="s">
        <v>94</v>
      </c>
      <c r="DU357" t="s">
        <v>94</v>
      </c>
      <c r="DV357" t="s">
        <v>94</v>
      </c>
      <c r="DW357" t="s">
        <v>94</v>
      </c>
      <c r="DX357" s="2" t="s">
        <v>94</v>
      </c>
      <c r="DY357" t="s">
        <v>94</v>
      </c>
      <c r="DZ357" t="s">
        <v>94</v>
      </c>
      <c r="EA357" t="s">
        <v>94</v>
      </c>
      <c r="EB357" t="s">
        <v>94</v>
      </c>
      <c r="EC357" t="s">
        <v>94</v>
      </c>
      <c r="ED357" t="s">
        <v>94</v>
      </c>
      <c r="EE357" t="s">
        <v>89</v>
      </c>
      <c r="EF357" t="s">
        <v>94</v>
      </c>
      <c r="EG357" t="s">
        <v>105</v>
      </c>
      <c r="EJ357" t="s">
        <v>166</v>
      </c>
      <c r="EK357" t="b">
        <v>0</v>
      </c>
      <c r="EL357" t="b">
        <v>0</v>
      </c>
      <c r="EM357" t="b">
        <v>0</v>
      </c>
    </row>
    <row r="358" spans="3:143" ht="15">
      <c r="C358" s="82">
        <v>6</v>
      </c>
      <c r="D358" s="5"/>
      <c r="E358" s="4">
        <v>1</v>
      </c>
      <c r="F358" s="5">
        <v>1</v>
      </c>
      <c r="G358" s="5" t="s">
        <v>4723</v>
      </c>
      <c r="H358" s="4" t="s">
        <v>4724</v>
      </c>
      <c r="I358" s="81" t="s">
        <v>920</v>
      </c>
      <c r="J358" s="21"/>
      <c r="K358" s="22" t="s">
        <v>4679</v>
      </c>
      <c r="L358" s="84" t="s">
        <v>4644</v>
      </c>
      <c r="M358" s="23" t="s">
        <v>920</v>
      </c>
      <c r="N358" s="23">
        <v>43799</v>
      </c>
      <c r="O358" s="24" t="s">
        <v>102</v>
      </c>
      <c r="P358" s="24" t="s">
        <v>179</v>
      </c>
      <c r="Q358" s="24">
        <v>1</v>
      </c>
      <c r="R358" s="24">
        <v>1</v>
      </c>
      <c r="S358" t="s">
        <v>319</v>
      </c>
      <c r="T358">
        <v>20</v>
      </c>
      <c r="U358" s="2" t="s">
        <v>163</v>
      </c>
      <c r="V358">
        <v>43799.852106481485</v>
      </c>
      <c r="W358" s="2" t="s">
        <v>444</v>
      </c>
      <c r="X358">
        <v>43799.874837962961</v>
      </c>
      <c r="AB358" t="s">
        <v>9</v>
      </c>
      <c r="AC358" t="s">
        <v>4680</v>
      </c>
      <c r="AD358" t="s">
        <v>209</v>
      </c>
      <c r="AE358">
        <v>50373</v>
      </c>
      <c r="AF358">
        <v>50373</v>
      </c>
      <c r="AG358" t="s">
        <v>183</v>
      </c>
      <c r="AH358" t="s">
        <v>4681</v>
      </c>
      <c r="AI358" t="s">
        <v>4681</v>
      </c>
      <c r="AJ358" t="s">
        <v>1272</v>
      </c>
      <c r="AK358" t="s">
        <v>1273</v>
      </c>
      <c r="AL358" t="s">
        <v>4682</v>
      </c>
      <c r="AO358" t="s">
        <v>4683</v>
      </c>
      <c r="AP358" t="s">
        <v>4684</v>
      </c>
      <c r="AR358" t="s">
        <v>4685</v>
      </c>
      <c r="AS358">
        <v>501201721</v>
      </c>
      <c r="AT358" t="s">
        <v>4686</v>
      </c>
      <c r="AU358" t="s">
        <v>10</v>
      </c>
      <c r="AV358" t="s">
        <v>4687</v>
      </c>
      <c r="AW358" t="s">
        <v>4687</v>
      </c>
      <c r="AX358" t="s">
        <v>4688</v>
      </c>
      <c r="AY358" s="2" t="s">
        <v>4689</v>
      </c>
      <c r="BA358" t="s">
        <v>4690</v>
      </c>
      <c r="BB358" t="s">
        <v>4691</v>
      </c>
      <c r="BC358" t="s">
        <v>188</v>
      </c>
      <c r="BD358">
        <v>529159</v>
      </c>
      <c r="BE358">
        <v>8675584181671</v>
      </c>
      <c r="BF358" t="s">
        <v>4692</v>
      </c>
      <c r="BG358" t="b">
        <v>0</v>
      </c>
      <c r="BH358" s="6" t="s">
        <v>4693</v>
      </c>
      <c r="BI358" t="s">
        <v>4694</v>
      </c>
      <c r="BJ358">
        <v>4453163191</v>
      </c>
      <c r="BK358" t="s">
        <v>162</v>
      </c>
      <c r="BL358" t="s">
        <v>161</v>
      </c>
      <c r="BM358" s="2"/>
      <c r="BO358" t="s">
        <v>89</v>
      </c>
      <c r="BP358">
        <v>73239300</v>
      </c>
      <c r="BR358" t="s">
        <v>189</v>
      </c>
      <c r="BS358" t="s">
        <v>103</v>
      </c>
      <c r="BU358">
        <v>0</v>
      </c>
      <c r="BV358">
        <v>0</v>
      </c>
      <c r="BW358">
        <v>0</v>
      </c>
      <c r="BX358">
        <v>0</v>
      </c>
      <c r="BY358">
        <v>0</v>
      </c>
      <c r="BZ358">
        <v>0</v>
      </c>
      <c r="CA358">
        <v>0</v>
      </c>
      <c r="CF358" s="2"/>
      <c r="CH358" s="2"/>
      <c r="CJ358">
        <v>5.3142019950178099E+17</v>
      </c>
      <c r="CK358" t="s">
        <v>2710</v>
      </c>
      <c r="CL358">
        <v>43799.382881944446</v>
      </c>
      <c r="CO358" t="s">
        <v>11</v>
      </c>
      <c r="CP358">
        <v>140.05000000000001</v>
      </c>
      <c r="CQ358" t="s">
        <v>11</v>
      </c>
      <c r="CR358">
        <v>140.05000000000001</v>
      </c>
      <c r="CV358" t="s">
        <v>190</v>
      </c>
      <c r="CW358" t="s">
        <v>12</v>
      </c>
      <c r="CX358" t="s">
        <v>12</v>
      </c>
      <c r="CY358" t="s">
        <v>12</v>
      </c>
      <c r="DA358" t="s">
        <v>104</v>
      </c>
      <c r="DD358" t="s">
        <v>93</v>
      </c>
      <c r="DQ358" t="s">
        <v>94</v>
      </c>
      <c r="DR358" t="s">
        <v>94</v>
      </c>
      <c r="DS358" t="s">
        <v>94</v>
      </c>
      <c r="DT358" t="s">
        <v>94</v>
      </c>
      <c r="DU358" t="s">
        <v>94</v>
      </c>
      <c r="DV358" t="s">
        <v>94</v>
      </c>
      <c r="DW358" t="s">
        <v>94</v>
      </c>
      <c r="DX358" s="2" t="s">
        <v>94</v>
      </c>
      <c r="DY358" t="s">
        <v>94</v>
      </c>
      <c r="DZ358" t="s">
        <v>94</v>
      </c>
      <c r="EA358" t="s">
        <v>94</v>
      </c>
      <c r="EB358" t="s">
        <v>94</v>
      </c>
      <c r="EC358" t="s">
        <v>94</v>
      </c>
      <c r="ED358" t="s">
        <v>94</v>
      </c>
      <c r="EE358" t="s">
        <v>89</v>
      </c>
      <c r="EF358" t="s">
        <v>425</v>
      </c>
      <c r="EG358" t="s">
        <v>105</v>
      </c>
      <c r="EJ358" t="s">
        <v>166</v>
      </c>
      <c r="EK358" t="b">
        <v>0</v>
      </c>
      <c r="EL358" t="b">
        <v>0</v>
      </c>
      <c r="EM358" t="b">
        <v>0</v>
      </c>
    </row>
    <row r="359" spans="3:143">
      <c r="C359" s="4">
        <v>3</v>
      </c>
      <c r="D359" s="4"/>
      <c r="E359" s="4">
        <v>1</v>
      </c>
      <c r="F359" s="4">
        <v>6</v>
      </c>
      <c r="G359" s="5" t="s">
        <v>4723</v>
      </c>
      <c r="H359" s="4" t="s">
        <v>4502</v>
      </c>
      <c r="I359" s="4" t="s">
        <v>920</v>
      </c>
      <c r="J359" s="5"/>
      <c r="K359" s="22" t="s">
        <v>4705</v>
      </c>
      <c r="L359" s="84" t="s">
        <v>4644</v>
      </c>
      <c r="M359" s="23" t="s">
        <v>920</v>
      </c>
      <c r="N359" s="23">
        <v>43799</v>
      </c>
      <c r="O359" s="24" t="s">
        <v>102</v>
      </c>
      <c r="P359" s="24" t="s">
        <v>181</v>
      </c>
      <c r="Q359" s="24">
        <v>1</v>
      </c>
      <c r="R359" s="24">
        <v>6</v>
      </c>
      <c r="S359" t="s">
        <v>11</v>
      </c>
      <c r="T359">
        <v>387.33</v>
      </c>
      <c r="U359" s="2" t="s">
        <v>163</v>
      </c>
      <c r="V359">
        <v>43799.852141203701</v>
      </c>
      <c r="W359" s="2" t="s">
        <v>444</v>
      </c>
      <c r="X359">
        <v>43799.874837962961</v>
      </c>
      <c r="AB359" t="s">
        <v>9</v>
      </c>
      <c r="AC359" t="s">
        <v>4706</v>
      </c>
      <c r="AD359" t="s">
        <v>209</v>
      </c>
      <c r="AE359">
        <v>1062561</v>
      </c>
      <c r="AF359">
        <v>1062561</v>
      </c>
      <c r="AG359" t="s">
        <v>183</v>
      </c>
      <c r="AH359" t="s">
        <v>4707</v>
      </c>
      <c r="AI359" t="s">
        <v>4707</v>
      </c>
      <c r="AJ359" t="s">
        <v>508</v>
      </c>
      <c r="AK359" t="s">
        <v>509</v>
      </c>
      <c r="AL359" t="s">
        <v>4708</v>
      </c>
      <c r="AO359" t="s">
        <v>4709</v>
      </c>
      <c r="AP359" t="s">
        <v>4710</v>
      </c>
      <c r="AR359" t="s">
        <v>4725</v>
      </c>
      <c r="AS359">
        <v>0</v>
      </c>
      <c r="AT359" t="s">
        <v>4711</v>
      </c>
      <c r="AU359" t="s">
        <v>10</v>
      </c>
      <c r="AV359" t="s">
        <v>4712</v>
      </c>
      <c r="AW359" t="s">
        <v>4712</v>
      </c>
      <c r="AX359" t="s">
        <v>4713</v>
      </c>
      <c r="AY359" t="s">
        <v>4714</v>
      </c>
      <c r="AZ359" t="s">
        <v>4715</v>
      </c>
      <c r="BA359" t="s">
        <v>4716</v>
      </c>
      <c r="BB359" t="s">
        <v>4717</v>
      </c>
      <c r="BC359" t="s">
        <v>4716</v>
      </c>
      <c r="BD359">
        <v>201106</v>
      </c>
      <c r="BE359">
        <v>2036118522</v>
      </c>
      <c r="BF359" t="s">
        <v>4718</v>
      </c>
      <c r="BG359" t="b">
        <v>0</v>
      </c>
      <c r="BH359" s="6" t="s">
        <v>4719</v>
      </c>
      <c r="BI359" t="s">
        <v>4720</v>
      </c>
      <c r="BJ359">
        <v>4453163191</v>
      </c>
      <c r="BK359" t="s">
        <v>162</v>
      </c>
      <c r="BL359" t="s">
        <v>161</v>
      </c>
      <c r="BM359" s="2"/>
      <c r="BO359" t="s">
        <v>89</v>
      </c>
      <c r="BP359">
        <v>85444221</v>
      </c>
      <c r="BR359" t="s">
        <v>180</v>
      </c>
      <c r="BS359" t="s">
        <v>103</v>
      </c>
      <c r="BU359">
        <v>0</v>
      </c>
      <c r="BV359">
        <v>50.35</v>
      </c>
      <c r="BW359">
        <v>0</v>
      </c>
      <c r="BX359">
        <v>0</v>
      </c>
      <c r="BY359">
        <v>0</v>
      </c>
      <c r="BZ359">
        <v>0</v>
      </c>
      <c r="CA359">
        <v>50.35</v>
      </c>
      <c r="CF359" s="2"/>
      <c r="CH359" s="2"/>
      <c r="CJ359">
        <v>5.3142019950178099E+17</v>
      </c>
      <c r="CK359" t="s">
        <v>2710</v>
      </c>
      <c r="CL359">
        <v>43799.383437500001</v>
      </c>
      <c r="CO359" t="s">
        <v>11</v>
      </c>
      <c r="CP359">
        <v>387.33</v>
      </c>
      <c r="CQ359" t="s">
        <v>11</v>
      </c>
      <c r="CR359">
        <v>387.33</v>
      </c>
      <c r="CV359" t="s">
        <v>190</v>
      </c>
      <c r="CW359" t="s">
        <v>12</v>
      </c>
      <c r="CX359" t="s">
        <v>12</v>
      </c>
      <c r="CY359" t="s">
        <v>12</v>
      </c>
      <c r="DA359" t="s">
        <v>104</v>
      </c>
      <c r="DD359" t="s">
        <v>93</v>
      </c>
      <c r="DQ359" t="s">
        <v>94</v>
      </c>
      <c r="DR359" t="s">
        <v>94</v>
      </c>
      <c r="DS359" t="s">
        <v>94</v>
      </c>
      <c r="DT359" t="s">
        <v>94</v>
      </c>
      <c r="DU359" t="s">
        <v>94</v>
      </c>
      <c r="DV359" t="s">
        <v>94</v>
      </c>
      <c r="DW359" t="s">
        <v>94</v>
      </c>
      <c r="DX359" s="2" t="s">
        <v>94</v>
      </c>
      <c r="DY359" t="s">
        <v>94</v>
      </c>
      <c r="DZ359" t="s">
        <v>94</v>
      </c>
      <c r="EA359" t="s">
        <v>94</v>
      </c>
      <c r="EB359" t="s">
        <v>94</v>
      </c>
      <c r="EC359" t="s">
        <v>94</v>
      </c>
      <c r="ED359" t="s">
        <v>94</v>
      </c>
      <c r="EE359" t="s">
        <v>89</v>
      </c>
      <c r="EF359" t="s">
        <v>425</v>
      </c>
      <c r="EG359" t="s">
        <v>105</v>
      </c>
      <c r="EJ359" t="s">
        <v>166</v>
      </c>
      <c r="EK359" t="b">
        <v>0</v>
      </c>
      <c r="EL359" t="b">
        <v>0</v>
      </c>
      <c r="EM359" t="b">
        <v>0</v>
      </c>
    </row>
    <row r="360" spans="3:143" ht="15">
      <c r="C360" s="82">
        <v>23</v>
      </c>
      <c r="D360" s="5">
        <v>106</v>
      </c>
      <c r="E360" s="4">
        <v>4</v>
      </c>
      <c r="F360" s="5">
        <v>106</v>
      </c>
      <c r="G360" s="5" t="s">
        <v>4747</v>
      </c>
      <c r="H360" s="4" t="s">
        <v>691</v>
      </c>
      <c r="I360" s="81" t="s">
        <v>920</v>
      </c>
      <c r="J360" s="21"/>
      <c r="K360" s="22" t="s">
        <v>4726</v>
      </c>
      <c r="L360" s="84" t="s">
        <v>4630</v>
      </c>
      <c r="M360" s="23" t="s">
        <v>905</v>
      </c>
      <c r="N360" s="23">
        <v>43798</v>
      </c>
      <c r="O360" s="24" t="s">
        <v>102</v>
      </c>
      <c r="P360" s="24" t="s">
        <v>480</v>
      </c>
      <c r="Q360" s="24">
        <v>4</v>
      </c>
      <c r="R360" s="24">
        <v>79.5</v>
      </c>
      <c r="S360" t="s">
        <v>528</v>
      </c>
      <c r="T360">
        <v>129</v>
      </c>
      <c r="U360" s="2"/>
      <c r="W360" s="2"/>
      <c r="AB360" t="s">
        <v>9</v>
      </c>
      <c r="AC360" t="s">
        <v>4727</v>
      </c>
      <c r="AD360" t="s">
        <v>1602</v>
      </c>
      <c r="AE360" t="s">
        <v>183</v>
      </c>
      <c r="AF360" t="s">
        <v>183</v>
      </c>
      <c r="AG360">
        <v>3116528</v>
      </c>
      <c r="AH360" t="s">
        <v>4728</v>
      </c>
      <c r="AI360" t="s">
        <v>4728</v>
      </c>
      <c r="AJ360" t="s">
        <v>776</v>
      </c>
      <c r="AK360" t="s">
        <v>777</v>
      </c>
      <c r="AL360" t="s">
        <v>4729</v>
      </c>
      <c r="AM360" t="s">
        <v>4730</v>
      </c>
      <c r="AN360" t="s">
        <v>4731</v>
      </c>
      <c r="AO360" t="s">
        <v>4732</v>
      </c>
      <c r="AP360" t="s">
        <v>4733</v>
      </c>
      <c r="AQ360" t="s">
        <v>4734</v>
      </c>
      <c r="AR360">
        <v>99334</v>
      </c>
      <c r="AS360" t="s">
        <v>4735</v>
      </c>
      <c r="AT360" t="s">
        <v>4736</v>
      </c>
      <c r="AU360" t="s">
        <v>10</v>
      </c>
      <c r="AV360" t="s">
        <v>4737</v>
      </c>
      <c r="AW360" t="s">
        <v>4737</v>
      </c>
      <c r="AX360" t="s">
        <v>4738</v>
      </c>
      <c r="AY360" s="2"/>
      <c r="BA360" t="s">
        <v>4739</v>
      </c>
      <c r="BB360" t="s">
        <v>4740</v>
      </c>
      <c r="BC360" t="s">
        <v>4741</v>
      </c>
      <c r="BD360">
        <v>215007</v>
      </c>
      <c r="BE360" t="s">
        <v>4742</v>
      </c>
      <c r="BF360" t="s">
        <v>4743</v>
      </c>
      <c r="BG360" t="b">
        <v>0</v>
      </c>
      <c r="BH360" s="6" t="s">
        <v>4744</v>
      </c>
      <c r="BI360" t="s">
        <v>4745</v>
      </c>
      <c r="BJ360">
        <v>4453163191</v>
      </c>
      <c r="BK360" t="s">
        <v>162</v>
      </c>
      <c r="BL360" t="s">
        <v>161</v>
      </c>
      <c r="BM360" s="2"/>
      <c r="BN360" t="s">
        <v>4746</v>
      </c>
      <c r="BR360" t="s">
        <v>189</v>
      </c>
      <c r="BS360" t="s">
        <v>103</v>
      </c>
      <c r="BU360">
        <v>0</v>
      </c>
      <c r="BV360">
        <v>0</v>
      </c>
      <c r="BW360">
        <v>0</v>
      </c>
      <c r="BX360">
        <v>0</v>
      </c>
      <c r="BY360">
        <v>0</v>
      </c>
      <c r="BZ360">
        <v>0</v>
      </c>
      <c r="CA360">
        <v>0</v>
      </c>
      <c r="CF360" s="2"/>
      <c r="CH360" s="2"/>
      <c r="CK360" t="s">
        <v>4402</v>
      </c>
      <c r="CL360">
        <v>43798.560763888891</v>
      </c>
      <c r="CO360" t="s">
        <v>11</v>
      </c>
      <c r="CP360">
        <v>994.76</v>
      </c>
      <c r="CQ360" t="s">
        <v>11</v>
      </c>
      <c r="CR360">
        <v>994.76</v>
      </c>
      <c r="CV360" t="s">
        <v>525</v>
      </c>
      <c r="CW360" t="s">
        <v>12</v>
      </c>
      <c r="CX360" t="s">
        <v>12</v>
      </c>
      <c r="CY360" t="s">
        <v>12</v>
      </c>
      <c r="DA360" t="s">
        <v>104</v>
      </c>
      <c r="DD360" t="s">
        <v>93</v>
      </c>
      <c r="DQ360" t="s">
        <v>94</v>
      </c>
      <c r="DR360" t="s">
        <v>94</v>
      </c>
      <c r="DS360" t="s">
        <v>94</v>
      </c>
      <c r="DT360" t="s">
        <v>94</v>
      </c>
      <c r="DU360" t="s">
        <v>94</v>
      </c>
      <c r="DV360" t="s">
        <v>94</v>
      </c>
      <c r="DW360" t="s">
        <v>94</v>
      </c>
      <c r="DX360" s="2" t="s">
        <v>94</v>
      </c>
      <c r="DY360" t="s">
        <v>94</v>
      </c>
      <c r="DZ360" t="s">
        <v>94</v>
      </c>
      <c r="EA360" t="s">
        <v>94</v>
      </c>
      <c r="EB360" t="s">
        <v>94</v>
      </c>
      <c r="EC360" t="s">
        <v>94</v>
      </c>
      <c r="ED360" t="s">
        <v>94</v>
      </c>
      <c r="EE360" t="s">
        <v>89</v>
      </c>
      <c r="EF360" t="s">
        <v>94</v>
      </c>
      <c r="EG360" t="s">
        <v>105</v>
      </c>
      <c r="EJ360" t="s">
        <v>166</v>
      </c>
      <c r="EK360" t="b">
        <v>0</v>
      </c>
      <c r="EL360" t="b">
        <v>0</v>
      </c>
      <c r="EM360" t="b">
        <v>0</v>
      </c>
    </row>
    <row r="361" spans="3:143" ht="15">
      <c r="C361" s="82">
        <v>12</v>
      </c>
      <c r="D361" s="5"/>
      <c r="E361" s="4">
        <v>2</v>
      </c>
      <c r="F361" s="5">
        <v>7.9</v>
      </c>
      <c r="G361" s="5" t="s">
        <v>4764</v>
      </c>
      <c r="H361" s="4" t="s">
        <v>4765</v>
      </c>
      <c r="I361" s="81" t="s">
        <v>920</v>
      </c>
      <c r="J361" s="21"/>
      <c r="K361" s="22" t="s">
        <v>4748</v>
      </c>
      <c r="L361" s="84" t="s">
        <v>4644</v>
      </c>
      <c r="M361" s="23" t="s">
        <v>920</v>
      </c>
      <c r="N361" s="23">
        <v>43799</v>
      </c>
      <c r="O361" s="24" t="s">
        <v>102</v>
      </c>
      <c r="P361" s="24" t="s">
        <v>181</v>
      </c>
      <c r="Q361" s="24">
        <v>2</v>
      </c>
      <c r="R361" s="24">
        <v>7.9</v>
      </c>
      <c r="S361" t="s">
        <v>11</v>
      </c>
      <c r="T361">
        <v>400</v>
      </c>
      <c r="U361" s="2" t="s">
        <v>163</v>
      </c>
      <c r="V361">
        <v>43799.852222222224</v>
      </c>
      <c r="W361" s="2" t="s">
        <v>444</v>
      </c>
      <c r="X361">
        <v>43799.867719907408</v>
      </c>
      <c r="AB361" t="s">
        <v>9</v>
      </c>
      <c r="AC361" t="s">
        <v>2938</v>
      </c>
      <c r="AD361" t="s">
        <v>191</v>
      </c>
      <c r="AE361">
        <v>21259</v>
      </c>
      <c r="AF361">
        <v>21259</v>
      </c>
      <c r="AG361" t="s">
        <v>183</v>
      </c>
      <c r="AH361" t="s">
        <v>4749</v>
      </c>
      <c r="AI361" t="s">
        <v>4749</v>
      </c>
      <c r="AJ361" t="s">
        <v>184</v>
      </c>
      <c r="AK361" t="s">
        <v>185</v>
      </c>
      <c r="AL361" t="s">
        <v>4750</v>
      </c>
      <c r="AM361" t="s">
        <v>4751</v>
      </c>
      <c r="AN361" t="s">
        <v>4752</v>
      </c>
      <c r="AO361" t="s">
        <v>4753</v>
      </c>
      <c r="AP361" t="s">
        <v>2943</v>
      </c>
      <c r="AQ361" t="s">
        <v>4754</v>
      </c>
      <c r="AR361" t="s">
        <v>4755</v>
      </c>
      <c r="AS361">
        <v>1527876412</v>
      </c>
      <c r="AT361" t="s">
        <v>4756</v>
      </c>
      <c r="AU361" t="s">
        <v>10</v>
      </c>
      <c r="AV361" t="s">
        <v>4757</v>
      </c>
      <c r="AW361" t="s">
        <v>4757</v>
      </c>
      <c r="AX361" t="s">
        <v>4758</v>
      </c>
      <c r="AY361" s="2" t="s">
        <v>4759</v>
      </c>
      <c r="BA361" t="s">
        <v>371</v>
      </c>
      <c r="BB361" t="s">
        <v>192</v>
      </c>
      <c r="BC361" t="s">
        <v>188</v>
      </c>
      <c r="BD361">
        <v>523700</v>
      </c>
      <c r="BE361" t="s">
        <v>4760</v>
      </c>
      <c r="BF361" t="s">
        <v>4761</v>
      </c>
      <c r="BG361" t="b">
        <v>0</v>
      </c>
      <c r="BH361" s="6" t="s">
        <v>4762</v>
      </c>
      <c r="BI361" t="s">
        <v>4763</v>
      </c>
      <c r="BJ361">
        <v>4453163191</v>
      </c>
      <c r="BK361" t="s">
        <v>162</v>
      </c>
      <c r="BL361" t="s">
        <v>161</v>
      </c>
      <c r="BM361" s="2"/>
      <c r="BO361" t="s">
        <v>89</v>
      </c>
      <c r="BP361">
        <v>85444221</v>
      </c>
      <c r="BR361" t="s">
        <v>180</v>
      </c>
      <c r="BS361" t="s">
        <v>103</v>
      </c>
      <c r="BU361">
        <v>0</v>
      </c>
      <c r="BV361">
        <v>52</v>
      </c>
      <c r="BW361">
        <v>0</v>
      </c>
      <c r="BX361">
        <v>0</v>
      </c>
      <c r="BY361">
        <v>0</v>
      </c>
      <c r="BZ361">
        <v>0</v>
      </c>
      <c r="CA361">
        <v>52</v>
      </c>
      <c r="CF361" s="2"/>
      <c r="CH361" s="2"/>
      <c r="CJ361">
        <v>5.3142019950178099E+17</v>
      </c>
      <c r="CK361" t="s">
        <v>2710</v>
      </c>
      <c r="CL361">
        <v>43799.381064814814</v>
      </c>
      <c r="CO361" t="s">
        <v>11</v>
      </c>
      <c r="CP361">
        <v>400</v>
      </c>
      <c r="CQ361" t="s">
        <v>11</v>
      </c>
      <c r="CR361">
        <v>400</v>
      </c>
      <c r="CV361" t="s">
        <v>190</v>
      </c>
      <c r="CW361" t="s">
        <v>12</v>
      </c>
      <c r="CX361" t="s">
        <v>12</v>
      </c>
      <c r="CY361" t="s">
        <v>12</v>
      </c>
      <c r="DA361" t="s">
        <v>104</v>
      </c>
      <c r="DD361" t="s">
        <v>93</v>
      </c>
      <c r="DQ361" t="s">
        <v>94</v>
      </c>
      <c r="DR361" t="s">
        <v>94</v>
      </c>
      <c r="DS361" t="s">
        <v>94</v>
      </c>
      <c r="DT361" t="s">
        <v>94</v>
      </c>
      <c r="DU361" t="s">
        <v>94</v>
      </c>
      <c r="DV361" t="s">
        <v>94</v>
      </c>
      <c r="DW361" t="s">
        <v>94</v>
      </c>
      <c r="DX361" s="2" t="s">
        <v>94</v>
      </c>
      <c r="DY361" t="s">
        <v>94</v>
      </c>
      <c r="DZ361" t="s">
        <v>94</v>
      </c>
      <c r="EA361" t="s">
        <v>94</v>
      </c>
      <c r="EB361" t="s">
        <v>94</v>
      </c>
      <c r="EC361" t="s">
        <v>94</v>
      </c>
      <c r="ED361" t="s">
        <v>94</v>
      </c>
      <c r="EE361" t="s">
        <v>89</v>
      </c>
      <c r="EF361" t="s">
        <v>425</v>
      </c>
      <c r="EG361" t="s">
        <v>105</v>
      </c>
      <c r="EJ361" t="s">
        <v>166</v>
      </c>
      <c r="EK361" t="b">
        <v>0</v>
      </c>
      <c r="EL361" t="b">
        <v>0</v>
      </c>
      <c r="EM361" t="b">
        <v>0</v>
      </c>
    </row>
    <row r="362" spans="3:143" ht="15">
      <c r="C362" s="82">
        <v>23</v>
      </c>
      <c r="D362" s="5"/>
      <c r="E362" s="4">
        <v>4</v>
      </c>
      <c r="F362" s="5">
        <v>28</v>
      </c>
      <c r="G362" s="5" t="s">
        <v>4779</v>
      </c>
      <c r="H362" s="4" t="s">
        <v>4780</v>
      </c>
      <c r="I362" s="81" t="s">
        <v>164</v>
      </c>
      <c r="J362" s="21" t="b">
        <v>1</v>
      </c>
      <c r="K362" s="22">
        <v>325392093</v>
      </c>
      <c r="L362" s="84" t="s">
        <v>4766</v>
      </c>
      <c r="M362" s="23" t="s">
        <v>164</v>
      </c>
      <c r="N362" s="23">
        <v>43802</v>
      </c>
      <c r="O362" s="24" t="s">
        <v>102</v>
      </c>
      <c r="P362" s="24" t="s">
        <v>181</v>
      </c>
      <c r="Q362" s="24">
        <v>4</v>
      </c>
      <c r="R362" s="24">
        <v>28</v>
      </c>
      <c r="S362" t="s">
        <v>319</v>
      </c>
      <c r="T362">
        <v>711.2</v>
      </c>
      <c r="U362" s="2" t="s">
        <v>163</v>
      </c>
      <c r="V362">
        <v>43802.848356481481</v>
      </c>
      <c r="W362" s="2" t="s">
        <v>427</v>
      </c>
      <c r="X362">
        <v>43802.863541666666</v>
      </c>
      <c r="AB362" t="s">
        <v>9</v>
      </c>
      <c r="AC362" t="s">
        <v>4767</v>
      </c>
      <c r="AD362" t="s">
        <v>191</v>
      </c>
      <c r="AE362" t="s">
        <v>183</v>
      </c>
      <c r="AF362" t="s">
        <v>183</v>
      </c>
      <c r="AG362">
        <v>98985</v>
      </c>
      <c r="AH362" t="s">
        <v>4768</v>
      </c>
      <c r="AI362" t="s">
        <v>4768</v>
      </c>
      <c r="AJ362" t="s">
        <v>184</v>
      </c>
      <c r="AK362" t="s">
        <v>185</v>
      </c>
      <c r="AL362" t="s">
        <v>4769</v>
      </c>
      <c r="AM362" t="s">
        <v>4770</v>
      </c>
      <c r="AN362" t="s">
        <v>4771</v>
      </c>
      <c r="AO362" t="s">
        <v>4772</v>
      </c>
      <c r="AP362" t="s">
        <v>4773</v>
      </c>
      <c r="AQ362" t="s">
        <v>4774</v>
      </c>
      <c r="AR362" t="s">
        <v>4775</v>
      </c>
      <c r="AS362">
        <v>441642754042</v>
      </c>
      <c r="AT362" t="s">
        <v>4776</v>
      </c>
      <c r="AU362" t="s">
        <v>10</v>
      </c>
      <c r="AV362" t="s">
        <v>3799</v>
      </c>
      <c r="AW362" t="s">
        <v>3799</v>
      </c>
      <c r="AX362" t="s">
        <v>3800</v>
      </c>
      <c r="AY362" s="2" t="s">
        <v>166</v>
      </c>
      <c r="BA362" t="s">
        <v>371</v>
      </c>
      <c r="BB362" t="s">
        <v>192</v>
      </c>
      <c r="BC362" t="s">
        <v>188</v>
      </c>
      <c r="BD362">
        <v>523750</v>
      </c>
      <c r="BE362" t="s">
        <v>3801</v>
      </c>
      <c r="BF362" t="s">
        <v>3802</v>
      </c>
      <c r="BG362" t="b">
        <v>0</v>
      </c>
      <c r="BH362" s="6" t="s">
        <v>4777</v>
      </c>
      <c r="BI362" t="s">
        <v>4778</v>
      </c>
      <c r="BJ362">
        <v>4453163191</v>
      </c>
      <c r="BK362" t="s">
        <v>162</v>
      </c>
      <c r="BL362" t="s">
        <v>161</v>
      </c>
      <c r="BM362" s="2"/>
      <c r="BN362" t="s">
        <v>3805</v>
      </c>
      <c r="BO362" t="s">
        <v>89</v>
      </c>
      <c r="BP362">
        <v>84718000</v>
      </c>
      <c r="BR362" t="s">
        <v>189</v>
      </c>
      <c r="BS362" t="s">
        <v>103</v>
      </c>
      <c r="BU362">
        <v>0</v>
      </c>
      <c r="BV362">
        <v>647.42999999999995</v>
      </c>
      <c r="BW362">
        <v>0</v>
      </c>
      <c r="BX362">
        <v>0</v>
      </c>
      <c r="BY362">
        <v>0</v>
      </c>
      <c r="BZ362">
        <v>0</v>
      </c>
      <c r="CA362">
        <v>647.42999999999995</v>
      </c>
      <c r="CB362" t="s">
        <v>444</v>
      </c>
      <c r="CF362" s="2"/>
      <c r="CH362" s="2"/>
      <c r="CJ362">
        <v>5.3142019950179302E+17</v>
      </c>
      <c r="CK362" t="s">
        <v>2648</v>
      </c>
      <c r="CL362">
        <v>43802.379861111112</v>
      </c>
      <c r="CO362" t="s">
        <v>11</v>
      </c>
      <c r="CP362">
        <v>4980.25</v>
      </c>
      <c r="CQ362" t="s">
        <v>11</v>
      </c>
      <c r="CR362">
        <v>4980.25</v>
      </c>
      <c r="CV362" t="s">
        <v>525</v>
      </c>
      <c r="CW362" t="s">
        <v>12</v>
      </c>
      <c r="CX362" t="s">
        <v>12</v>
      </c>
      <c r="CY362" t="s">
        <v>12</v>
      </c>
      <c r="DA362" t="s">
        <v>104</v>
      </c>
      <c r="DD362" t="s">
        <v>93</v>
      </c>
      <c r="DQ362" t="s">
        <v>94</v>
      </c>
      <c r="DR362" t="s">
        <v>94</v>
      </c>
      <c r="DS362" t="s">
        <v>94</v>
      </c>
      <c r="DT362" t="s">
        <v>94</v>
      </c>
      <c r="DU362" t="s">
        <v>94</v>
      </c>
      <c r="DV362" t="s">
        <v>94</v>
      </c>
      <c r="DW362" t="s">
        <v>94</v>
      </c>
      <c r="DX362" s="2" t="s">
        <v>94</v>
      </c>
      <c r="DY362" t="s">
        <v>94</v>
      </c>
      <c r="DZ362" t="s">
        <v>94</v>
      </c>
      <c r="EA362" t="s">
        <v>94</v>
      </c>
      <c r="EB362" t="s">
        <v>94</v>
      </c>
      <c r="EC362" t="s">
        <v>94</v>
      </c>
      <c r="ED362" t="s">
        <v>94</v>
      </c>
      <c r="EE362" t="s">
        <v>89</v>
      </c>
      <c r="EF362" t="s">
        <v>425</v>
      </c>
      <c r="EG362" t="s">
        <v>105</v>
      </c>
      <c r="EJ362" t="s">
        <v>166</v>
      </c>
      <c r="EK362" t="b">
        <v>0</v>
      </c>
      <c r="EL362" t="b">
        <v>0</v>
      </c>
      <c r="EM362" t="b">
        <v>0</v>
      </c>
    </row>
    <row r="363" spans="3:143" ht="15">
      <c r="C363" s="82">
        <v>33</v>
      </c>
      <c r="D363" s="5"/>
      <c r="E363" s="4">
        <v>3</v>
      </c>
      <c r="F363" s="5">
        <v>48</v>
      </c>
      <c r="G363" s="5" t="s">
        <v>4813</v>
      </c>
      <c r="H363" s="4" t="s">
        <v>4814</v>
      </c>
      <c r="I363" s="81" t="s">
        <v>920</v>
      </c>
      <c r="J363" s="21"/>
      <c r="K363" s="22" t="s">
        <v>4815</v>
      </c>
      <c r="L363" s="84" t="s">
        <v>4781</v>
      </c>
      <c r="M363" s="23" t="s">
        <v>905</v>
      </c>
      <c r="N363" s="23">
        <v>43804</v>
      </c>
      <c r="O363" s="24" t="s">
        <v>102</v>
      </c>
      <c r="P363" s="24" t="s">
        <v>181</v>
      </c>
      <c r="Q363" s="24">
        <v>3</v>
      </c>
      <c r="R363" s="24">
        <v>48</v>
      </c>
      <c r="S363" t="s">
        <v>319</v>
      </c>
      <c r="T363">
        <v>608.85</v>
      </c>
      <c r="U363" s="2" t="s">
        <v>163</v>
      </c>
      <c r="V363">
        <v>43804.850451388891</v>
      </c>
      <c r="W363" s="2" t="s">
        <v>427</v>
      </c>
      <c r="X363">
        <v>43804.858472222222</v>
      </c>
      <c r="AB363" t="s">
        <v>9</v>
      </c>
      <c r="AC363" t="s">
        <v>257</v>
      </c>
      <c r="AD363" t="s">
        <v>241</v>
      </c>
      <c r="AE363">
        <v>23663</v>
      </c>
      <c r="AF363">
        <v>23663</v>
      </c>
      <c r="AG363" t="s">
        <v>4816</v>
      </c>
      <c r="AH363" t="s">
        <v>4782</v>
      </c>
      <c r="AI363" t="s">
        <v>4782</v>
      </c>
      <c r="AJ363" t="s">
        <v>259</v>
      </c>
      <c r="AK363" t="s">
        <v>260</v>
      </c>
      <c r="AL363" t="s">
        <v>4783</v>
      </c>
      <c r="AM363" t="s">
        <v>4784</v>
      </c>
      <c r="AO363" t="s">
        <v>4785</v>
      </c>
      <c r="AP363" t="s">
        <v>265</v>
      </c>
      <c r="AQ363" t="s">
        <v>4786</v>
      </c>
      <c r="AR363">
        <v>22015</v>
      </c>
      <c r="AS363" t="s">
        <v>4817</v>
      </c>
      <c r="AT363" t="s">
        <v>4787</v>
      </c>
      <c r="AU363" t="s">
        <v>10</v>
      </c>
      <c r="AV363" t="s">
        <v>4788</v>
      </c>
      <c r="AW363" t="s">
        <v>4788</v>
      </c>
      <c r="AX363" t="s">
        <v>4789</v>
      </c>
      <c r="AY363" s="2" t="s">
        <v>4790</v>
      </c>
      <c r="AZ363" t="s">
        <v>4791</v>
      </c>
      <c r="BA363" t="s">
        <v>4339</v>
      </c>
      <c r="BB363" t="s">
        <v>4340</v>
      </c>
      <c r="BC363" t="s">
        <v>188</v>
      </c>
      <c r="BD363">
        <v>516166</v>
      </c>
      <c r="BE363" t="s">
        <v>4792</v>
      </c>
      <c r="BF363" t="s">
        <v>4793</v>
      </c>
      <c r="BG363" t="b">
        <v>0</v>
      </c>
      <c r="BH363" s="6" t="s">
        <v>4794</v>
      </c>
      <c r="BI363" t="s">
        <v>4795</v>
      </c>
      <c r="BJ363">
        <v>4453163191</v>
      </c>
      <c r="BK363" t="s">
        <v>162</v>
      </c>
      <c r="BL363" t="s">
        <v>161</v>
      </c>
      <c r="BM363" s="2"/>
      <c r="BN363" t="s">
        <v>4796</v>
      </c>
      <c r="BO363" t="s">
        <v>89</v>
      </c>
      <c r="BP363">
        <v>8480719090</v>
      </c>
      <c r="BR363" t="s">
        <v>189</v>
      </c>
      <c r="BS363" t="s">
        <v>103</v>
      </c>
      <c r="BU363">
        <v>0</v>
      </c>
      <c r="BV363">
        <v>554.26</v>
      </c>
      <c r="BW363">
        <v>0</v>
      </c>
      <c r="BX363">
        <v>0</v>
      </c>
      <c r="BY363">
        <v>0</v>
      </c>
      <c r="BZ363">
        <v>0</v>
      </c>
      <c r="CA363">
        <v>554.26</v>
      </c>
      <c r="CB363" t="s">
        <v>444</v>
      </c>
      <c r="CF363" s="2"/>
      <c r="CH363" s="2"/>
      <c r="CJ363">
        <v>5.3142019950181197E+17</v>
      </c>
      <c r="CK363" t="s">
        <v>2648</v>
      </c>
      <c r="CL363">
        <v>43804.382025462961</v>
      </c>
      <c r="CO363" t="s">
        <v>11</v>
      </c>
      <c r="CP363">
        <v>4263.53</v>
      </c>
      <c r="CQ363" t="s">
        <v>11</v>
      </c>
      <c r="CR363">
        <v>4263.53</v>
      </c>
      <c r="CV363" t="s">
        <v>525</v>
      </c>
      <c r="CW363" t="s">
        <v>12</v>
      </c>
      <c r="CX363" t="s">
        <v>12</v>
      </c>
      <c r="CY363" t="s">
        <v>12</v>
      </c>
      <c r="DA363" t="s">
        <v>104</v>
      </c>
      <c r="DD363" t="s">
        <v>93</v>
      </c>
      <c r="DQ363" t="s">
        <v>94</v>
      </c>
      <c r="DR363" t="s">
        <v>94</v>
      </c>
      <c r="DS363" t="s">
        <v>94</v>
      </c>
      <c r="DT363" t="s">
        <v>94</v>
      </c>
      <c r="DU363" t="s">
        <v>94</v>
      </c>
      <c r="DV363" t="s">
        <v>94</v>
      </c>
      <c r="DW363" t="s">
        <v>94</v>
      </c>
      <c r="DX363" s="2" t="s">
        <v>94</v>
      </c>
      <c r="DY363" t="s">
        <v>94</v>
      </c>
      <c r="DZ363" t="s">
        <v>94</v>
      </c>
      <c r="EA363" t="s">
        <v>94</v>
      </c>
      <c r="EB363" t="s">
        <v>94</v>
      </c>
      <c r="EC363" t="s">
        <v>94</v>
      </c>
      <c r="ED363" t="s">
        <v>94</v>
      </c>
      <c r="EE363" t="s">
        <v>89</v>
      </c>
      <c r="EF363" t="s">
        <v>425</v>
      </c>
      <c r="EG363" t="s">
        <v>105</v>
      </c>
      <c r="EJ363" t="s">
        <v>166</v>
      </c>
      <c r="EK363" t="b">
        <v>0</v>
      </c>
      <c r="EL363" t="b">
        <v>0</v>
      </c>
      <c r="EM363" t="b">
        <v>0</v>
      </c>
    </row>
    <row r="364" spans="3:143" ht="15">
      <c r="C364" s="82">
        <v>33</v>
      </c>
      <c r="D364" s="5"/>
      <c r="E364" s="4">
        <v>1</v>
      </c>
      <c r="F364" s="5">
        <v>0.16</v>
      </c>
      <c r="G364" s="5" t="s">
        <v>4818</v>
      </c>
      <c r="H364" s="4" t="s">
        <v>4819</v>
      </c>
      <c r="I364" s="81" t="s">
        <v>920</v>
      </c>
      <c r="J364" s="21"/>
      <c r="K364" s="22" t="s">
        <v>4797</v>
      </c>
      <c r="L364" s="84" t="s">
        <v>4644</v>
      </c>
      <c r="M364" s="23" t="s">
        <v>920</v>
      </c>
      <c r="N364" s="23">
        <v>43799</v>
      </c>
      <c r="O364" s="24" t="s">
        <v>102</v>
      </c>
      <c r="P364" s="24" t="s">
        <v>179</v>
      </c>
      <c r="Q364" s="24">
        <v>1</v>
      </c>
      <c r="R364" s="24">
        <v>0.16</v>
      </c>
      <c r="S364" t="s">
        <v>528</v>
      </c>
      <c r="T364">
        <v>20</v>
      </c>
      <c r="U364" s="2" t="s">
        <v>163</v>
      </c>
      <c r="V364">
        <v>43799.852187500001</v>
      </c>
      <c r="W364" s="2" t="s">
        <v>444</v>
      </c>
      <c r="X364">
        <v>43799.867719907408</v>
      </c>
      <c r="AB364" t="s">
        <v>9</v>
      </c>
      <c r="AC364" t="s">
        <v>4798</v>
      </c>
      <c r="AD364" t="s">
        <v>209</v>
      </c>
      <c r="AE364">
        <v>1086877</v>
      </c>
      <c r="AF364">
        <v>1086877</v>
      </c>
      <c r="AG364" t="s">
        <v>183</v>
      </c>
      <c r="AH364" t="s">
        <v>4799</v>
      </c>
      <c r="AI364" t="s">
        <v>4799</v>
      </c>
      <c r="AJ364" t="s">
        <v>601</v>
      </c>
      <c r="AK364" t="s">
        <v>602</v>
      </c>
      <c r="AL364" t="s">
        <v>4800</v>
      </c>
      <c r="AO364" t="s">
        <v>4801</v>
      </c>
      <c r="AP364" t="s">
        <v>4802</v>
      </c>
      <c r="AQ364" t="s">
        <v>4803</v>
      </c>
      <c r="AR364">
        <v>70043</v>
      </c>
      <c r="AS364" t="s">
        <v>4804</v>
      </c>
      <c r="AT364" t="s">
        <v>4805</v>
      </c>
      <c r="AU364" t="s">
        <v>10</v>
      </c>
      <c r="AV364" t="s">
        <v>4806</v>
      </c>
      <c r="AW364" t="s">
        <v>4806</v>
      </c>
      <c r="AX364" t="s">
        <v>4807</v>
      </c>
      <c r="AY364" s="2"/>
      <c r="BA364" t="s">
        <v>4808</v>
      </c>
      <c r="BB364" t="s">
        <v>223</v>
      </c>
      <c r="BC364" t="s">
        <v>188</v>
      </c>
      <c r="BD364">
        <v>510700</v>
      </c>
      <c r="BE364" t="s">
        <v>4809</v>
      </c>
      <c r="BF364" t="s">
        <v>4810</v>
      </c>
      <c r="BG364" t="b">
        <v>0</v>
      </c>
      <c r="BH364" s="6" t="s">
        <v>4811</v>
      </c>
      <c r="BI364" t="s">
        <v>4812</v>
      </c>
      <c r="BJ364">
        <v>4453163191</v>
      </c>
      <c r="BK364" t="s">
        <v>162</v>
      </c>
      <c r="BL364" t="s">
        <v>161</v>
      </c>
      <c r="BM364" s="2"/>
      <c r="BO364" t="s">
        <v>89</v>
      </c>
      <c r="BP364">
        <v>85369090</v>
      </c>
      <c r="BR364" t="s">
        <v>180</v>
      </c>
      <c r="BS364" t="s">
        <v>103</v>
      </c>
      <c r="BU364">
        <v>0</v>
      </c>
      <c r="BV364">
        <v>0</v>
      </c>
      <c r="BW364">
        <v>0</v>
      </c>
      <c r="BX364">
        <v>0</v>
      </c>
      <c r="BY364">
        <v>0</v>
      </c>
      <c r="BZ364">
        <v>0</v>
      </c>
      <c r="CA364">
        <v>0</v>
      </c>
      <c r="CF364" s="2"/>
      <c r="CH364" s="2"/>
      <c r="CJ364">
        <v>5.3142019950178099E+17</v>
      </c>
      <c r="CK364" t="s">
        <v>2710</v>
      </c>
      <c r="CL364">
        <v>43799.381435185183</v>
      </c>
      <c r="CO364" t="s">
        <v>11</v>
      </c>
      <c r="CP364">
        <v>154.22999999999999</v>
      </c>
      <c r="CQ364" t="s">
        <v>11</v>
      </c>
      <c r="CR364">
        <v>154.22999999999999</v>
      </c>
      <c r="CV364" t="s">
        <v>190</v>
      </c>
      <c r="CW364" t="s">
        <v>12</v>
      </c>
      <c r="CX364" t="s">
        <v>12</v>
      </c>
      <c r="CY364" t="s">
        <v>12</v>
      </c>
      <c r="DA364" t="s">
        <v>104</v>
      </c>
      <c r="DD364" t="s">
        <v>93</v>
      </c>
      <c r="DQ364" t="s">
        <v>94</v>
      </c>
      <c r="DR364" t="s">
        <v>94</v>
      </c>
      <c r="DS364" t="s">
        <v>94</v>
      </c>
      <c r="DT364" t="s">
        <v>94</v>
      </c>
      <c r="DU364" t="s">
        <v>94</v>
      </c>
      <c r="DV364" t="s">
        <v>94</v>
      </c>
      <c r="DW364" t="s">
        <v>94</v>
      </c>
      <c r="DX364" s="2" t="s">
        <v>94</v>
      </c>
      <c r="DY364" t="s">
        <v>94</v>
      </c>
      <c r="DZ364" t="s">
        <v>94</v>
      </c>
      <c r="EA364" t="s">
        <v>94</v>
      </c>
      <c r="EB364" t="s">
        <v>94</v>
      </c>
      <c r="EC364" t="s">
        <v>94</v>
      </c>
      <c r="ED364" t="s">
        <v>94</v>
      </c>
      <c r="EE364" t="s">
        <v>89</v>
      </c>
      <c r="EF364" t="s">
        <v>425</v>
      </c>
      <c r="EG364" t="s">
        <v>105</v>
      </c>
      <c r="EJ364" t="s">
        <v>166</v>
      </c>
      <c r="EK364" t="b">
        <v>0</v>
      </c>
      <c r="EL364" t="b">
        <v>0</v>
      </c>
      <c r="EM364" t="b">
        <v>0</v>
      </c>
    </row>
    <row r="365" spans="3:143" ht="15">
      <c r="C365" s="82">
        <v>3</v>
      </c>
      <c r="D365" s="5"/>
      <c r="E365" s="4">
        <v>1</v>
      </c>
      <c r="F365" s="5">
        <v>3.65</v>
      </c>
      <c r="G365" s="5" t="s">
        <v>4826</v>
      </c>
      <c r="H365" s="4" t="s">
        <v>4827</v>
      </c>
      <c r="I365" s="81" t="s">
        <v>164</v>
      </c>
      <c r="J365" s="21"/>
      <c r="K365" s="22">
        <v>430123632</v>
      </c>
      <c r="L365" s="84" t="s">
        <v>4820</v>
      </c>
      <c r="M365" s="23" t="s">
        <v>164</v>
      </c>
      <c r="N365" s="23">
        <v>43796</v>
      </c>
      <c r="O365" s="24" t="s">
        <v>102</v>
      </c>
      <c r="P365" s="24" t="s">
        <v>181</v>
      </c>
      <c r="Q365" s="24">
        <v>1</v>
      </c>
      <c r="R365" s="24">
        <v>3.65</v>
      </c>
      <c r="S365" t="s">
        <v>11</v>
      </c>
      <c r="T365">
        <v>850</v>
      </c>
      <c r="U365" s="2" t="s">
        <v>163</v>
      </c>
      <c r="V365">
        <v>43796.860567129632</v>
      </c>
      <c r="W365" s="2" t="s">
        <v>444</v>
      </c>
      <c r="X365">
        <v>43796.876354166663</v>
      </c>
      <c r="AB365" t="s">
        <v>9</v>
      </c>
      <c r="AC365" t="s">
        <v>1347</v>
      </c>
      <c r="AD365" t="s">
        <v>191</v>
      </c>
      <c r="AE365">
        <v>30008129</v>
      </c>
      <c r="AF365">
        <v>30008129</v>
      </c>
      <c r="AG365" t="s">
        <v>183</v>
      </c>
      <c r="AH365" t="s">
        <v>2656</v>
      </c>
      <c r="AI365" t="s">
        <v>2656</v>
      </c>
      <c r="AJ365" t="s">
        <v>369</v>
      </c>
      <c r="AK365" t="s">
        <v>370</v>
      </c>
      <c r="AL365" t="s">
        <v>2657</v>
      </c>
      <c r="AO365" t="s">
        <v>2658</v>
      </c>
      <c r="AP365" t="s">
        <v>1351</v>
      </c>
      <c r="AQ365" t="s">
        <v>1352</v>
      </c>
      <c r="AR365">
        <v>3068</v>
      </c>
      <c r="AS365">
        <v>388430725</v>
      </c>
      <c r="AT365" t="s">
        <v>2659</v>
      </c>
      <c r="AU365" t="s">
        <v>10</v>
      </c>
      <c r="AV365" t="s">
        <v>4821</v>
      </c>
      <c r="AW365" t="s">
        <v>4821</v>
      </c>
      <c r="AX365" t="s">
        <v>4822</v>
      </c>
      <c r="AY365" s="2" t="s">
        <v>4823</v>
      </c>
      <c r="AZ365" t="s">
        <v>1083</v>
      </c>
      <c r="BA365" t="s">
        <v>726</v>
      </c>
      <c r="BB365" t="s">
        <v>192</v>
      </c>
      <c r="BC365" t="s">
        <v>188</v>
      </c>
      <c r="BD365">
        <v>523925</v>
      </c>
      <c r="BE365">
        <v>-76938866454</v>
      </c>
      <c r="BF365" t="s">
        <v>2663</v>
      </c>
      <c r="BG365" t="b">
        <v>0</v>
      </c>
      <c r="BH365" s="6" t="s">
        <v>4824</v>
      </c>
      <c r="BI365" t="s">
        <v>4825</v>
      </c>
      <c r="BJ365">
        <v>4453163191</v>
      </c>
      <c r="BK365" t="s">
        <v>162</v>
      </c>
      <c r="BL365" t="s">
        <v>161</v>
      </c>
      <c r="BM365" s="2"/>
      <c r="BO365" t="s">
        <v>89</v>
      </c>
      <c r="BP365">
        <v>3926909090</v>
      </c>
      <c r="BR365" t="s">
        <v>180</v>
      </c>
      <c r="BS365" t="s">
        <v>103</v>
      </c>
      <c r="BU365">
        <v>81</v>
      </c>
      <c r="BV365">
        <v>121.03</v>
      </c>
      <c r="BW365">
        <v>0</v>
      </c>
      <c r="BX365">
        <v>0</v>
      </c>
      <c r="BY365">
        <v>0</v>
      </c>
      <c r="BZ365">
        <v>0</v>
      </c>
      <c r="CA365">
        <v>202.03</v>
      </c>
      <c r="CF365" s="2"/>
      <c r="CH365" s="2"/>
      <c r="CJ365">
        <v>5.3142019950175603E+17</v>
      </c>
      <c r="CK365" t="s">
        <v>4402</v>
      </c>
      <c r="CL365">
        <v>43796.561076388891</v>
      </c>
      <c r="CO365" t="s">
        <v>11</v>
      </c>
      <c r="CP365">
        <v>850</v>
      </c>
      <c r="CQ365" t="s">
        <v>11</v>
      </c>
      <c r="CR365">
        <v>850</v>
      </c>
      <c r="CV365" t="s">
        <v>190</v>
      </c>
      <c r="CW365" t="s">
        <v>12</v>
      </c>
      <c r="CX365" t="s">
        <v>12</v>
      </c>
      <c r="CY365" t="s">
        <v>12</v>
      </c>
      <c r="DA365" t="s">
        <v>104</v>
      </c>
      <c r="DD365" t="s">
        <v>93</v>
      </c>
      <c r="DQ365" t="s">
        <v>94</v>
      </c>
      <c r="DR365" t="s">
        <v>94</v>
      </c>
      <c r="DS365" t="s">
        <v>94</v>
      </c>
      <c r="DT365" t="s">
        <v>94</v>
      </c>
      <c r="DU365" t="s">
        <v>94</v>
      </c>
      <c r="DV365" t="s">
        <v>94</v>
      </c>
      <c r="DW365" t="s">
        <v>94</v>
      </c>
      <c r="DX365" s="2" t="s">
        <v>94</v>
      </c>
      <c r="DY365" t="s">
        <v>94</v>
      </c>
      <c r="DZ365" t="s">
        <v>94</v>
      </c>
      <c r="EA365" t="s">
        <v>94</v>
      </c>
      <c r="EB365" t="s">
        <v>94</v>
      </c>
      <c r="EC365" t="s">
        <v>94</v>
      </c>
      <c r="ED365" t="s">
        <v>94</v>
      </c>
      <c r="EE365" t="s">
        <v>89</v>
      </c>
      <c r="EF365" t="s">
        <v>425</v>
      </c>
      <c r="EG365" t="s">
        <v>105</v>
      </c>
      <c r="EJ365" t="s">
        <v>166</v>
      </c>
      <c r="EK365" t="b">
        <v>0</v>
      </c>
      <c r="EL365" t="b">
        <v>0</v>
      </c>
      <c r="EM365" t="b">
        <v>0</v>
      </c>
    </row>
    <row r="366" spans="3:143" ht="15">
      <c r="C366" s="82">
        <v>3</v>
      </c>
      <c r="D366" s="5"/>
      <c r="E366" s="4">
        <v>2</v>
      </c>
      <c r="F366" s="5">
        <v>12.05</v>
      </c>
      <c r="G366" s="5" t="s">
        <v>4868</v>
      </c>
      <c r="H366" s="4" t="s">
        <v>4869</v>
      </c>
      <c r="I366" s="81" t="s">
        <v>164</v>
      </c>
      <c r="J366" s="21"/>
      <c r="K366" s="22" t="s">
        <v>4870</v>
      </c>
      <c r="L366" s="84" t="s">
        <v>4828</v>
      </c>
      <c r="M366" s="23" t="s">
        <v>164</v>
      </c>
      <c r="N366" s="23">
        <v>43801</v>
      </c>
      <c r="O366" s="24" t="s">
        <v>102</v>
      </c>
      <c r="P366" s="24" t="s">
        <v>181</v>
      </c>
      <c r="Q366" s="24">
        <v>2</v>
      </c>
      <c r="R366" s="24">
        <v>12.05</v>
      </c>
      <c r="S366" t="s">
        <v>528</v>
      </c>
      <c r="T366">
        <v>432.63</v>
      </c>
      <c r="U366" s="2" t="s">
        <v>163</v>
      </c>
      <c r="V366">
        <v>43801.834120370368</v>
      </c>
      <c r="W366" s="2" t="s">
        <v>444</v>
      </c>
      <c r="X366">
        <v>43803.413958333331</v>
      </c>
      <c r="AB366" t="s">
        <v>9</v>
      </c>
      <c r="AC366" t="s">
        <v>1007</v>
      </c>
      <c r="AD366" t="s">
        <v>209</v>
      </c>
      <c r="AE366" t="s">
        <v>183</v>
      </c>
      <c r="AF366" t="s">
        <v>183</v>
      </c>
      <c r="AG366">
        <v>3108588</v>
      </c>
      <c r="AH366" t="s">
        <v>4829</v>
      </c>
      <c r="AI366" t="s">
        <v>4829</v>
      </c>
      <c r="AJ366" t="s">
        <v>776</v>
      </c>
      <c r="AK366" t="s">
        <v>777</v>
      </c>
      <c r="AL366" t="s">
        <v>4830</v>
      </c>
      <c r="AM366" t="s">
        <v>4831</v>
      </c>
      <c r="AN366" t="s">
        <v>4832</v>
      </c>
      <c r="AO366" t="s">
        <v>4833</v>
      </c>
      <c r="AP366" t="s">
        <v>1011</v>
      </c>
      <c r="AQ366" t="s">
        <v>1059</v>
      </c>
      <c r="AR366" t="s">
        <v>4871</v>
      </c>
      <c r="AS366">
        <v>-499287731734</v>
      </c>
      <c r="AT366" t="s">
        <v>4834</v>
      </c>
      <c r="AU366" t="s">
        <v>10</v>
      </c>
      <c r="AV366" t="s">
        <v>4835</v>
      </c>
      <c r="AW366" t="s">
        <v>4835</v>
      </c>
      <c r="AX366" t="s">
        <v>4836</v>
      </c>
      <c r="AY366" s="2" t="s">
        <v>4837</v>
      </c>
      <c r="BA366" t="s">
        <v>186</v>
      </c>
      <c r="BB366" t="s">
        <v>187</v>
      </c>
      <c r="BC366" t="s">
        <v>188</v>
      </c>
      <c r="BD366">
        <v>518103</v>
      </c>
      <c r="BE366" t="s">
        <v>4838</v>
      </c>
      <c r="BF366" t="s">
        <v>4839</v>
      </c>
      <c r="BG366" t="b">
        <v>0</v>
      </c>
      <c r="BH366" s="6" t="s">
        <v>4840</v>
      </c>
      <c r="BI366" t="s">
        <v>4841</v>
      </c>
      <c r="BJ366">
        <v>4453163191</v>
      </c>
      <c r="BK366" t="s">
        <v>162</v>
      </c>
      <c r="BL366" t="s">
        <v>161</v>
      </c>
      <c r="BM366" s="2"/>
      <c r="BN366" t="s">
        <v>4842</v>
      </c>
      <c r="BO366" t="s">
        <v>89</v>
      </c>
      <c r="BP366">
        <v>69111019</v>
      </c>
      <c r="BR366" t="s">
        <v>189</v>
      </c>
      <c r="BS366" t="s">
        <v>103</v>
      </c>
      <c r="BU366">
        <v>233.53</v>
      </c>
      <c r="BV366">
        <v>464.06</v>
      </c>
      <c r="BW366">
        <v>0</v>
      </c>
      <c r="BX366">
        <v>0</v>
      </c>
      <c r="BY366">
        <v>0</v>
      </c>
      <c r="BZ366">
        <v>0</v>
      </c>
      <c r="CA366">
        <v>697.59</v>
      </c>
      <c r="CF366" s="2"/>
      <c r="CH366" s="2"/>
      <c r="CJ366">
        <v>5.3142019950178502E+17</v>
      </c>
      <c r="CK366" t="s">
        <v>2648</v>
      </c>
      <c r="CL366">
        <v>43801.579224537039</v>
      </c>
      <c r="CO366" t="s">
        <v>11</v>
      </c>
      <c r="CP366">
        <v>3336.14</v>
      </c>
      <c r="CQ366" t="s">
        <v>11</v>
      </c>
      <c r="CR366">
        <v>3336.14</v>
      </c>
      <c r="CV366" t="s">
        <v>525</v>
      </c>
      <c r="CW366" t="s">
        <v>12</v>
      </c>
      <c r="CX366" t="s">
        <v>12</v>
      </c>
      <c r="CY366" t="s">
        <v>12</v>
      </c>
      <c r="DA366" t="s">
        <v>104</v>
      </c>
      <c r="DD366" t="s">
        <v>93</v>
      </c>
      <c r="DQ366" t="s">
        <v>94</v>
      </c>
      <c r="DR366" t="s">
        <v>94</v>
      </c>
      <c r="DS366" t="s">
        <v>94</v>
      </c>
      <c r="DT366" t="s">
        <v>94</v>
      </c>
      <c r="DU366" t="s">
        <v>94</v>
      </c>
      <c r="DV366" t="s">
        <v>94</v>
      </c>
      <c r="DW366" t="s">
        <v>94</v>
      </c>
      <c r="DX366" s="2" t="s">
        <v>94</v>
      </c>
      <c r="DY366" t="s">
        <v>94</v>
      </c>
      <c r="DZ366" t="s">
        <v>94</v>
      </c>
      <c r="EA366" t="s">
        <v>94</v>
      </c>
      <c r="EB366" t="s">
        <v>94</v>
      </c>
      <c r="EC366" t="s">
        <v>94</v>
      </c>
      <c r="ED366" t="s">
        <v>94</v>
      </c>
      <c r="EE366" t="s">
        <v>89</v>
      </c>
      <c r="EF366" t="s">
        <v>425</v>
      </c>
      <c r="EG366" t="s">
        <v>105</v>
      </c>
      <c r="EJ366" t="s">
        <v>166</v>
      </c>
      <c r="EK366" t="b">
        <v>0</v>
      </c>
      <c r="EL366" t="b">
        <v>0</v>
      </c>
      <c r="EM366" t="b">
        <v>0</v>
      </c>
    </row>
    <row r="367" spans="3:143" ht="15">
      <c r="C367" s="82">
        <v>12</v>
      </c>
      <c r="D367" s="5">
        <v>291</v>
      </c>
      <c r="E367" s="4">
        <v>3</v>
      </c>
      <c r="F367" s="5">
        <v>291</v>
      </c>
      <c r="G367" s="5" t="s">
        <v>4872</v>
      </c>
      <c r="H367" s="4" t="s">
        <v>4873</v>
      </c>
      <c r="I367" s="81" t="s">
        <v>920</v>
      </c>
      <c r="J367" s="21"/>
      <c r="K367" s="22" t="s">
        <v>4874</v>
      </c>
      <c r="L367" s="84" t="s">
        <v>4781</v>
      </c>
      <c r="M367" s="23" t="s">
        <v>920</v>
      </c>
      <c r="N367" s="23">
        <v>43804</v>
      </c>
      <c r="O367" s="24" t="s">
        <v>102</v>
      </c>
      <c r="P367" s="24" t="s">
        <v>480</v>
      </c>
      <c r="Q367" s="24">
        <v>3</v>
      </c>
      <c r="R367" s="24">
        <v>238</v>
      </c>
      <c r="S367" t="s">
        <v>528</v>
      </c>
      <c r="T367">
        <v>8822.23</v>
      </c>
      <c r="U367" s="2"/>
      <c r="W367" s="2"/>
      <c r="AB367" t="s">
        <v>9</v>
      </c>
      <c r="AC367" t="s">
        <v>755</v>
      </c>
      <c r="AD367" t="s">
        <v>182</v>
      </c>
      <c r="AE367">
        <v>113228</v>
      </c>
      <c r="AF367">
        <v>113228</v>
      </c>
      <c r="AG367">
        <v>117671</v>
      </c>
      <c r="AH367" t="s">
        <v>4843</v>
      </c>
      <c r="AI367" t="s">
        <v>4843</v>
      </c>
      <c r="AJ367" t="s">
        <v>584</v>
      </c>
      <c r="AK367" t="s">
        <v>585</v>
      </c>
      <c r="AL367" t="s">
        <v>4844</v>
      </c>
      <c r="AO367" t="s">
        <v>4845</v>
      </c>
      <c r="AP367" t="s">
        <v>759</v>
      </c>
      <c r="AR367" t="s">
        <v>4846</v>
      </c>
      <c r="AS367">
        <v>-420353593918</v>
      </c>
      <c r="AT367" t="s">
        <v>4847</v>
      </c>
      <c r="AU367" t="s">
        <v>10</v>
      </c>
      <c r="AV367" t="s">
        <v>4848</v>
      </c>
      <c r="AW367" t="s">
        <v>4848</v>
      </c>
      <c r="AX367" t="s">
        <v>4849</v>
      </c>
      <c r="AY367" s="2" t="s">
        <v>4850</v>
      </c>
      <c r="AZ367" t="s">
        <v>4851</v>
      </c>
      <c r="BA367" t="s">
        <v>186</v>
      </c>
      <c r="BB367" t="s">
        <v>187</v>
      </c>
      <c r="BC367" t="s">
        <v>188</v>
      </c>
      <c r="BD367">
        <v>518108</v>
      </c>
      <c r="BE367" t="s">
        <v>4852</v>
      </c>
      <c r="BF367" t="s">
        <v>4853</v>
      </c>
      <c r="BG367" t="b">
        <v>0</v>
      </c>
      <c r="BH367" s="6" t="s">
        <v>768</v>
      </c>
      <c r="BI367" t="s">
        <v>4854</v>
      </c>
      <c r="BJ367">
        <v>4453163191</v>
      </c>
      <c r="BK367" t="s">
        <v>162</v>
      </c>
      <c r="BL367" t="s">
        <v>161</v>
      </c>
      <c r="BM367" s="2"/>
      <c r="BN367">
        <v>9.1440300790462605E+17</v>
      </c>
      <c r="BR367" t="s">
        <v>189</v>
      </c>
      <c r="BS367" t="s">
        <v>103</v>
      </c>
      <c r="BU367">
        <v>0</v>
      </c>
      <c r="BV367">
        <v>0</v>
      </c>
      <c r="BW367">
        <v>0</v>
      </c>
      <c r="BX367">
        <v>0</v>
      </c>
      <c r="BY367">
        <v>0</v>
      </c>
      <c r="BZ367">
        <v>0</v>
      </c>
      <c r="CA367">
        <v>0</v>
      </c>
      <c r="CF367" s="2"/>
      <c r="CH367" s="2"/>
      <c r="CK367" t="s">
        <v>2648</v>
      </c>
      <c r="CL367">
        <v>43804.570023148146</v>
      </c>
      <c r="CO367" t="s">
        <v>11</v>
      </c>
      <c r="CP367">
        <v>68030.86</v>
      </c>
      <c r="CQ367" t="s">
        <v>11</v>
      </c>
      <c r="CR367">
        <v>68030.86</v>
      </c>
      <c r="CV367" t="s">
        <v>525</v>
      </c>
      <c r="CW367" t="s">
        <v>12</v>
      </c>
      <c r="CX367" t="s">
        <v>12</v>
      </c>
      <c r="CY367" t="s">
        <v>12</v>
      </c>
      <c r="DA367" t="s">
        <v>104</v>
      </c>
      <c r="DD367" t="s">
        <v>93</v>
      </c>
      <c r="DQ367" t="s">
        <v>94</v>
      </c>
      <c r="DR367" t="s">
        <v>94</v>
      </c>
      <c r="DS367" t="s">
        <v>94</v>
      </c>
      <c r="DT367" t="s">
        <v>94</v>
      </c>
      <c r="DU367" t="s">
        <v>94</v>
      </c>
      <c r="DV367" t="s">
        <v>94</v>
      </c>
      <c r="DW367" t="s">
        <v>94</v>
      </c>
      <c r="DX367" s="2" t="s">
        <v>94</v>
      </c>
      <c r="DY367" t="s">
        <v>94</v>
      </c>
      <c r="DZ367" t="s">
        <v>94</v>
      </c>
      <c r="EA367" t="s">
        <v>94</v>
      </c>
      <c r="EB367" t="s">
        <v>94</v>
      </c>
      <c r="EC367" t="s">
        <v>94</v>
      </c>
      <c r="ED367" t="s">
        <v>94</v>
      </c>
      <c r="EE367" t="s">
        <v>89</v>
      </c>
      <c r="EF367" t="s">
        <v>425</v>
      </c>
      <c r="EG367" t="s">
        <v>105</v>
      </c>
      <c r="EJ367" t="s">
        <v>166</v>
      </c>
      <c r="EK367" t="b">
        <v>0</v>
      </c>
      <c r="EL367" t="b">
        <v>0</v>
      </c>
      <c r="EM367" t="b">
        <v>0</v>
      </c>
    </row>
    <row r="368" spans="3:143" ht="15">
      <c r="C368" s="82">
        <v>113</v>
      </c>
      <c r="D368" s="5"/>
      <c r="E368" s="4">
        <v>1</v>
      </c>
      <c r="F368" s="5">
        <v>0.7</v>
      </c>
      <c r="G368" s="5" t="s">
        <v>4875</v>
      </c>
      <c r="H368" s="4" t="s">
        <v>4876</v>
      </c>
      <c r="I368" s="81" t="s">
        <v>164</v>
      </c>
      <c r="J368" s="21"/>
      <c r="K368" s="22" t="s">
        <v>4855</v>
      </c>
      <c r="L368" s="84" t="s">
        <v>4856</v>
      </c>
      <c r="M368" s="23" t="s">
        <v>164</v>
      </c>
      <c r="N368" s="23">
        <v>43803</v>
      </c>
      <c r="O368" s="24" t="s">
        <v>102</v>
      </c>
      <c r="P368" s="24" t="s">
        <v>181</v>
      </c>
      <c r="Q368" s="24">
        <v>1</v>
      </c>
      <c r="R368" s="24">
        <v>0.7</v>
      </c>
      <c r="S368" t="s">
        <v>528</v>
      </c>
      <c r="T368">
        <v>566.45000000000005</v>
      </c>
      <c r="U368" s="2" t="s">
        <v>163</v>
      </c>
      <c r="V368">
        <v>43803.852013888885</v>
      </c>
      <c r="W368" s="2" t="s">
        <v>444</v>
      </c>
      <c r="X368">
        <v>43803.862002314818</v>
      </c>
      <c r="AB368" t="s">
        <v>9</v>
      </c>
      <c r="AC368" t="s">
        <v>773</v>
      </c>
      <c r="AD368" t="s">
        <v>209</v>
      </c>
      <c r="AE368">
        <v>70241169</v>
      </c>
      <c r="AF368">
        <v>70241169</v>
      </c>
      <c r="AG368">
        <v>3033525</v>
      </c>
      <c r="AH368" t="s">
        <v>4857</v>
      </c>
      <c r="AI368" t="s">
        <v>4857</v>
      </c>
      <c r="AJ368" t="s">
        <v>776</v>
      </c>
      <c r="AK368" t="s">
        <v>777</v>
      </c>
      <c r="AL368" t="s">
        <v>4858</v>
      </c>
      <c r="AO368" t="s">
        <v>4859</v>
      </c>
      <c r="AP368" t="s">
        <v>781</v>
      </c>
      <c r="AQ368" t="s">
        <v>782</v>
      </c>
      <c r="AR368">
        <v>45277</v>
      </c>
      <c r="AS368">
        <v>201858724</v>
      </c>
      <c r="AT368" t="s">
        <v>4860</v>
      </c>
      <c r="AU368" t="s">
        <v>10</v>
      </c>
      <c r="AV368" t="s">
        <v>4861</v>
      </c>
      <c r="AW368" t="s">
        <v>4861</v>
      </c>
      <c r="AX368" t="s">
        <v>4862</v>
      </c>
      <c r="AY368" s="2" t="s">
        <v>4863</v>
      </c>
      <c r="AZ368" t="s">
        <v>4864</v>
      </c>
      <c r="BA368" t="s">
        <v>230</v>
      </c>
      <c r="BB368" t="s">
        <v>223</v>
      </c>
      <c r="BC368" t="s">
        <v>188</v>
      </c>
      <c r="BD368">
        <v>510663</v>
      </c>
      <c r="BE368">
        <v>862032290390</v>
      </c>
      <c r="BF368" t="s">
        <v>4865</v>
      </c>
      <c r="BG368" t="b">
        <v>0</v>
      </c>
      <c r="BH368" s="6" t="s">
        <v>4866</v>
      </c>
      <c r="BI368" t="s">
        <v>4867</v>
      </c>
      <c r="BJ368">
        <v>4453163191</v>
      </c>
      <c r="BK368" t="s">
        <v>162</v>
      </c>
      <c r="BL368" t="s">
        <v>161</v>
      </c>
      <c r="BM368" s="2"/>
      <c r="BN368">
        <v>9.1440116753497498E+17</v>
      </c>
      <c r="BO368" t="s">
        <v>89</v>
      </c>
      <c r="BP368">
        <v>85372090</v>
      </c>
      <c r="BR368" t="s">
        <v>180</v>
      </c>
      <c r="BS368" t="s">
        <v>103</v>
      </c>
      <c r="BU368">
        <v>349.45</v>
      </c>
      <c r="BV368">
        <v>613.28</v>
      </c>
      <c r="BW368">
        <v>0</v>
      </c>
      <c r="BX368">
        <v>0</v>
      </c>
      <c r="BY368">
        <v>0</v>
      </c>
      <c r="BZ368">
        <v>0</v>
      </c>
      <c r="CA368">
        <v>962.73</v>
      </c>
      <c r="CF368" s="2"/>
      <c r="CH368" s="2"/>
      <c r="CJ368">
        <v>5.3142019950180301E+17</v>
      </c>
      <c r="CK368" t="s">
        <v>2648</v>
      </c>
      <c r="CL368">
        <v>43803.379803240743</v>
      </c>
      <c r="CO368" t="s">
        <v>11</v>
      </c>
      <c r="CP368">
        <v>4368.07</v>
      </c>
      <c r="CQ368" t="s">
        <v>11</v>
      </c>
      <c r="CR368">
        <v>4368.07</v>
      </c>
      <c r="CV368" t="s">
        <v>525</v>
      </c>
      <c r="CW368" t="s">
        <v>12</v>
      </c>
      <c r="CX368" t="s">
        <v>12</v>
      </c>
      <c r="CY368" t="s">
        <v>12</v>
      </c>
      <c r="DA368" t="s">
        <v>104</v>
      </c>
      <c r="DD368" t="s">
        <v>93</v>
      </c>
      <c r="DQ368" t="s">
        <v>94</v>
      </c>
      <c r="DR368" t="s">
        <v>94</v>
      </c>
      <c r="DS368" t="s">
        <v>94</v>
      </c>
      <c r="DT368" t="s">
        <v>94</v>
      </c>
      <c r="DU368" t="s">
        <v>94</v>
      </c>
      <c r="DV368" t="s">
        <v>94</v>
      </c>
      <c r="DW368" t="s">
        <v>94</v>
      </c>
      <c r="DX368" s="2" t="s">
        <v>94</v>
      </c>
      <c r="DY368" t="s">
        <v>94</v>
      </c>
      <c r="DZ368" t="s">
        <v>94</v>
      </c>
      <c r="EA368" t="s">
        <v>94</v>
      </c>
      <c r="EB368" t="s">
        <v>94</v>
      </c>
      <c r="EC368" t="s">
        <v>94</v>
      </c>
      <c r="ED368" t="s">
        <v>94</v>
      </c>
      <c r="EE368" t="s">
        <v>89</v>
      </c>
      <c r="EF368" t="s">
        <v>425</v>
      </c>
      <c r="EG368" t="s">
        <v>105</v>
      </c>
      <c r="EJ368" t="s">
        <v>166</v>
      </c>
      <c r="EK368" t="b">
        <v>0</v>
      </c>
      <c r="EL368" t="b">
        <v>0</v>
      </c>
      <c r="EM368" t="b">
        <v>0</v>
      </c>
    </row>
    <row r="369" spans="3:143" ht="15">
      <c r="C369" s="82">
        <v>13</v>
      </c>
      <c r="D369" s="5">
        <v>20.25</v>
      </c>
      <c r="E369" s="4">
        <v>2</v>
      </c>
      <c r="F369" s="5">
        <v>20.25</v>
      </c>
      <c r="G369" s="5" t="s">
        <v>4891</v>
      </c>
      <c r="H369" s="4" t="s">
        <v>1622</v>
      </c>
      <c r="I369" s="81" t="s">
        <v>164</v>
      </c>
      <c r="J369" s="21"/>
      <c r="K369" s="22">
        <v>432526216</v>
      </c>
      <c r="L369" s="84" t="s">
        <v>4828</v>
      </c>
      <c r="M369" s="23" t="s">
        <v>164</v>
      </c>
      <c r="N369" s="23">
        <v>43801</v>
      </c>
      <c r="O369" s="24" t="s">
        <v>102</v>
      </c>
      <c r="P369" s="24" t="s">
        <v>480</v>
      </c>
      <c r="Q369" s="24">
        <v>2</v>
      </c>
      <c r="R369" s="24">
        <v>20.25</v>
      </c>
      <c r="S369" t="s">
        <v>11</v>
      </c>
      <c r="T369">
        <v>200</v>
      </c>
      <c r="U369" s="2"/>
      <c r="W369" s="2"/>
      <c r="AB369" t="s">
        <v>9</v>
      </c>
      <c r="AC369" t="s">
        <v>4877</v>
      </c>
      <c r="AD369" t="s">
        <v>182</v>
      </c>
      <c r="AE369">
        <v>543537</v>
      </c>
      <c r="AF369">
        <v>543537</v>
      </c>
      <c r="AG369" t="s">
        <v>183</v>
      </c>
      <c r="AH369" t="s">
        <v>4878</v>
      </c>
      <c r="AI369" t="s">
        <v>4878</v>
      </c>
      <c r="AJ369" t="s">
        <v>373</v>
      </c>
      <c r="AK369" t="s">
        <v>430</v>
      </c>
      <c r="AL369" t="s">
        <v>4879</v>
      </c>
      <c r="AM369" t="s">
        <v>4880</v>
      </c>
      <c r="AO369" t="s">
        <v>4881</v>
      </c>
      <c r="AP369" t="s">
        <v>4882</v>
      </c>
      <c r="AR369">
        <v>41275</v>
      </c>
      <c r="AS369">
        <v>424960001</v>
      </c>
      <c r="AT369" t="s">
        <v>4883</v>
      </c>
      <c r="AU369" t="s">
        <v>10</v>
      </c>
      <c r="AV369" t="s">
        <v>4884</v>
      </c>
      <c r="AW369" t="s">
        <v>4884</v>
      </c>
      <c r="AX369" t="s">
        <v>4885</v>
      </c>
      <c r="AY369" s="2" t="s">
        <v>4886</v>
      </c>
      <c r="AZ369" t="s">
        <v>4887</v>
      </c>
      <c r="BA369" t="s">
        <v>194</v>
      </c>
      <c r="BB369" t="s">
        <v>187</v>
      </c>
      <c r="BC369" t="s">
        <v>188</v>
      </c>
      <c r="BD369">
        <v>518109</v>
      </c>
      <c r="BE369">
        <v>-61825940</v>
      </c>
      <c r="BF369" t="s">
        <v>4888</v>
      </c>
      <c r="BG369" t="b">
        <v>0</v>
      </c>
      <c r="BH369" s="6" t="s">
        <v>4889</v>
      </c>
      <c r="BI369" t="s">
        <v>4890</v>
      </c>
      <c r="BJ369">
        <v>4453163191</v>
      </c>
      <c r="BK369" t="s">
        <v>162</v>
      </c>
      <c r="BL369" t="s">
        <v>161</v>
      </c>
      <c r="BM369" s="2"/>
      <c r="BR369" t="s">
        <v>189</v>
      </c>
      <c r="BS369" t="s">
        <v>103</v>
      </c>
      <c r="BU369">
        <v>0</v>
      </c>
      <c r="BV369">
        <v>0</v>
      </c>
      <c r="BW369">
        <v>0</v>
      </c>
      <c r="BX369">
        <v>0</v>
      </c>
      <c r="BY369">
        <v>0</v>
      </c>
      <c r="BZ369">
        <v>0</v>
      </c>
      <c r="CA369">
        <v>0</v>
      </c>
      <c r="CF369" s="2"/>
      <c r="CH369" s="2"/>
      <c r="CK369" t="s">
        <v>2648</v>
      </c>
      <c r="CL369">
        <v>43801.381585648145</v>
      </c>
      <c r="CO369" t="s">
        <v>11</v>
      </c>
      <c r="CP369">
        <v>200</v>
      </c>
      <c r="CQ369" t="s">
        <v>11</v>
      </c>
      <c r="CR369">
        <v>200</v>
      </c>
      <c r="CV369" t="s">
        <v>190</v>
      </c>
      <c r="CW369" t="s">
        <v>12</v>
      </c>
      <c r="CX369" t="s">
        <v>12</v>
      </c>
      <c r="CY369" t="s">
        <v>12</v>
      </c>
      <c r="DA369" t="s">
        <v>104</v>
      </c>
      <c r="DD369" t="s">
        <v>93</v>
      </c>
      <c r="DQ369" t="s">
        <v>94</v>
      </c>
      <c r="DR369" t="s">
        <v>94</v>
      </c>
      <c r="DS369" t="s">
        <v>94</v>
      </c>
      <c r="DT369" t="s">
        <v>94</v>
      </c>
      <c r="DU369" t="s">
        <v>94</v>
      </c>
      <c r="DV369" t="s">
        <v>94</v>
      </c>
      <c r="DW369" t="s">
        <v>94</v>
      </c>
      <c r="DX369" s="2" t="s">
        <v>94</v>
      </c>
      <c r="DY369" t="s">
        <v>94</v>
      </c>
      <c r="DZ369" t="s">
        <v>94</v>
      </c>
      <c r="EA369" t="s">
        <v>94</v>
      </c>
      <c r="EB369" t="s">
        <v>94</v>
      </c>
      <c r="EC369" t="s">
        <v>94</v>
      </c>
      <c r="ED369" t="s">
        <v>94</v>
      </c>
      <c r="EE369" t="s">
        <v>89</v>
      </c>
      <c r="EF369" t="s">
        <v>94</v>
      </c>
      <c r="EG369" t="s">
        <v>105</v>
      </c>
      <c r="EJ369" t="s">
        <v>166</v>
      </c>
      <c r="EK369" t="b">
        <v>0</v>
      </c>
      <c r="EL369" t="b">
        <v>0</v>
      </c>
      <c r="EM369" t="b">
        <v>0</v>
      </c>
    </row>
    <row r="370" spans="3:143" ht="15">
      <c r="C370" s="82">
        <v>13</v>
      </c>
      <c r="D370" s="5">
        <v>20</v>
      </c>
      <c r="E370" s="4">
        <v>2</v>
      </c>
      <c r="F370" s="5">
        <v>20</v>
      </c>
      <c r="G370" s="5" t="s">
        <v>4892</v>
      </c>
      <c r="H370" s="4" t="s">
        <v>1622</v>
      </c>
      <c r="I370" s="81" t="s">
        <v>164</v>
      </c>
      <c r="J370" s="21"/>
      <c r="K370" s="22">
        <v>432526216</v>
      </c>
      <c r="L370" s="84" t="s">
        <v>4828</v>
      </c>
      <c r="M370" s="23" t="s">
        <v>164</v>
      </c>
      <c r="N370" s="23">
        <v>43801</v>
      </c>
      <c r="O370" s="24" t="s">
        <v>102</v>
      </c>
      <c r="P370" s="24" t="s">
        <v>480</v>
      </c>
      <c r="Q370" s="24">
        <v>2</v>
      </c>
      <c r="R370" s="24">
        <v>20.25</v>
      </c>
      <c r="S370" t="s">
        <v>11</v>
      </c>
      <c r="T370">
        <v>200</v>
      </c>
      <c r="U370" s="2"/>
      <c r="W370" s="2"/>
      <c r="AB370" t="s">
        <v>9</v>
      </c>
      <c r="AC370" t="s">
        <v>4877</v>
      </c>
      <c r="AD370" t="s">
        <v>182</v>
      </c>
      <c r="AE370">
        <v>543537</v>
      </c>
      <c r="AF370">
        <v>543537</v>
      </c>
      <c r="AG370" t="s">
        <v>183</v>
      </c>
      <c r="AH370" t="s">
        <v>4878</v>
      </c>
      <c r="AI370" t="s">
        <v>4878</v>
      </c>
      <c r="AJ370" t="s">
        <v>373</v>
      </c>
      <c r="AK370" t="s">
        <v>430</v>
      </c>
      <c r="AL370" t="s">
        <v>4879</v>
      </c>
      <c r="AM370" t="s">
        <v>4880</v>
      </c>
      <c r="AO370" t="s">
        <v>4881</v>
      </c>
      <c r="AP370" t="s">
        <v>4882</v>
      </c>
      <c r="AR370">
        <v>41275</v>
      </c>
      <c r="AS370">
        <v>424960001</v>
      </c>
      <c r="AT370" t="s">
        <v>4883</v>
      </c>
      <c r="AU370" t="s">
        <v>10</v>
      </c>
      <c r="AV370" t="s">
        <v>4884</v>
      </c>
      <c r="AW370" t="s">
        <v>4884</v>
      </c>
      <c r="AX370" t="s">
        <v>4885</v>
      </c>
      <c r="AY370" s="2" t="s">
        <v>4886</v>
      </c>
      <c r="AZ370" t="s">
        <v>4887</v>
      </c>
      <c r="BA370" t="s">
        <v>194</v>
      </c>
      <c r="BB370" t="s">
        <v>187</v>
      </c>
      <c r="BC370" t="s">
        <v>188</v>
      </c>
      <c r="BD370">
        <v>518109</v>
      </c>
      <c r="BE370">
        <v>-61825940</v>
      </c>
      <c r="BF370" t="s">
        <v>4888</v>
      </c>
      <c r="BG370" t="b">
        <v>0</v>
      </c>
      <c r="BH370" s="6" t="s">
        <v>4889</v>
      </c>
      <c r="BI370" t="s">
        <v>4890</v>
      </c>
      <c r="BJ370">
        <v>4453163191</v>
      </c>
      <c r="BK370" t="s">
        <v>162</v>
      </c>
      <c r="BL370" t="s">
        <v>161</v>
      </c>
      <c r="BM370" s="2"/>
      <c r="BR370" t="s">
        <v>189</v>
      </c>
      <c r="BS370" t="s">
        <v>103</v>
      </c>
      <c r="BU370">
        <v>0</v>
      </c>
      <c r="BV370">
        <v>0</v>
      </c>
      <c r="BW370">
        <v>0</v>
      </c>
      <c r="BX370">
        <v>0</v>
      </c>
      <c r="BY370">
        <v>0</v>
      </c>
      <c r="BZ370">
        <v>0</v>
      </c>
      <c r="CA370">
        <v>0</v>
      </c>
      <c r="CF370" s="2"/>
      <c r="CH370" s="2"/>
      <c r="CK370" t="s">
        <v>2648</v>
      </c>
      <c r="CL370">
        <v>43801.381585648145</v>
      </c>
      <c r="CO370" t="s">
        <v>11</v>
      </c>
      <c r="CP370">
        <v>200</v>
      </c>
      <c r="CQ370" t="s">
        <v>11</v>
      </c>
      <c r="CR370">
        <v>200</v>
      </c>
      <c r="CV370" t="s">
        <v>190</v>
      </c>
      <c r="CW370" t="s">
        <v>12</v>
      </c>
      <c r="CX370" t="s">
        <v>12</v>
      </c>
      <c r="CY370" t="s">
        <v>12</v>
      </c>
      <c r="DA370" t="s">
        <v>104</v>
      </c>
      <c r="DD370" t="s">
        <v>93</v>
      </c>
      <c r="DQ370" t="s">
        <v>94</v>
      </c>
      <c r="DR370" t="s">
        <v>94</v>
      </c>
      <c r="DS370" t="s">
        <v>94</v>
      </c>
      <c r="DT370" t="s">
        <v>94</v>
      </c>
      <c r="DU370" t="s">
        <v>94</v>
      </c>
      <c r="DV370" t="s">
        <v>94</v>
      </c>
      <c r="DW370" t="s">
        <v>94</v>
      </c>
      <c r="DX370" s="2" t="s">
        <v>94</v>
      </c>
      <c r="DY370" t="s">
        <v>94</v>
      </c>
      <c r="DZ370" t="s">
        <v>94</v>
      </c>
      <c r="EA370" t="s">
        <v>94</v>
      </c>
      <c r="EB370" t="s">
        <v>94</v>
      </c>
      <c r="EC370" t="s">
        <v>94</v>
      </c>
      <c r="ED370" t="s">
        <v>94</v>
      </c>
      <c r="EE370" t="s">
        <v>89</v>
      </c>
      <c r="EF370" t="s">
        <v>94</v>
      </c>
      <c r="EG370" t="s">
        <v>105</v>
      </c>
      <c r="EJ370" t="s">
        <v>166</v>
      </c>
      <c r="EK370" t="b">
        <v>0</v>
      </c>
      <c r="EL370" t="b">
        <v>0</v>
      </c>
      <c r="EM370" t="b">
        <v>0</v>
      </c>
    </row>
    <row r="371" spans="3:143" ht="15">
      <c r="C371" s="82">
        <v>13</v>
      </c>
      <c r="D371" s="5"/>
      <c r="E371" s="4">
        <v>2</v>
      </c>
      <c r="F371" s="5">
        <v>13</v>
      </c>
      <c r="G371" s="5" t="s">
        <v>4948</v>
      </c>
      <c r="H371" s="4" t="s">
        <v>4949</v>
      </c>
      <c r="I371" s="81" t="s">
        <v>164</v>
      </c>
      <c r="J371" s="21"/>
      <c r="K371" s="22" t="s">
        <v>4950</v>
      </c>
      <c r="L371" s="84" t="s">
        <v>4828</v>
      </c>
      <c r="M371" s="23" t="s">
        <v>164</v>
      </c>
      <c r="N371" s="23">
        <v>43801</v>
      </c>
      <c r="O371" s="24" t="s">
        <v>102</v>
      </c>
      <c r="P371" s="24" t="s">
        <v>480</v>
      </c>
      <c r="Q371" s="24">
        <v>2</v>
      </c>
      <c r="R371" s="24">
        <v>13</v>
      </c>
      <c r="S371" t="s">
        <v>528</v>
      </c>
      <c r="T371">
        <v>18</v>
      </c>
      <c r="U371" s="2"/>
      <c r="W371" s="2"/>
      <c r="AB371" t="s">
        <v>9</v>
      </c>
      <c r="AC371" t="s">
        <v>4663</v>
      </c>
      <c r="AD371" t="s">
        <v>275</v>
      </c>
      <c r="AE371">
        <v>1046321</v>
      </c>
      <c r="AF371">
        <v>1046321</v>
      </c>
      <c r="AG371" t="s">
        <v>183</v>
      </c>
      <c r="AH371" t="s">
        <v>4894</v>
      </c>
      <c r="AI371" t="s">
        <v>4894</v>
      </c>
      <c r="AJ371" t="s">
        <v>601</v>
      </c>
      <c r="AK371" t="s">
        <v>602</v>
      </c>
      <c r="AL371" t="s">
        <v>4895</v>
      </c>
      <c r="AO371" t="s">
        <v>4896</v>
      </c>
      <c r="AP371" t="s">
        <v>4667</v>
      </c>
      <c r="AQ371" t="s">
        <v>4668</v>
      </c>
      <c r="AR371" t="s">
        <v>4951</v>
      </c>
      <c r="AS371" t="s">
        <v>4897</v>
      </c>
      <c r="AT371" t="s">
        <v>4898</v>
      </c>
      <c r="AU371" t="s">
        <v>10</v>
      </c>
      <c r="AV371" t="s">
        <v>4899</v>
      </c>
      <c r="AW371" t="s">
        <v>4899</v>
      </c>
      <c r="AX371" t="s">
        <v>4900</v>
      </c>
      <c r="AY371" s="2" t="s">
        <v>4901</v>
      </c>
      <c r="BA371" t="s">
        <v>2476</v>
      </c>
      <c r="BB371" t="s">
        <v>286</v>
      </c>
      <c r="BC371" t="s">
        <v>287</v>
      </c>
      <c r="BD371">
        <v>610041</v>
      </c>
      <c r="BE371" t="s">
        <v>4952</v>
      </c>
      <c r="BG371" t="b">
        <v>0</v>
      </c>
      <c r="BH371" s="6" t="s">
        <v>4902</v>
      </c>
      <c r="BI371" t="s">
        <v>4903</v>
      </c>
      <c r="BJ371">
        <v>4453163191</v>
      </c>
      <c r="BK371" t="s">
        <v>162</v>
      </c>
      <c r="BL371" t="s">
        <v>161</v>
      </c>
      <c r="BM371" s="2"/>
      <c r="BR371" t="s">
        <v>189</v>
      </c>
      <c r="BS371" t="s">
        <v>103</v>
      </c>
      <c r="BU371">
        <v>0</v>
      </c>
      <c r="BV371">
        <v>0</v>
      </c>
      <c r="BW371">
        <v>0</v>
      </c>
      <c r="BX371">
        <v>0</v>
      </c>
      <c r="BY371">
        <v>0</v>
      </c>
      <c r="BZ371">
        <v>0</v>
      </c>
      <c r="CA371">
        <v>0</v>
      </c>
      <c r="CF371" s="2"/>
      <c r="CH371" s="2"/>
      <c r="CK371" t="s">
        <v>2648</v>
      </c>
      <c r="CL371">
        <v>43801.381319444445</v>
      </c>
      <c r="CO371" t="s">
        <v>11</v>
      </c>
      <c r="CP371">
        <v>138.80000000000001</v>
      </c>
      <c r="CQ371" t="s">
        <v>11</v>
      </c>
      <c r="CR371">
        <v>138.80000000000001</v>
      </c>
      <c r="CV371" t="s">
        <v>190</v>
      </c>
      <c r="CW371" t="s">
        <v>12</v>
      </c>
      <c r="CX371" t="s">
        <v>12</v>
      </c>
      <c r="CY371" t="s">
        <v>12</v>
      </c>
      <c r="DA371" t="s">
        <v>104</v>
      </c>
      <c r="DD371" t="s">
        <v>93</v>
      </c>
      <c r="DQ371" t="s">
        <v>94</v>
      </c>
      <c r="DR371" t="s">
        <v>94</v>
      </c>
      <c r="DS371" t="s">
        <v>94</v>
      </c>
      <c r="DT371" t="s">
        <v>94</v>
      </c>
      <c r="DU371" t="s">
        <v>94</v>
      </c>
      <c r="DV371" t="s">
        <v>94</v>
      </c>
      <c r="DW371" t="s">
        <v>94</v>
      </c>
      <c r="DX371" s="2" t="s">
        <v>94</v>
      </c>
      <c r="DY371" t="s">
        <v>94</v>
      </c>
      <c r="DZ371" t="s">
        <v>94</v>
      </c>
      <c r="EA371" t="s">
        <v>94</v>
      </c>
      <c r="EB371" t="s">
        <v>94</v>
      </c>
      <c r="EC371" t="s">
        <v>94</v>
      </c>
      <c r="ED371" t="s">
        <v>94</v>
      </c>
      <c r="EE371" t="s">
        <v>89</v>
      </c>
      <c r="EF371" t="s">
        <v>94</v>
      </c>
      <c r="EG371" t="s">
        <v>105</v>
      </c>
      <c r="EJ371" t="s">
        <v>166</v>
      </c>
      <c r="EK371" t="b">
        <v>0</v>
      </c>
      <c r="EL371" t="b">
        <v>0</v>
      </c>
      <c r="EM371" t="b">
        <v>0</v>
      </c>
    </row>
    <row r="372" spans="3:143">
      <c r="C372" s="4">
        <v>13</v>
      </c>
      <c r="D372" s="4"/>
      <c r="E372" s="4">
        <v>2</v>
      </c>
      <c r="F372" s="4">
        <v>37</v>
      </c>
      <c r="G372" s="5" t="s">
        <v>4948</v>
      </c>
      <c r="H372" s="4" t="s">
        <v>4953</v>
      </c>
      <c r="I372" s="4" t="s">
        <v>164</v>
      </c>
      <c r="J372" s="5"/>
      <c r="K372" s="22" t="s">
        <v>4954</v>
      </c>
      <c r="L372" s="84" t="s">
        <v>4828</v>
      </c>
      <c r="M372" s="23" t="s">
        <v>164</v>
      </c>
      <c r="N372" s="23">
        <v>43801</v>
      </c>
      <c r="O372" s="24" t="s">
        <v>102</v>
      </c>
      <c r="P372" s="24" t="s">
        <v>480</v>
      </c>
      <c r="Q372" s="24">
        <v>2</v>
      </c>
      <c r="R372" s="24">
        <v>37</v>
      </c>
      <c r="S372" t="s">
        <v>319</v>
      </c>
      <c r="T372">
        <v>21</v>
      </c>
      <c r="U372" s="2"/>
      <c r="W372" s="2"/>
      <c r="AB372" t="s">
        <v>9</v>
      </c>
      <c r="AC372" t="s">
        <v>4904</v>
      </c>
      <c r="AD372" t="s">
        <v>182</v>
      </c>
      <c r="AE372">
        <v>70115617</v>
      </c>
      <c r="AF372">
        <v>70115617</v>
      </c>
      <c r="AG372" t="s">
        <v>183</v>
      </c>
      <c r="AH372" t="s">
        <v>4905</v>
      </c>
      <c r="AI372" t="s">
        <v>4905</v>
      </c>
      <c r="AJ372" t="s">
        <v>776</v>
      </c>
      <c r="AK372" t="s">
        <v>777</v>
      </c>
      <c r="AL372" t="s">
        <v>4906</v>
      </c>
      <c r="AO372" t="s">
        <v>4907</v>
      </c>
      <c r="AP372" t="s">
        <v>4908</v>
      </c>
      <c r="AQ372" t="s">
        <v>1059</v>
      </c>
      <c r="AR372" t="s">
        <v>4955</v>
      </c>
      <c r="AS372" t="s">
        <v>4956</v>
      </c>
      <c r="AT372" t="s">
        <v>4909</v>
      </c>
      <c r="AU372" t="s">
        <v>10</v>
      </c>
      <c r="AV372" t="s">
        <v>4910</v>
      </c>
      <c r="AW372" t="s">
        <v>4910</v>
      </c>
      <c r="AX372" t="s">
        <v>4911</v>
      </c>
      <c r="AY372" t="s">
        <v>4912</v>
      </c>
      <c r="AZ372" t="s">
        <v>4913</v>
      </c>
      <c r="BA372" t="s">
        <v>186</v>
      </c>
      <c r="BB372" t="s">
        <v>187</v>
      </c>
      <c r="BC372" t="s">
        <v>188</v>
      </c>
      <c r="BD372">
        <v>518127</v>
      </c>
      <c r="BE372" t="s">
        <v>4957</v>
      </c>
      <c r="BF372" t="s">
        <v>4914</v>
      </c>
      <c r="BG372" t="b">
        <v>0</v>
      </c>
      <c r="BH372" s="6" t="s">
        <v>4915</v>
      </c>
      <c r="BI372" t="s">
        <v>4916</v>
      </c>
      <c r="BJ372">
        <v>4453163191</v>
      </c>
      <c r="BK372" t="s">
        <v>162</v>
      </c>
      <c r="BL372" t="s">
        <v>161</v>
      </c>
      <c r="BM372" s="2"/>
      <c r="BR372" t="s">
        <v>189</v>
      </c>
      <c r="BS372" t="s">
        <v>103</v>
      </c>
      <c r="BU372">
        <v>0</v>
      </c>
      <c r="BV372">
        <v>0</v>
      </c>
      <c r="BW372">
        <v>0</v>
      </c>
      <c r="BX372">
        <v>0</v>
      </c>
      <c r="BY372">
        <v>0</v>
      </c>
      <c r="BZ372">
        <v>0</v>
      </c>
      <c r="CA372">
        <v>0</v>
      </c>
      <c r="CF372" s="2"/>
      <c r="CH372" s="2"/>
      <c r="CK372" t="s">
        <v>2648</v>
      </c>
      <c r="CL372">
        <v>43801.381469907406</v>
      </c>
      <c r="CO372" t="s">
        <v>11</v>
      </c>
      <c r="CP372">
        <v>147.05000000000001</v>
      </c>
      <c r="CQ372" t="s">
        <v>11</v>
      </c>
      <c r="CR372">
        <v>147.05000000000001</v>
      </c>
      <c r="CV372" t="s">
        <v>190</v>
      </c>
      <c r="CW372" t="s">
        <v>12</v>
      </c>
      <c r="CX372" t="s">
        <v>12</v>
      </c>
      <c r="CY372" t="s">
        <v>12</v>
      </c>
      <c r="DA372" t="s">
        <v>104</v>
      </c>
      <c r="DD372" t="s">
        <v>93</v>
      </c>
      <c r="DQ372" t="s">
        <v>94</v>
      </c>
      <c r="DR372" t="s">
        <v>94</v>
      </c>
      <c r="DS372" t="s">
        <v>94</v>
      </c>
      <c r="DT372" t="s">
        <v>94</v>
      </c>
      <c r="DU372" t="s">
        <v>94</v>
      </c>
      <c r="DV372" t="s">
        <v>94</v>
      </c>
      <c r="DW372" t="s">
        <v>94</v>
      </c>
      <c r="DX372" s="2" t="s">
        <v>94</v>
      </c>
      <c r="DY372" t="s">
        <v>94</v>
      </c>
      <c r="DZ372" t="s">
        <v>94</v>
      </c>
      <c r="EA372" t="s">
        <v>94</v>
      </c>
      <c r="EB372" t="s">
        <v>94</v>
      </c>
      <c r="EC372" t="s">
        <v>94</v>
      </c>
      <c r="ED372" t="s">
        <v>94</v>
      </c>
      <c r="EE372" t="s">
        <v>89</v>
      </c>
      <c r="EF372" t="s">
        <v>94</v>
      </c>
      <c r="EG372" t="s">
        <v>105</v>
      </c>
      <c r="EJ372" t="s">
        <v>166</v>
      </c>
      <c r="EK372" t="b">
        <v>0</v>
      </c>
      <c r="EL372" t="b">
        <v>0</v>
      </c>
      <c r="EM372" t="b">
        <v>0</v>
      </c>
    </row>
    <row r="373" spans="3:143">
      <c r="C373" s="4">
        <v>13</v>
      </c>
      <c r="D373" s="5"/>
      <c r="E373" s="5">
        <v>28</v>
      </c>
      <c r="F373" s="4">
        <v>28</v>
      </c>
      <c r="G373" s="5" t="s">
        <v>4958</v>
      </c>
      <c r="H373" s="4" t="s">
        <v>4959</v>
      </c>
      <c r="I373" s="4" t="s">
        <v>926</v>
      </c>
      <c r="J373" s="4"/>
      <c r="K373" s="22" t="s">
        <v>4917</v>
      </c>
      <c r="L373" s="84" t="s">
        <v>4918</v>
      </c>
      <c r="M373" s="23" t="s">
        <v>926</v>
      </c>
      <c r="N373" s="23">
        <v>43805</v>
      </c>
      <c r="O373" s="24" t="s">
        <v>102</v>
      </c>
      <c r="P373" s="24" t="s">
        <v>181</v>
      </c>
      <c r="Q373" s="24">
        <v>28</v>
      </c>
      <c r="R373" s="24">
        <v>28</v>
      </c>
      <c r="S373" t="s">
        <v>11</v>
      </c>
      <c r="T373">
        <v>3529</v>
      </c>
      <c r="U373" s="2" t="s">
        <v>163</v>
      </c>
      <c r="V373">
        <v>43805.449444444443</v>
      </c>
      <c r="W373" s="2" t="s">
        <v>207</v>
      </c>
      <c r="X373">
        <v>43805.449803240743</v>
      </c>
      <c r="AB373" t="s">
        <v>9</v>
      </c>
      <c r="AC373" t="s">
        <v>4919</v>
      </c>
      <c r="AD373" t="s">
        <v>182</v>
      </c>
      <c r="AE373">
        <v>1523744</v>
      </c>
      <c r="AF373">
        <v>1523744</v>
      </c>
      <c r="AG373" t="s">
        <v>183</v>
      </c>
      <c r="AH373" t="s">
        <v>4920</v>
      </c>
      <c r="AI373" t="s">
        <v>4920</v>
      </c>
      <c r="AJ373" t="s">
        <v>184</v>
      </c>
      <c r="AK373" t="s">
        <v>185</v>
      </c>
      <c r="AL373" t="s">
        <v>4921</v>
      </c>
      <c r="AO373" t="s">
        <v>4922</v>
      </c>
      <c r="AP373" t="s">
        <v>4923</v>
      </c>
      <c r="AQ373" t="s">
        <v>4924</v>
      </c>
      <c r="AR373" t="s">
        <v>4925</v>
      </c>
      <c r="AS373" t="s">
        <v>4960</v>
      </c>
      <c r="AT373" t="s">
        <v>4926</v>
      </c>
      <c r="AU373" t="s">
        <v>10</v>
      </c>
      <c r="AV373" t="s">
        <v>4927</v>
      </c>
      <c r="AW373" t="s">
        <v>4928</v>
      </c>
      <c r="AX373" t="s">
        <v>4929</v>
      </c>
      <c r="AY373" t="s">
        <v>4930</v>
      </c>
      <c r="BA373" t="s">
        <v>194</v>
      </c>
      <c r="BB373" t="s">
        <v>272</v>
      </c>
      <c r="BC373" t="s">
        <v>188</v>
      </c>
      <c r="BD373">
        <v>518000</v>
      </c>
      <c r="BE373" t="s">
        <v>4961</v>
      </c>
      <c r="BF373" t="s">
        <v>4931</v>
      </c>
      <c r="BG373" t="b">
        <v>0</v>
      </c>
      <c r="BH373" s="6" t="s">
        <v>4932</v>
      </c>
      <c r="BI373" t="s">
        <v>4933</v>
      </c>
      <c r="BJ373">
        <v>4453163191</v>
      </c>
      <c r="BK373" t="s">
        <v>162</v>
      </c>
      <c r="BL373" t="s">
        <v>161</v>
      </c>
      <c r="BM373" s="2"/>
      <c r="BO373" t="s">
        <v>89</v>
      </c>
      <c r="BP373">
        <v>4016999090</v>
      </c>
      <c r="BR373" t="s">
        <v>189</v>
      </c>
      <c r="BS373" t="s">
        <v>103</v>
      </c>
      <c r="BU373">
        <v>352.9</v>
      </c>
      <c r="BV373">
        <v>504.65</v>
      </c>
      <c r="BW373">
        <v>0</v>
      </c>
      <c r="BX373">
        <v>0</v>
      </c>
      <c r="BY373">
        <v>0</v>
      </c>
      <c r="BZ373">
        <v>0</v>
      </c>
      <c r="CA373">
        <v>857.55</v>
      </c>
      <c r="CF373" s="2"/>
      <c r="CH373" s="2"/>
      <c r="CJ373">
        <v>5.3142019950181702E+17</v>
      </c>
      <c r="CK373" t="s">
        <v>2648</v>
      </c>
      <c r="CL373">
        <v>43801.381481481483</v>
      </c>
      <c r="CM373" t="s">
        <v>4934</v>
      </c>
      <c r="CN373">
        <v>43807</v>
      </c>
      <c r="CO373" t="s">
        <v>11</v>
      </c>
      <c r="CP373">
        <v>3529</v>
      </c>
      <c r="CQ373" t="s">
        <v>11</v>
      </c>
      <c r="CR373">
        <v>3529</v>
      </c>
      <c r="CV373" t="s">
        <v>190</v>
      </c>
      <c r="CW373" t="s">
        <v>12</v>
      </c>
      <c r="CX373" t="s">
        <v>12</v>
      </c>
      <c r="CY373" t="s">
        <v>12</v>
      </c>
      <c r="DA373" t="s">
        <v>104</v>
      </c>
      <c r="DD373" t="s">
        <v>93</v>
      </c>
      <c r="DQ373" t="s">
        <v>94</v>
      </c>
      <c r="DR373" t="s">
        <v>94</v>
      </c>
      <c r="DS373" t="s">
        <v>94</v>
      </c>
      <c r="DT373" t="s">
        <v>94</v>
      </c>
      <c r="DU373" t="s">
        <v>94</v>
      </c>
      <c r="DV373" t="s">
        <v>94</v>
      </c>
      <c r="DW373" t="s">
        <v>94</v>
      </c>
      <c r="DX373" s="2" t="s">
        <v>94</v>
      </c>
      <c r="DY373" t="s">
        <v>94</v>
      </c>
      <c r="DZ373" t="s">
        <v>94</v>
      </c>
      <c r="EA373" t="s">
        <v>94</v>
      </c>
      <c r="EB373" t="s">
        <v>94</v>
      </c>
      <c r="EC373" t="s">
        <v>94</v>
      </c>
      <c r="ED373" t="s">
        <v>94</v>
      </c>
      <c r="EE373" t="s">
        <v>89</v>
      </c>
      <c r="EF373" t="s">
        <v>94</v>
      </c>
      <c r="EG373" t="s">
        <v>105</v>
      </c>
      <c r="EJ373" t="s">
        <v>526</v>
      </c>
      <c r="EK373" t="b">
        <v>0</v>
      </c>
      <c r="EL373" t="b">
        <v>0</v>
      </c>
      <c r="EM373" t="b">
        <v>0</v>
      </c>
    </row>
    <row r="374" spans="3:143">
      <c r="C374" s="4">
        <v>13</v>
      </c>
      <c r="D374" s="5"/>
      <c r="E374" s="4">
        <v>1</v>
      </c>
      <c r="F374" s="4">
        <v>7.65</v>
      </c>
      <c r="G374" s="5" t="s">
        <v>4948</v>
      </c>
      <c r="H374" s="4" t="s">
        <v>502</v>
      </c>
      <c r="I374" s="4" t="s">
        <v>164</v>
      </c>
      <c r="J374" s="4"/>
      <c r="K374" s="22" t="s">
        <v>4935</v>
      </c>
      <c r="L374" s="84" t="s">
        <v>4828</v>
      </c>
      <c r="M374" s="23" t="s">
        <v>164</v>
      </c>
      <c r="N374" s="23">
        <v>43801</v>
      </c>
      <c r="O374" s="24" t="s">
        <v>102</v>
      </c>
      <c r="P374" s="24" t="s">
        <v>480</v>
      </c>
      <c r="Q374" s="24">
        <v>1</v>
      </c>
      <c r="R374" s="24">
        <v>7.65</v>
      </c>
      <c r="S374" t="s">
        <v>319</v>
      </c>
      <c r="T374">
        <v>60</v>
      </c>
      <c r="U374" s="2"/>
      <c r="W374" s="2"/>
      <c r="AB374" t="s">
        <v>9</v>
      </c>
      <c r="AC374" t="s">
        <v>4090</v>
      </c>
      <c r="AD374" t="s">
        <v>756</v>
      </c>
      <c r="AE374">
        <v>135350</v>
      </c>
      <c r="AF374">
        <v>135350</v>
      </c>
      <c r="AG374" t="s">
        <v>4962</v>
      </c>
      <c r="AH374" t="s">
        <v>4936</v>
      </c>
      <c r="AI374" t="s">
        <v>4936</v>
      </c>
      <c r="AJ374" t="s">
        <v>2637</v>
      </c>
      <c r="AK374" t="s">
        <v>2638</v>
      </c>
      <c r="AL374" t="s">
        <v>4937</v>
      </c>
      <c r="AO374" t="s">
        <v>4938</v>
      </c>
      <c r="AP374" t="s">
        <v>4094</v>
      </c>
      <c r="AR374" t="s">
        <v>4963</v>
      </c>
      <c r="AS374" t="s">
        <v>4964</v>
      </c>
      <c r="AT374" t="s">
        <v>4939</v>
      </c>
      <c r="AU374" t="s">
        <v>10</v>
      </c>
      <c r="AV374" t="s">
        <v>4940</v>
      </c>
      <c r="AW374" t="s">
        <v>4940</v>
      </c>
      <c r="AX374" t="s">
        <v>4941</v>
      </c>
      <c r="AY374" t="s">
        <v>4942</v>
      </c>
      <c r="AZ374" t="s">
        <v>3711</v>
      </c>
      <c r="BA374" t="s">
        <v>2978</v>
      </c>
      <c r="BB374" t="s">
        <v>766</v>
      </c>
      <c r="BC374" t="s">
        <v>765</v>
      </c>
      <c r="BD374">
        <v>400707</v>
      </c>
      <c r="BE374" t="s">
        <v>4943</v>
      </c>
      <c r="BF374" t="s">
        <v>4944</v>
      </c>
      <c r="BG374" t="b">
        <v>0</v>
      </c>
      <c r="BH374" s="6" t="s">
        <v>4945</v>
      </c>
      <c r="BI374" t="s">
        <v>4946</v>
      </c>
      <c r="BJ374">
        <v>4453163191</v>
      </c>
      <c r="BK374" t="s">
        <v>162</v>
      </c>
      <c r="BL374" t="s">
        <v>161</v>
      </c>
      <c r="BM374" s="2"/>
      <c r="BN374" t="s">
        <v>4947</v>
      </c>
      <c r="BR374" t="s">
        <v>180</v>
      </c>
      <c r="BS374" t="s">
        <v>103</v>
      </c>
      <c r="BU374">
        <v>0</v>
      </c>
      <c r="BV374">
        <v>0</v>
      </c>
      <c r="BW374">
        <v>0</v>
      </c>
      <c r="BX374">
        <v>0</v>
      </c>
      <c r="BY374">
        <v>0</v>
      </c>
      <c r="BZ374">
        <v>0</v>
      </c>
      <c r="CA374">
        <v>0</v>
      </c>
      <c r="CF374" s="2"/>
      <c r="CH374" s="2"/>
      <c r="CK374" t="s">
        <v>2648</v>
      </c>
      <c r="CL374">
        <v>43801.381793981483</v>
      </c>
      <c r="CO374" t="s">
        <v>11</v>
      </c>
      <c r="CP374">
        <v>420.16</v>
      </c>
      <c r="CQ374" t="s">
        <v>11</v>
      </c>
      <c r="CR374">
        <v>420.16</v>
      </c>
      <c r="CV374" t="s">
        <v>525</v>
      </c>
      <c r="CW374" t="s">
        <v>12</v>
      </c>
      <c r="CX374" t="s">
        <v>12</v>
      </c>
      <c r="CY374" t="s">
        <v>12</v>
      </c>
      <c r="DA374" t="s">
        <v>104</v>
      </c>
      <c r="DD374" t="s">
        <v>93</v>
      </c>
      <c r="DQ374" t="s">
        <v>94</v>
      </c>
      <c r="DR374" t="s">
        <v>94</v>
      </c>
      <c r="DS374" t="s">
        <v>94</v>
      </c>
      <c r="DT374" t="s">
        <v>94</v>
      </c>
      <c r="DU374" t="s">
        <v>94</v>
      </c>
      <c r="DV374" t="s">
        <v>94</v>
      </c>
      <c r="DW374" t="s">
        <v>94</v>
      </c>
      <c r="DX374" s="2" t="s">
        <v>94</v>
      </c>
      <c r="DY374" t="s">
        <v>94</v>
      </c>
      <c r="DZ374" t="s">
        <v>94</v>
      </c>
      <c r="EA374" t="s">
        <v>94</v>
      </c>
      <c r="EB374" t="s">
        <v>94</v>
      </c>
      <c r="EC374" t="s">
        <v>94</v>
      </c>
      <c r="ED374" t="s">
        <v>94</v>
      </c>
      <c r="EE374" t="s">
        <v>89</v>
      </c>
      <c r="EF374" t="s">
        <v>94</v>
      </c>
      <c r="EG374" t="s">
        <v>105</v>
      </c>
      <c r="EJ374" t="s">
        <v>166</v>
      </c>
      <c r="EK374" t="b">
        <v>0</v>
      </c>
      <c r="EL374" t="b">
        <v>0</v>
      </c>
      <c r="EM374" t="b">
        <v>0</v>
      </c>
    </row>
    <row r="375" spans="3:143" ht="15">
      <c r="C375" s="82">
        <v>13</v>
      </c>
      <c r="D375" s="5"/>
      <c r="E375" s="4">
        <v>2</v>
      </c>
      <c r="F375" s="5">
        <v>13</v>
      </c>
      <c r="G375" s="5" t="s">
        <v>4965</v>
      </c>
      <c r="H375" s="4" t="s">
        <v>4949</v>
      </c>
      <c r="I375" s="81" t="s">
        <v>164</v>
      </c>
      <c r="J375" s="21"/>
      <c r="K375" s="22" t="s">
        <v>4950</v>
      </c>
      <c r="L375" s="84" t="s">
        <v>4828</v>
      </c>
      <c r="M375" s="23" t="s">
        <v>164</v>
      </c>
      <c r="N375" s="23">
        <v>43801</v>
      </c>
      <c r="O375" s="24" t="s">
        <v>102</v>
      </c>
      <c r="P375" s="24" t="s">
        <v>480</v>
      </c>
      <c r="Q375" s="24">
        <v>2</v>
      </c>
      <c r="R375" s="24">
        <v>13</v>
      </c>
      <c r="S375" t="s">
        <v>528</v>
      </c>
      <c r="T375">
        <v>18</v>
      </c>
      <c r="U375" s="2"/>
      <c r="W375" s="2"/>
      <c r="AB375" t="s">
        <v>9</v>
      </c>
      <c r="AC375" t="s">
        <v>4663</v>
      </c>
      <c r="AD375" t="s">
        <v>275</v>
      </c>
      <c r="AE375">
        <v>1046321</v>
      </c>
      <c r="AF375">
        <v>1046321</v>
      </c>
      <c r="AG375" t="s">
        <v>183</v>
      </c>
      <c r="AH375" t="s">
        <v>4894</v>
      </c>
      <c r="AI375" t="s">
        <v>4894</v>
      </c>
      <c r="AJ375" t="s">
        <v>601</v>
      </c>
      <c r="AK375" t="s">
        <v>602</v>
      </c>
      <c r="AL375" t="s">
        <v>4895</v>
      </c>
      <c r="AO375" t="s">
        <v>4896</v>
      </c>
      <c r="AP375" t="s">
        <v>4667</v>
      </c>
      <c r="AQ375" t="s">
        <v>4668</v>
      </c>
      <c r="AR375" t="s">
        <v>4951</v>
      </c>
      <c r="AS375" t="s">
        <v>4897</v>
      </c>
      <c r="AT375" t="s">
        <v>4898</v>
      </c>
      <c r="AU375" t="s">
        <v>10</v>
      </c>
      <c r="AV375" t="s">
        <v>4899</v>
      </c>
      <c r="AW375" t="s">
        <v>4899</v>
      </c>
      <c r="AX375" t="s">
        <v>4900</v>
      </c>
      <c r="AY375" s="2" t="s">
        <v>4901</v>
      </c>
      <c r="BA375" t="s">
        <v>2476</v>
      </c>
      <c r="BB375" t="s">
        <v>286</v>
      </c>
      <c r="BC375" t="s">
        <v>287</v>
      </c>
      <c r="BD375">
        <v>610041</v>
      </c>
      <c r="BE375" t="s">
        <v>4952</v>
      </c>
      <c r="BG375" t="b">
        <v>0</v>
      </c>
      <c r="BH375" s="6" t="s">
        <v>4902</v>
      </c>
      <c r="BI375" t="s">
        <v>4903</v>
      </c>
      <c r="BJ375">
        <v>4453163191</v>
      </c>
      <c r="BK375" t="s">
        <v>162</v>
      </c>
      <c r="BL375" t="s">
        <v>161</v>
      </c>
      <c r="BM375" s="2"/>
      <c r="BR375" t="s">
        <v>189</v>
      </c>
      <c r="BS375" t="s">
        <v>103</v>
      </c>
      <c r="BU375">
        <v>0</v>
      </c>
      <c r="BV375">
        <v>0</v>
      </c>
      <c r="BW375">
        <v>0</v>
      </c>
      <c r="BX375">
        <v>0</v>
      </c>
      <c r="BY375">
        <v>0</v>
      </c>
      <c r="BZ375">
        <v>0</v>
      </c>
      <c r="CA375">
        <v>0</v>
      </c>
      <c r="CF375" s="2"/>
      <c r="CH375" s="2"/>
      <c r="CK375" t="s">
        <v>2648</v>
      </c>
      <c r="CL375">
        <v>43801.381319444445</v>
      </c>
      <c r="CO375" t="s">
        <v>11</v>
      </c>
      <c r="CP375">
        <v>138.80000000000001</v>
      </c>
      <c r="CQ375" t="s">
        <v>11</v>
      </c>
      <c r="CR375">
        <v>138.80000000000001</v>
      </c>
      <c r="CV375" t="s">
        <v>190</v>
      </c>
      <c r="CW375" t="s">
        <v>12</v>
      </c>
      <c r="CX375" t="s">
        <v>12</v>
      </c>
      <c r="CY375" t="s">
        <v>12</v>
      </c>
      <c r="DA375" t="s">
        <v>104</v>
      </c>
      <c r="DD375" t="s">
        <v>93</v>
      </c>
      <c r="DQ375" t="s">
        <v>94</v>
      </c>
      <c r="DR375" t="s">
        <v>94</v>
      </c>
      <c r="DS375" t="s">
        <v>94</v>
      </c>
      <c r="DT375" t="s">
        <v>94</v>
      </c>
      <c r="DU375" t="s">
        <v>94</v>
      </c>
      <c r="DV375" t="s">
        <v>94</v>
      </c>
      <c r="DW375" t="s">
        <v>94</v>
      </c>
      <c r="DX375" s="2" t="s">
        <v>94</v>
      </c>
      <c r="DY375" t="s">
        <v>94</v>
      </c>
      <c r="DZ375" t="s">
        <v>94</v>
      </c>
      <c r="EA375" t="s">
        <v>94</v>
      </c>
      <c r="EB375" t="s">
        <v>94</v>
      </c>
      <c r="EC375" t="s">
        <v>94</v>
      </c>
      <c r="ED375" t="s">
        <v>94</v>
      </c>
      <c r="EE375" t="s">
        <v>89</v>
      </c>
      <c r="EF375" t="s">
        <v>94</v>
      </c>
      <c r="EG375" t="s">
        <v>105</v>
      </c>
      <c r="EJ375" t="s">
        <v>166</v>
      </c>
      <c r="EK375" t="b">
        <v>0</v>
      </c>
      <c r="EL375" t="b">
        <v>0</v>
      </c>
      <c r="EM375" t="b">
        <v>0</v>
      </c>
    </row>
    <row r="376" spans="3:143">
      <c r="C376" s="4">
        <v>13</v>
      </c>
      <c r="D376" s="4"/>
      <c r="E376" s="4">
        <v>2</v>
      </c>
      <c r="F376" s="4">
        <v>37</v>
      </c>
      <c r="G376" s="5" t="s">
        <v>4965</v>
      </c>
      <c r="H376" s="4" t="s">
        <v>4953</v>
      </c>
      <c r="I376" s="4" t="s">
        <v>164</v>
      </c>
      <c r="J376" s="5"/>
      <c r="K376" s="22" t="s">
        <v>4954</v>
      </c>
      <c r="L376" s="84" t="s">
        <v>4828</v>
      </c>
      <c r="M376" s="23" t="s">
        <v>164</v>
      </c>
      <c r="N376" s="23">
        <v>43801</v>
      </c>
      <c r="O376" s="24" t="s">
        <v>102</v>
      </c>
      <c r="P376" s="24" t="s">
        <v>480</v>
      </c>
      <c r="Q376" s="24">
        <v>2</v>
      </c>
      <c r="R376" s="24">
        <v>37</v>
      </c>
      <c r="S376" t="s">
        <v>319</v>
      </c>
      <c r="T376">
        <v>21</v>
      </c>
      <c r="U376" s="2"/>
      <c r="W376" s="2"/>
      <c r="AB376" t="s">
        <v>9</v>
      </c>
      <c r="AC376" t="s">
        <v>4904</v>
      </c>
      <c r="AD376" t="s">
        <v>182</v>
      </c>
      <c r="AE376">
        <v>70115617</v>
      </c>
      <c r="AF376">
        <v>70115617</v>
      </c>
      <c r="AG376" t="s">
        <v>183</v>
      </c>
      <c r="AH376" t="s">
        <v>4905</v>
      </c>
      <c r="AI376" t="s">
        <v>4905</v>
      </c>
      <c r="AJ376" t="s">
        <v>776</v>
      </c>
      <c r="AK376" t="s">
        <v>777</v>
      </c>
      <c r="AL376" t="s">
        <v>4906</v>
      </c>
      <c r="AO376" t="s">
        <v>4907</v>
      </c>
      <c r="AP376" t="s">
        <v>4908</v>
      </c>
      <c r="AQ376" t="s">
        <v>1059</v>
      </c>
      <c r="AR376" t="s">
        <v>4955</v>
      </c>
      <c r="AS376" t="s">
        <v>4956</v>
      </c>
      <c r="AT376" t="s">
        <v>4909</v>
      </c>
      <c r="AU376" t="s">
        <v>10</v>
      </c>
      <c r="AV376" t="s">
        <v>4910</v>
      </c>
      <c r="AW376" t="s">
        <v>4910</v>
      </c>
      <c r="AX376" t="s">
        <v>4911</v>
      </c>
      <c r="AY376" t="s">
        <v>4912</v>
      </c>
      <c r="AZ376" t="s">
        <v>4913</v>
      </c>
      <c r="BA376" t="s">
        <v>186</v>
      </c>
      <c r="BB376" t="s">
        <v>187</v>
      </c>
      <c r="BC376" t="s">
        <v>188</v>
      </c>
      <c r="BD376">
        <v>518127</v>
      </c>
      <c r="BE376" t="s">
        <v>4957</v>
      </c>
      <c r="BF376" t="s">
        <v>4914</v>
      </c>
      <c r="BG376" t="b">
        <v>0</v>
      </c>
      <c r="BH376" s="6" t="s">
        <v>4915</v>
      </c>
      <c r="BI376" t="s">
        <v>4916</v>
      </c>
      <c r="BJ376">
        <v>4453163191</v>
      </c>
      <c r="BK376" t="s">
        <v>162</v>
      </c>
      <c r="BL376" t="s">
        <v>161</v>
      </c>
      <c r="BM376" s="2"/>
      <c r="BR376" t="s">
        <v>189</v>
      </c>
      <c r="BS376" t="s">
        <v>103</v>
      </c>
      <c r="BU376">
        <v>0</v>
      </c>
      <c r="BV376">
        <v>0</v>
      </c>
      <c r="BW376">
        <v>0</v>
      </c>
      <c r="BX376">
        <v>0</v>
      </c>
      <c r="BY376">
        <v>0</v>
      </c>
      <c r="BZ376">
        <v>0</v>
      </c>
      <c r="CA376">
        <v>0</v>
      </c>
      <c r="CF376" s="2"/>
      <c r="CH376" s="2"/>
      <c r="CK376" t="s">
        <v>2648</v>
      </c>
      <c r="CL376">
        <v>43801.381469907406</v>
      </c>
      <c r="CO376" t="s">
        <v>11</v>
      </c>
      <c r="CP376">
        <v>147.05000000000001</v>
      </c>
      <c r="CQ376" t="s">
        <v>11</v>
      </c>
      <c r="CR376">
        <v>147.05000000000001</v>
      </c>
      <c r="CV376" t="s">
        <v>190</v>
      </c>
      <c r="CW376" t="s">
        <v>12</v>
      </c>
      <c r="CX376" t="s">
        <v>12</v>
      </c>
      <c r="CY376" t="s">
        <v>12</v>
      </c>
      <c r="DA376" t="s">
        <v>104</v>
      </c>
      <c r="DD376" t="s">
        <v>93</v>
      </c>
      <c r="DQ376" t="s">
        <v>94</v>
      </c>
      <c r="DR376" t="s">
        <v>94</v>
      </c>
      <c r="DS376" t="s">
        <v>94</v>
      </c>
      <c r="DT376" t="s">
        <v>94</v>
      </c>
      <c r="DU376" t="s">
        <v>94</v>
      </c>
      <c r="DV376" t="s">
        <v>94</v>
      </c>
      <c r="DW376" t="s">
        <v>94</v>
      </c>
      <c r="DX376" s="2" t="s">
        <v>94</v>
      </c>
      <c r="DY376" t="s">
        <v>94</v>
      </c>
      <c r="DZ376" t="s">
        <v>94</v>
      </c>
      <c r="EA376" t="s">
        <v>94</v>
      </c>
      <c r="EB376" t="s">
        <v>94</v>
      </c>
      <c r="EC376" t="s">
        <v>94</v>
      </c>
      <c r="ED376" t="s">
        <v>94</v>
      </c>
      <c r="EE376" t="s">
        <v>89</v>
      </c>
      <c r="EF376" t="s">
        <v>94</v>
      </c>
      <c r="EG376" t="s">
        <v>105</v>
      </c>
      <c r="EJ376" t="s">
        <v>166</v>
      </c>
      <c r="EK376" t="b">
        <v>0</v>
      </c>
      <c r="EL376" t="b">
        <v>0</v>
      </c>
      <c r="EM376" t="b">
        <v>0</v>
      </c>
    </row>
    <row r="377" spans="3:143">
      <c r="C377" s="4">
        <v>13</v>
      </c>
      <c r="D377" s="5"/>
      <c r="E377" s="5">
        <v>28</v>
      </c>
      <c r="F377" s="4">
        <v>28</v>
      </c>
      <c r="G377" s="5" t="s">
        <v>4966</v>
      </c>
      <c r="H377" s="4" t="s">
        <v>4959</v>
      </c>
      <c r="I377" s="4" t="s">
        <v>926</v>
      </c>
      <c r="J377" s="4"/>
      <c r="K377" s="22" t="s">
        <v>4917</v>
      </c>
      <c r="L377" s="84" t="s">
        <v>4828</v>
      </c>
      <c r="M377" s="23" t="s">
        <v>926</v>
      </c>
      <c r="N377" s="23">
        <v>43805</v>
      </c>
      <c r="O377" s="24" t="s">
        <v>102</v>
      </c>
      <c r="P377" s="24" t="s">
        <v>181</v>
      </c>
      <c r="Q377" s="24">
        <v>28</v>
      </c>
      <c r="R377" s="24">
        <v>28</v>
      </c>
      <c r="S377" t="s">
        <v>11</v>
      </c>
      <c r="T377">
        <v>3529</v>
      </c>
      <c r="U377" s="2" t="s">
        <v>163</v>
      </c>
      <c r="V377">
        <v>43805.449444444443</v>
      </c>
      <c r="W377" s="2" t="s">
        <v>207</v>
      </c>
      <c r="X377">
        <v>43805.449803240743</v>
      </c>
      <c r="AB377" t="s">
        <v>9</v>
      </c>
      <c r="AC377" t="s">
        <v>4919</v>
      </c>
      <c r="AD377" t="s">
        <v>182</v>
      </c>
      <c r="AE377">
        <v>1523744</v>
      </c>
      <c r="AF377">
        <v>1523744</v>
      </c>
      <c r="AG377" t="s">
        <v>183</v>
      </c>
      <c r="AH377" t="s">
        <v>4920</v>
      </c>
      <c r="AI377" t="s">
        <v>4920</v>
      </c>
      <c r="AJ377" t="s">
        <v>184</v>
      </c>
      <c r="AK377" t="s">
        <v>185</v>
      </c>
      <c r="AL377" t="s">
        <v>4921</v>
      </c>
      <c r="AO377" t="s">
        <v>4922</v>
      </c>
      <c r="AP377" t="s">
        <v>4923</v>
      </c>
      <c r="AQ377" t="s">
        <v>4924</v>
      </c>
      <c r="AR377" t="s">
        <v>4925</v>
      </c>
      <c r="AS377" t="s">
        <v>4960</v>
      </c>
      <c r="AT377" t="s">
        <v>4926</v>
      </c>
      <c r="AU377" t="s">
        <v>10</v>
      </c>
      <c r="AV377" t="s">
        <v>4927</v>
      </c>
      <c r="AW377" t="s">
        <v>4928</v>
      </c>
      <c r="AX377" t="s">
        <v>4929</v>
      </c>
      <c r="AY377" t="s">
        <v>4930</v>
      </c>
      <c r="BA377" t="s">
        <v>194</v>
      </c>
      <c r="BB377" t="s">
        <v>272</v>
      </c>
      <c r="BC377" t="s">
        <v>188</v>
      </c>
      <c r="BD377">
        <v>518000</v>
      </c>
      <c r="BE377" t="s">
        <v>4961</v>
      </c>
      <c r="BF377" t="s">
        <v>4931</v>
      </c>
      <c r="BG377" t="b">
        <v>0</v>
      </c>
      <c r="BH377" s="6" t="s">
        <v>4932</v>
      </c>
      <c r="BI377" t="s">
        <v>4933</v>
      </c>
      <c r="BJ377">
        <v>4453163191</v>
      </c>
      <c r="BK377" t="s">
        <v>162</v>
      </c>
      <c r="BL377" t="s">
        <v>161</v>
      </c>
      <c r="BM377" s="2"/>
      <c r="BO377" t="s">
        <v>89</v>
      </c>
      <c r="BP377">
        <v>4016999090</v>
      </c>
      <c r="BR377" t="s">
        <v>189</v>
      </c>
      <c r="BS377" t="s">
        <v>103</v>
      </c>
      <c r="BU377">
        <v>352.9</v>
      </c>
      <c r="BV377">
        <v>504.65</v>
      </c>
      <c r="BW377">
        <v>0</v>
      </c>
      <c r="BX377">
        <v>0</v>
      </c>
      <c r="BY377">
        <v>0</v>
      </c>
      <c r="BZ377">
        <v>0</v>
      </c>
      <c r="CA377">
        <v>857.55</v>
      </c>
      <c r="CF377" s="2"/>
      <c r="CH377" s="2"/>
      <c r="CJ377">
        <v>5.3142019950181702E+17</v>
      </c>
      <c r="CK377" t="s">
        <v>2648</v>
      </c>
      <c r="CL377">
        <v>43801.381481481483</v>
      </c>
      <c r="CM377" t="s">
        <v>4934</v>
      </c>
      <c r="CN377">
        <v>43807</v>
      </c>
      <c r="CO377" t="s">
        <v>11</v>
      </c>
      <c r="CP377">
        <v>3529</v>
      </c>
      <c r="CQ377" t="s">
        <v>11</v>
      </c>
      <c r="CR377">
        <v>3529</v>
      </c>
      <c r="CV377" t="s">
        <v>190</v>
      </c>
      <c r="CW377" t="s">
        <v>12</v>
      </c>
      <c r="CX377" t="s">
        <v>12</v>
      </c>
      <c r="CY377" t="s">
        <v>12</v>
      </c>
      <c r="DA377" t="s">
        <v>104</v>
      </c>
      <c r="DD377" t="s">
        <v>93</v>
      </c>
      <c r="DQ377" t="s">
        <v>94</v>
      </c>
      <c r="DR377" t="s">
        <v>94</v>
      </c>
      <c r="DS377" t="s">
        <v>94</v>
      </c>
      <c r="DT377" t="s">
        <v>94</v>
      </c>
      <c r="DU377" t="s">
        <v>94</v>
      </c>
      <c r="DV377" t="s">
        <v>94</v>
      </c>
      <c r="DW377" t="s">
        <v>94</v>
      </c>
      <c r="DX377" s="2" t="s">
        <v>94</v>
      </c>
      <c r="DY377" t="s">
        <v>94</v>
      </c>
      <c r="DZ377" t="s">
        <v>94</v>
      </c>
      <c r="EA377" t="s">
        <v>94</v>
      </c>
      <c r="EB377" t="s">
        <v>94</v>
      </c>
      <c r="EC377" t="s">
        <v>94</v>
      </c>
      <c r="ED377" t="s">
        <v>94</v>
      </c>
      <c r="EE377" t="s">
        <v>89</v>
      </c>
      <c r="EF377" t="s">
        <v>94</v>
      </c>
      <c r="EG377" t="s">
        <v>105</v>
      </c>
      <c r="EJ377" t="s">
        <v>526</v>
      </c>
      <c r="EK377" t="b">
        <v>0</v>
      </c>
      <c r="EL377" t="b">
        <v>0</v>
      </c>
      <c r="EM377" t="b">
        <v>0</v>
      </c>
    </row>
    <row r="378" spans="3:143">
      <c r="C378" s="4">
        <v>13</v>
      </c>
      <c r="D378" s="5"/>
      <c r="E378" s="4">
        <v>1</v>
      </c>
      <c r="F378" s="4">
        <v>7.65</v>
      </c>
      <c r="G378" s="5" t="s">
        <v>4965</v>
      </c>
      <c r="H378" s="4" t="s">
        <v>502</v>
      </c>
      <c r="I378" s="4" t="s">
        <v>164</v>
      </c>
      <c r="J378" s="4"/>
      <c r="K378" s="22" t="s">
        <v>4935</v>
      </c>
      <c r="L378" s="84" t="s">
        <v>4828</v>
      </c>
      <c r="M378" s="23" t="s">
        <v>164</v>
      </c>
      <c r="N378" s="23">
        <v>43801</v>
      </c>
      <c r="O378" s="24" t="s">
        <v>102</v>
      </c>
      <c r="P378" s="24" t="s">
        <v>480</v>
      </c>
      <c r="Q378" s="24">
        <v>1</v>
      </c>
      <c r="R378" s="24">
        <v>7.65</v>
      </c>
      <c r="S378" t="s">
        <v>319</v>
      </c>
      <c r="T378">
        <v>60</v>
      </c>
      <c r="U378" s="2"/>
      <c r="W378" s="2"/>
      <c r="AB378" t="s">
        <v>9</v>
      </c>
      <c r="AC378" t="s">
        <v>4090</v>
      </c>
      <c r="AD378" t="s">
        <v>756</v>
      </c>
      <c r="AE378">
        <v>135350</v>
      </c>
      <c r="AF378">
        <v>135350</v>
      </c>
      <c r="AG378" t="s">
        <v>4962</v>
      </c>
      <c r="AH378" t="s">
        <v>4936</v>
      </c>
      <c r="AI378" t="s">
        <v>4936</v>
      </c>
      <c r="AJ378" t="s">
        <v>2637</v>
      </c>
      <c r="AK378" t="s">
        <v>2638</v>
      </c>
      <c r="AL378" t="s">
        <v>4937</v>
      </c>
      <c r="AO378" t="s">
        <v>4938</v>
      </c>
      <c r="AP378" t="s">
        <v>4094</v>
      </c>
      <c r="AR378" t="s">
        <v>4963</v>
      </c>
      <c r="AS378" t="s">
        <v>4964</v>
      </c>
      <c r="AT378" t="s">
        <v>4939</v>
      </c>
      <c r="AU378" t="s">
        <v>10</v>
      </c>
      <c r="AV378" t="s">
        <v>4940</v>
      </c>
      <c r="AW378" t="s">
        <v>4940</v>
      </c>
      <c r="AX378" t="s">
        <v>4941</v>
      </c>
      <c r="AY378" t="s">
        <v>4942</v>
      </c>
      <c r="AZ378" t="s">
        <v>3711</v>
      </c>
      <c r="BA378" t="s">
        <v>2978</v>
      </c>
      <c r="BB378" t="s">
        <v>766</v>
      </c>
      <c r="BC378" t="s">
        <v>765</v>
      </c>
      <c r="BD378">
        <v>400707</v>
      </c>
      <c r="BE378" t="s">
        <v>4943</v>
      </c>
      <c r="BF378" t="s">
        <v>4944</v>
      </c>
      <c r="BG378" t="b">
        <v>0</v>
      </c>
      <c r="BH378" s="6" t="s">
        <v>4945</v>
      </c>
      <c r="BI378" t="s">
        <v>4946</v>
      </c>
      <c r="BJ378">
        <v>4453163191</v>
      </c>
      <c r="BK378" t="s">
        <v>162</v>
      </c>
      <c r="BL378" t="s">
        <v>161</v>
      </c>
      <c r="BM378" s="2"/>
      <c r="BN378" t="s">
        <v>4947</v>
      </c>
      <c r="BR378" t="s">
        <v>180</v>
      </c>
      <c r="BS378" t="s">
        <v>103</v>
      </c>
      <c r="BU378">
        <v>0</v>
      </c>
      <c r="BV378">
        <v>0</v>
      </c>
      <c r="BW378">
        <v>0</v>
      </c>
      <c r="BX378">
        <v>0</v>
      </c>
      <c r="BY378">
        <v>0</v>
      </c>
      <c r="BZ378">
        <v>0</v>
      </c>
      <c r="CA378">
        <v>0</v>
      </c>
      <c r="CF378" s="2"/>
      <c r="CH378" s="2"/>
      <c r="CK378" t="s">
        <v>2648</v>
      </c>
      <c r="CL378">
        <v>43801.381793981483</v>
      </c>
      <c r="CO378" t="s">
        <v>11</v>
      </c>
      <c r="CP378">
        <v>420.16</v>
      </c>
      <c r="CQ378" t="s">
        <v>11</v>
      </c>
      <c r="CR378">
        <v>420.16</v>
      </c>
      <c r="CV378" t="s">
        <v>525</v>
      </c>
      <c r="CW378" t="s">
        <v>12</v>
      </c>
      <c r="CX378" t="s">
        <v>12</v>
      </c>
      <c r="CY378" t="s">
        <v>12</v>
      </c>
      <c r="DA378" t="s">
        <v>104</v>
      </c>
      <c r="DD378" t="s">
        <v>93</v>
      </c>
      <c r="DQ378" t="s">
        <v>94</v>
      </c>
      <c r="DR378" t="s">
        <v>94</v>
      </c>
      <c r="DS378" t="s">
        <v>94</v>
      </c>
      <c r="DT378" t="s">
        <v>94</v>
      </c>
      <c r="DU378" t="s">
        <v>94</v>
      </c>
      <c r="DV378" t="s">
        <v>94</v>
      </c>
      <c r="DW378" t="s">
        <v>94</v>
      </c>
      <c r="DX378" s="2" t="s">
        <v>94</v>
      </c>
      <c r="DY378" t="s">
        <v>94</v>
      </c>
      <c r="DZ378" t="s">
        <v>94</v>
      </c>
      <c r="EA378" t="s">
        <v>94</v>
      </c>
      <c r="EB378" t="s">
        <v>94</v>
      </c>
      <c r="EC378" t="s">
        <v>94</v>
      </c>
      <c r="ED378" t="s">
        <v>94</v>
      </c>
      <c r="EE378" t="s">
        <v>89</v>
      </c>
      <c r="EF378" t="s">
        <v>94</v>
      </c>
      <c r="EG378" t="s">
        <v>105</v>
      </c>
      <c r="EJ378" t="s">
        <v>166</v>
      </c>
      <c r="EK378" t="b">
        <v>0</v>
      </c>
      <c r="EL378" t="b">
        <v>0</v>
      </c>
      <c r="EM378" t="b">
        <v>0</v>
      </c>
    </row>
    <row r="379" spans="3:143" ht="15">
      <c r="C379" s="82">
        <v>13</v>
      </c>
      <c r="D379" s="5">
        <v>45.5</v>
      </c>
      <c r="E379" s="4">
        <v>2</v>
      </c>
      <c r="F379" s="5">
        <v>45.5</v>
      </c>
      <c r="G379" s="5" t="s">
        <v>5067</v>
      </c>
      <c r="H379" s="4" t="s">
        <v>4869</v>
      </c>
      <c r="I379" s="81" t="s">
        <v>164</v>
      </c>
      <c r="J379" s="21"/>
      <c r="K379" s="22" t="s">
        <v>4870</v>
      </c>
      <c r="L379" s="84" t="s">
        <v>4828</v>
      </c>
      <c r="M379" s="23" t="s">
        <v>164</v>
      </c>
      <c r="N379" s="23">
        <v>43801</v>
      </c>
      <c r="O379" s="24" t="s">
        <v>102</v>
      </c>
      <c r="P379" s="24" t="s">
        <v>181</v>
      </c>
      <c r="Q379" s="24">
        <v>2</v>
      </c>
      <c r="R379" s="24">
        <v>12.05</v>
      </c>
      <c r="S379" t="s">
        <v>528</v>
      </c>
      <c r="T379">
        <v>432.63</v>
      </c>
      <c r="U379" s="2" t="s">
        <v>163</v>
      </c>
      <c r="V379" t="s">
        <v>5068</v>
      </c>
      <c r="W379" s="2" t="s">
        <v>444</v>
      </c>
      <c r="X379" t="s">
        <v>5069</v>
      </c>
      <c r="AB379" t="s">
        <v>9</v>
      </c>
      <c r="AC379" t="s">
        <v>1007</v>
      </c>
      <c r="AD379" t="s">
        <v>209</v>
      </c>
      <c r="AE379" t="s">
        <v>183</v>
      </c>
      <c r="AF379" t="s">
        <v>183</v>
      </c>
      <c r="AG379" t="s">
        <v>5070</v>
      </c>
      <c r="AH379" t="s">
        <v>4829</v>
      </c>
      <c r="AI379" t="s">
        <v>4829</v>
      </c>
      <c r="AJ379" t="s">
        <v>776</v>
      </c>
      <c r="AK379" t="s">
        <v>777</v>
      </c>
      <c r="AL379" t="s">
        <v>4830</v>
      </c>
      <c r="AM379" t="s">
        <v>4831</v>
      </c>
      <c r="AN379" t="s">
        <v>4832</v>
      </c>
      <c r="AO379" t="s">
        <v>4833</v>
      </c>
      <c r="AP379" t="s">
        <v>1011</v>
      </c>
      <c r="AQ379" t="s">
        <v>1059</v>
      </c>
      <c r="AR379" t="s">
        <v>4871</v>
      </c>
      <c r="AS379">
        <v>-499287731734</v>
      </c>
      <c r="AT379" t="s">
        <v>4834</v>
      </c>
      <c r="AU379" t="s">
        <v>10</v>
      </c>
      <c r="AV379" t="s">
        <v>4835</v>
      </c>
      <c r="AW379" t="s">
        <v>4835</v>
      </c>
      <c r="AX379" t="s">
        <v>4836</v>
      </c>
      <c r="AY379" s="2" t="s">
        <v>4837</v>
      </c>
      <c r="BA379" t="s">
        <v>186</v>
      </c>
      <c r="BB379" t="s">
        <v>187</v>
      </c>
      <c r="BC379" t="s">
        <v>188</v>
      </c>
      <c r="BD379">
        <v>518103</v>
      </c>
      <c r="BE379" t="s">
        <v>4838</v>
      </c>
      <c r="BF379" t="s">
        <v>4839</v>
      </c>
      <c r="BG379" t="b">
        <v>0</v>
      </c>
      <c r="BH379" s="6" t="s">
        <v>4840</v>
      </c>
      <c r="BI379" t="s">
        <v>4841</v>
      </c>
      <c r="BJ379">
        <v>4453163191</v>
      </c>
      <c r="BK379" t="s">
        <v>162</v>
      </c>
      <c r="BL379" t="s">
        <v>161</v>
      </c>
      <c r="BM379" s="2"/>
      <c r="BN379" t="s">
        <v>4842</v>
      </c>
      <c r="BO379" t="s">
        <v>89</v>
      </c>
      <c r="BP379">
        <v>69111019</v>
      </c>
      <c r="BR379" t="s">
        <v>189</v>
      </c>
      <c r="BS379" t="s">
        <v>103</v>
      </c>
      <c r="BU379">
        <v>233.53</v>
      </c>
      <c r="BV379">
        <v>464.06</v>
      </c>
      <c r="BW379">
        <v>0</v>
      </c>
      <c r="BX379">
        <v>0</v>
      </c>
      <c r="BY379">
        <v>0</v>
      </c>
      <c r="BZ379">
        <v>0</v>
      </c>
      <c r="CA379">
        <v>697.59</v>
      </c>
      <c r="CF379" s="2"/>
      <c r="CH379" s="2"/>
      <c r="CJ379">
        <v>5.3142019950178502E+17</v>
      </c>
      <c r="CK379" t="s">
        <v>2648</v>
      </c>
      <c r="CL379" t="s">
        <v>5071</v>
      </c>
      <c r="CO379" t="s">
        <v>11</v>
      </c>
      <c r="CP379" t="s">
        <v>5072</v>
      </c>
      <c r="CQ379" t="s">
        <v>11</v>
      </c>
      <c r="CR379">
        <v>3336.14</v>
      </c>
      <c r="CV379" t="s">
        <v>525</v>
      </c>
      <c r="CW379" t="s">
        <v>12</v>
      </c>
      <c r="CX379" t="s">
        <v>12</v>
      </c>
      <c r="CY379" t="s">
        <v>12</v>
      </c>
      <c r="DA379" t="s">
        <v>104</v>
      </c>
      <c r="DD379" t="s">
        <v>93</v>
      </c>
      <c r="DQ379" t="s">
        <v>94</v>
      </c>
      <c r="DR379" t="s">
        <v>94</v>
      </c>
      <c r="DS379" t="s">
        <v>94</v>
      </c>
      <c r="DT379" t="s">
        <v>94</v>
      </c>
      <c r="DU379" t="s">
        <v>94</v>
      </c>
      <c r="DV379" t="s">
        <v>94</v>
      </c>
      <c r="DW379" t="s">
        <v>94</v>
      </c>
      <c r="DX379" s="2" t="s">
        <v>94</v>
      </c>
      <c r="DY379" t="s">
        <v>94</v>
      </c>
      <c r="DZ379" t="s">
        <v>94</v>
      </c>
      <c r="EA379" t="s">
        <v>94</v>
      </c>
      <c r="EB379" t="s">
        <v>94</v>
      </c>
      <c r="EC379" t="s">
        <v>94</v>
      </c>
      <c r="ED379" t="s">
        <v>94</v>
      </c>
      <c r="EE379" t="s">
        <v>89</v>
      </c>
      <c r="EF379" t="s">
        <v>425</v>
      </c>
      <c r="EG379" t="s">
        <v>105</v>
      </c>
      <c r="EJ379" t="s">
        <v>166</v>
      </c>
      <c r="EK379" t="b">
        <v>0</v>
      </c>
      <c r="EL379" t="b">
        <v>0</v>
      </c>
      <c r="EM379" t="b">
        <v>0</v>
      </c>
    </row>
    <row r="380" spans="3:143" ht="15">
      <c r="C380" s="82">
        <v>3</v>
      </c>
      <c r="D380" s="5"/>
      <c r="E380" s="4">
        <v>1</v>
      </c>
      <c r="F380" s="5">
        <v>0.56000000000000005</v>
      </c>
      <c r="G380" s="5" t="s">
        <v>5073</v>
      </c>
      <c r="H380" s="4" t="s">
        <v>5074</v>
      </c>
      <c r="I380" s="81" t="s">
        <v>920</v>
      </c>
      <c r="J380" s="21"/>
      <c r="K380" s="22" t="s">
        <v>4993</v>
      </c>
      <c r="L380" s="84" t="s">
        <v>4994</v>
      </c>
      <c r="M380" s="23" t="s">
        <v>920</v>
      </c>
      <c r="N380" s="23">
        <v>43807</v>
      </c>
      <c r="O380" s="24" t="s">
        <v>102</v>
      </c>
      <c r="P380" s="24" t="s">
        <v>179</v>
      </c>
      <c r="Q380" s="24">
        <v>1</v>
      </c>
      <c r="R380" s="24">
        <v>0.56000000000000005</v>
      </c>
      <c r="S380" t="s">
        <v>319</v>
      </c>
      <c r="T380">
        <v>28</v>
      </c>
      <c r="U380" s="2" t="s">
        <v>163</v>
      </c>
      <c r="V380" t="s">
        <v>5075</v>
      </c>
      <c r="W380" s="2" t="s">
        <v>444</v>
      </c>
      <c r="X380" t="s">
        <v>5076</v>
      </c>
      <c r="AB380" t="s">
        <v>9</v>
      </c>
      <c r="AC380" t="s">
        <v>354</v>
      </c>
      <c r="AD380" t="s">
        <v>182</v>
      </c>
      <c r="AE380">
        <v>5788</v>
      </c>
      <c r="AF380">
        <v>5788</v>
      </c>
      <c r="AG380" t="s">
        <v>183</v>
      </c>
      <c r="AH380" t="s">
        <v>4995</v>
      </c>
      <c r="AI380" t="s">
        <v>4996</v>
      </c>
      <c r="AJ380" t="s">
        <v>356</v>
      </c>
      <c r="AK380" t="s">
        <v>357</v>
      </c>
      <c r="AL380" t="s">
        <v>4997</v>
      </c>
      <c r="AM380" t="s">
        <v>4998</v>
      </c>
      <c r="AO380" t="s">
        <v>4999</v>
      </c>
      <c r="AP380" t="s">
        <v>361</v>
      </c>
      <c r="AQ380" t="s">
        <v>362</v>
      </c>
      <c r="AR380" t="s">
        <v>5077</v>
      </c>
      <c r="AS380">
        <v>89555565</v>
      </c>
      <c r="AT380" t="s">
        <v>5000</v>
      </c>
      <c r="AU380" t="s">
        <v>10</v>
      </c>
      <c r="AV380" t="s">
        <v>5001</v>
      </c>
      <c r="AW380" t="s">
        <v>5002</v>
      </c>
      <c r="AX380" t="s">
        <v>5003</v>
      </c>
      <c r="AY380" s="2" t="s">
        <v>5004</v>
      </c>
      <c r="AZ380" t="s">
        <v>5005</v>
      </c>
      <c r="BA380" t="s">
        <v>186</v>
      </c>
      <c r="BB380" t="s">
        <v>187</v>
      </c>
      <c r="BC380" t="s">
        <v>188</v>
      </c>
      <c r="BD380">
        <v>518101</v>
      </c>
      <c r="BE380" t="s">
        <v>5078</v>
      </c>
      <c r="BF380" t="s">
        <v>5002</v>
      </c>
      <c r="BG380" t="b">
        <v>0</v>
      </c>
      <c r="BH380" s="6" t="s">
        <v>5006</v>
      </c>
      <c r="BI380" t="s">
        <v>5007</v>
      </c>
      <c r="BJ380">
        <v>4453163191</v>
      </c>
      <c r="BK380" t="s">
        <v>162</v>
      </c>
      <c r="BL380" t="s">
        <v>161</v>
      </c>
      <c r="BM380" s="2"/>
      <c r="BO380" t="s">
        <v>89</v>
      </c>
      <c r="BP380">
        <v>3926909090</v>
      </c>
      <c r="BR380" t="s">
        <v>180</v>
      </c>
      <c r="BS380" t="s">
        <v>103</v>
      </c>
      <c r="BU380">
        <v>0</v>
      </c>
      <c r="BV380">
        <v>0</v>
      </c>
      <c r="BW380">
        <v>0</v>
      </c>
      <c r="BX380">
        <v>0</v>
      </c>
      <c r="BY380">
        <v>0</v>
      </c>
      <c r="BZ380">
        <v>0</v>
      </c>
      <c r="CA380">
        <v>0</v>
      </c>
      <c r="CF380" s="2"/>
      <c r="CH380" s="2"/>
      <c r="CJ380">
        <v>5.3142019950183098E+17</v>
      </c>
      <c r="CK380" t="s">
        <v>2710</v>
      </c>
      <c r="CL380" t="s">
        <v>5079</v>
      </c>
      <c r="CO380" t="s">
        <v>11</v>
      </c>
      <c r="CP380" t="s">
        <v>5080</v>
      </c>
      <c r="CQ380" t="s">
        <v>11</v>
      </c>
      <c r="CR380">
        <v>196.07</v>
      </c>
      <c r="CV380" t="s">
        <v>190</v>
      </c>
      <c r="CW380" t="s">
        <v>12</v>
      </c>
      <c r="CX380" t="s">
        <v>12</v>
      </c>
      <c r="CY380" t="s">
        <v>12</v>
      </c>
      <c r="DA380" t="s">
        <v>104</v>
      </c>
      <c r="DD380" t="s">
        <v>93</v>
      </c>
      <c r="DQ380" t="s">
        <v>94</v>
      </c>
      <c r="DR380" t="s">
        <v>94</v>
      </c>
      <c r="DS380" t="s">
        <v>94</v>
      </c>
      <c r="DT380" t="s">
        <v>94</v>
      </c>
      <c r="DU380" t="s">
        <v>94</v>
      </c>
      <c r="DV380" t="s">
        <v>94</v>
      </c>
      <c r="DW380" t="s">
        <v>94</v>
      </c>
      <c r="DX380" s="2" t="s">
        <v>94</v>
      </c>
      <c r="DY380" t="s">
        <v>94</v>
      </c>
      <c r="DZ380" t="s">
        <v>94</v>
      </c>
      <c r="EA380" t="s">
        <v>94</v>
      </c>
      <c r="EB380" t="s">
        <v>94</v>
      </c>
      <c r="EC380" t="s">
        <v>94</v>
      </c>
      <c r="ED380" t="s">
        <v>94</v>
      </c>
      <c r="EE380" t="s">
        <v>89</v>
      </c>
      <c r="EF380" t="s">
        <v>94</v>
      </c>
      <c r="EG380" t="s">
        <v>105</v>
      </c>
      <c r="EJ380" t="s">
        <v>166</v>
      </c>
      <c r="EK380" t="b">
        <v>0</v>
      </c>
      <c r="EL380" t="b">
        <v>0</v>
      </c>
      <c r="EM380" t="b">
        <v>0</v>
      </c>
    </row>
    <row r="381" spans="3:143">
      <c r="C381" s="4">
        <v>3</v>
      </c>
      <c r="D381" s="4"/>
      <c r="E381" s="4">
        <v>1</v>
      </c>
      <c r="F381" s="4">
        <v>0.6</v>
      </c>
      <c r="G381" s="5" t="s">
        <v>5073</v>
      </c>
      <c r="H381" s="4" t="s">
        <v>5081</v>
      </c>
      <c r="I381" s="4" t="s">
        <v>920</v>
      </c>
      <c r="J381" s="5"/>
      <c r="K381" s="22" t="s">
        <v>5008</v>
      </c>
      <c r="L381" s="84" t="s">
        <v>4994</v>
      </c>
      <c r="M381" s="23" t="s">
        <v>920</v>
      </c>
      <c r="N381" s="23">
        <v>43807</v>
      </c>
      <c r="O381" s="24" t="s">
        <v>102</v>
      </c>
      <c r="P381" s="24" t="s">
        <v>179</v>
      </c>
      <c r="Q381" s="24">
        <v>1</v>
      </c>
      <c r="R381" s="24">
        <v>0.6</v>
      </c>
      <c r="S381" t="s">
        <v>319</v>
      </c>
      <c r="T381">
        <v>30</v>
      </c>
      <c r="U381" s="2" t="s">
        <v>163</v>
      </c>
      <c r="V381" t="s">
        <v>5075</v>
      </c>
      <c r="W381" s="2" t="s">
        <v>444</v>
      </c>
      <c r="X381" t="s">
        <v>5076</v>
      </c>
      <c r="AB381" t="s">
        <v>9</v>
      </c>
      <c r="AC381" t="s">
        <v>1007</v>
      </c>
      <c r="AD381" t="s">
        <v>209</v>
      </c>
      <c r="AE381">
        <v>70672997</v>
      </c>
      <c r="AF381">
        <v>70672997</v>
      </c>
      <c r="AG381" t="s">
        <v>183</v>
      </c>
      <c r="AH381" t="s">
        <v>5009</v>
      </c>
      <c r="AI381" t="s">
        <v>5009</v>
      </c>
      <c r="AJ381" t="s">
        <v>776</v>
      </c>
      <c r="AK381" t="s">
        <v>777</v>
      </c>
      <c r="AL381" t="s">
        <v>5010</v>
      </c>
      <c r="AO381" t="s">
        <v>5011</v>
      </c>
      <c r="AP381" t="s">
        <v>1011</v>
      </c>
      <c r="AQ381" t="s">
        <v>1059</v>
      </c>
      <c r="AR381" t="s">
        <v>5082</v>
      </c>
      <c r="AS381">
        <v>98228701209</v>
      </c>
      <c r="AT381" t="s">
        <v>5012</v>
      </c>
      <c r="AU381" t="s">
        <v>10</v>
      </c>
      <c r="AV381" t="s">
        <v>5013</v>
      </c>
      <c r="AW381" t="s">
        <v>5013</v>
      </c>
      <c r="AX381" t="s">
        <v>5014</v>
      </c>
      <c r="AY381" t="s">
        <v>5015</v>
      </c>
      <c r="BA381" t="s">
        <v>1523</v>
      </c>
      <c r="BB381" t="s">
        <v>1524</v>
      </c>
      <c r="BC381" t="s">
        <v>188</v>
      </c>
      <c r="BD381">
        <v>529085</v>
      </c>
      <c r="BE381" t="s">
        <v>5083</v>
      </c>
      <c r="BF381" t="s">
        <v>5016</v>
      </c>
      <c r="BG381" t="b">
        <v>0</v>
      </c>
      <c r="BH381" s="6" t="s">
        <v>5017</v>
      </c>
      <c r="BI381" t="s">
        <v>5018</v>
      </c>
      <c r="BJ381">
        <v>4453163191</v>
      </c>
      <c r="BK381" t="s">
        <v>162</v>
      </c>
      <c r="BL381" t="s">
        <v>161</v>
      </c>
      <c r="BM381" s="2"/>
      <c r="BO381" t="s">
        <v>89</v>
      </c>
      <c r="BP381">
        <v>61169200</v>
      </c>
      <c r="BR381" t="s">
        <v>180</v>
      </c>
      <c r="BS381" t="s">
        <v>103</v>
      </c>
      <c r="BU381">
        <v>0</v>
      </c>
      <c r="BV381">
        <v>0</v>
      </c>
      <c r="BW381">
        <v>0</v>
      </c>
      <c r="BX381">
        <v>0</v>
      </c>
      <c r="BY381">
        <v>0</v>
      </c>
      <c r="BZ381">
        <v>0</v>
      </c>
      <c r="CA381">
        <v>0</v>
      </c>
      <c r="CF381" s="2"/>
      <c r="CH381" s="2"/>
      <c r="CJ381">
        <v>5.3142019950183098E+17</v>
      </c>
      <c r="CK381" t="s">
        <v>2710</v>
      </c>
      <c r="CL381" t="s">
        <v>5084</v>
      </c>
      <c r="CO381" t="s">
        <v>11</v>
      </c>
      <c r="CP381" t="s">
        <v>5085</v>
      </c>
      <c r="CQ381" t="s">
        <v>11</v>
      </c>
      <c r="CR381">
        <v>210.08</v>
      </c>
      <c r="CV381" t="s">
        <v>190</v>
      </c>
      <c r="CW381" t="s">
        <v>12</v>
      </c>
      <c r="CX381" t="s">
        <v>12</v>
      </c>
      <c r="CY381" t="s">
        <v>12</v>
      </c>
      <c r="DA381" t="s">
        <v>104</v>
      </c>
      <c r="DD381" t="s">
        <v>93</v>
      </c>
      <c r="DQ381" t="s">
        <v>94</v>
      </c>
      <c r="DR381" t="s">
        <v>94</v>
      </c>
      <c r="DS381" t="s">
        <v>94</v>
      </c>
      <c r="DT381" t="s">
        <v>94</v>
      </c>
      <c r="DU381" t="s">
        <v>94</v>
      </c>
      <c r="DV381" t="s">
        <v>94</v>
      </c>
      <c r="DW381" t="s">
        <v>94</v>
      </c>
      <c r="DX381" s="2" t="s">
        <v>94</v>
      </c>
      <c r="DY381" t="s">
        <v>94</v>
      </c>
      <c r="DZ381" t="s">
        <v>94</v>
      </c>
      <c r="EA381" t="s">
        <v>94</v>
      </c>
      <c r="EB381" t="s">
        <v>94</v>
      </c>
      <c r="EC381" t="s">
        <v>94</v>
      </c>
      <c r="ED381" t="s">
        <v>94</v>
      </c>
      <c r="EE381" t="s">
        <v>89</v>
      </c>
      <c r="EF381" t="s">
        <v>425</v>
      </c>
      <c r="EG381" t="s">
        <v>105</v>
      </c>
      <c r="EJ381" t="s">
        <v>166</v>
      </c>
      <c r="EK381" t="b">
        <v>0</v>
      </c>
      <c r="EL381" t="b">
        <v>0</v>
      </c>
      <c r="EM381" t="b">
        <v>0</v>
      </c>
    </row>
    <row r="382" spans="3:143">
      <c r="C382" s="4">
        <v>3</v>
      </c>
      <c r="D382" s="5"/>
      <c r="E382" s="5">
        <v>1</v>
      </c>
      <c r="F382" s="4">
        <v>0.56000000000000005</v>
      </c>
      <c r="G382" s="5" t="s">
        <v>5073</v>
      </c>
      <c r="H382" s="4" t="s">
        <v>5086</v>
      </c>
      <c r="I382" s="4" t="s">
        <v>920</v>
      </c>
      <c r="J382" s="4"/>
      <c r="K382" s="22" t="s">
        <v>5040</v>
      </c>
      <c r="L382" s="84" t="s">
        <v>4994</v>
      </c>
      <c r="M382" s="23" t="s">
        <v>920</v>
      </c>
      <c r="N382" s="23">
        <v>43807</v>
      </c>
      <c r="O382" s="24" t="s">
        <v>102</v>
      </c>
      <c r="P382" s="24" t="s">
        <v>181</v>
      </c>
      <c r="Q382" s="24">
        <v>1</v>
      </c>
      <c r="R382" s="24">
        <v>0.56000000000000005</v>
      </c>
      <c r="S382" t="s">
        <v>11</v>
      </c>
      <c r="T382">
        <v>1100</v>
      </c>
      <c r="U382" s="2" t="s">
        <v>163</v>
      </c>
      <c r="V382" t="s">
        <v>5087</v>
      </c>
      <c r="W382" s="2" t="s">
        <v>444</v>
      </c>
      <c r="X382" t="s">
        <v>5076</v>
      </c>
      <c r="AB382" t="s">
        <v>9</v>
      </c>
      <c r="AC382" t="s">
        <v>5041</v>
      </c>
      <c r="AD382" t="s">
        <v>191</v>
      </c>
      <c r="AE382">
        <v>32243</v>
      </c>
      <c r="AF382">
        <v>32243</v>
      </c>
      <c r="AG382" t="s">
        <v>183</v>
      </c>
      <c r="AH382" t="s">
        <v>5042</v>
      </c>
      <c r="AI382" t="s">
        <v>5042</v>
      </c>
      <c r="AJ382" t="s">
        <v>601</v>
      </c>
      <c r="AK382" t="s">
        <v>602</v>
      </c>
      <c r="AL382" t="s">
        <v>5043</v>
      </c>
      <c r="AO382" t="s">
        <v>5044</v>
      </c>
      <c r="AP382" t="s">
        <v>5045</v>
      </c>
      <c r="AQ382" t="s">
        <v>5044</v>
      </c>
      <c r="AR382" t="s">
        <v>5088</v>
      </c>
      <c r="AS382">
        <v>0</v>
      </c>
      <c r="AT382" t="s">
        <v>5046</v>
      </c>
      <c r="AU382" t="s">
        <v>10</v>
      </c>
      <c r="AV382" t="s">
        <v>5047</v>
      </c>
      <c r="AW382" t="s">
        <v>5047</v>
      </c>
      <c r="AX382" t="s">
        <v>5048</v>
      </c>
      <c r="AY382" t="s">
        <v>5049</v>
      </c>
      <c r="BA382" t="s">
        <v>371</v>
      </c>
      <c r="BB382" t="s">
        <v>192</v>
      </c>
      <c r="BC382" t="s">
        <v>371</v>
      </c>
      <c r="BD382">
        <v>523380</v>
      </c>
      <c r="BE382" t="s">
        <v>5089</v>
      </c>
      <c r="BF382" t="s">
        <v>5050</v>
      </c>
      <c r="BG382" t="b">
        <v>0</v>
      </c>
      <c r="BH382" s="6" t="s">
        <v>5051</v>
      </c>
      <c r="BI382" t="s">
        <v>5052</v>
      </c>
      <c r="BJ382">
        <v>4453163191</v>
      </c>
      <c r="BK382" t="s">
        <v>162</v>
      </c>
      <c r="BL382" t="s">
        <v>161</v>
      </c>
      <c r="BM382" s="2"/>
      <c r="BO382" t="s">
        <v>89</v>
      </c>
      <c r="BP382">
        <v>84669200</v>
      </c>
      <c r="BR382" t="s">
        <v>189</v>
      </c>
      <c r="BS382" t="s">
        <v>103</v>
      </c>
      <c r="BU382">
        <v>66</v>
      </c>
      <c r="BV382">
        <v>151.58000000000001</v>
      </c>
      <c r="BW382">
        <v>0</v>
      </c>
      <c r="BX382">
        <v>0</v>
      </c>
      <c r="BY382">
        <v>0</v>
      </c>
      <c r="BZ382">
        <v>0</v>
      </c>
      <c r="CA382">
        <v>217.58</v>
      </c>
      <c r="CF382" s="2"/>
      <c r="CH382" s="2"/>
      <c r="CJ382">
        <v>5.3142019950183098E+17</v>
      </c>
      <c r="CK382" t="s">
        <v>2710</v>
      </c>
      <c r="CL382" t="s">
        <v>5090</v>
      </c>
      <c r="CO382" t="s">
        <v>11</v>
      </c>
      <c r="CP382" t="s">
        <v>1891</v>
      </c>
      <c r="CQ382" t="s">
        <v>11</v>
      </c>
      <c r="CR382">
        <v>1100</v>
      </c>
      <c r="CV382" t="s">
        <v>525</v>
      </c>
      <c r="CW382" t="s">
        <v>12</v>
      </c>
      <c r="CX382" t="s">
        <v>12</v>
      </c>
      <c r="CY382" t="s">
        <v>12</v>
      </c>
      <c r="DA382" t="s">
        <v>104</v>
      </c>
      <c r="DD382" t="s">
        <v>93</v>
      </c>
      <c r="DQ382" t="s">
        <v>94</v>
      </c>
      <c r="DR382" t="s">
        <v>94</v>
      </c>
      <c r="DS382" t="s">
        <v>94</v>
      </c>
      <c r="DT382" t="s">
        <v>94</v>
      </c>
      <c r="DU382" t="s">
        <v>94</v>
      </c>
      <c r="DV382" t="s">
        <v>94</v>
      </c>
      <c r="DW382" t="s">
        <v>94</v>
      </c>
      <c r="DX382" s="2" t="s">
        <v>94</v>
      </c>
      <c r="DY382" t="s">
        <v>94</v>
      </c>
      <c r="DZ382" t="s">
        <v>94</v>
      </c>
      <c r="EA382" t="s">
        <v>94</v>
      </c>
      <c r="EB382" t="s">
        <v>94</v>
      </c>
      <c r="EC382" t="s">
        <v>94</v>
      </c>
      <c r="ED382" t="s">
        <v>94</v>
      </c>
      <c r="EE382" t="s">
        <v>89</v>
      </c>
      <c r="EF382" t="s">
        <v>94</v>
      </c>
      <c r="EG382" t="s">
        <v>105</v>
      </c>
      <c r="EJ382" t="s">
        <v>166</v>
      </c>
      <c r="EK382" t="b">
        <v>0</v>
      </c>
      <c r="EL382" t="b">
        <v>0</v>
      </c>
      <c r="EM382" t="b">
        <v>0</v>
      </c>
    </row>
    <row r="383" spans="3:143" ht="15">
      <c r="C383" s="82">
        <v>3</v>
      </c>
      <c r="D383" s="5"/>
      <c r="E383" s="4">
        <v>2</v>
      </c>
      <c r="F383" s="5">
        <v>8.25</v>
      </c>
      <c r="G383" s="5" t="s">
        <v>5091</v>
      </c>
      <c r="H383" s="4" t="s">
        <v>5092</v>
      </c>
      <c r="I383" s="81" t="s">
        <v>817</v>
      </c>
      <c r="J383" s="21"/>
      <c r="K383" s="22" t="s">
        <v>4967</v>
      </c>
      <c r="L383" s="84" t="s">
        <v>4968</v>
      </c>
      <c r="M383" s="23" t="s">
        <v>817</v>
      </c>
      <c r="N383" s="23">
        <v>43807</v>
      </c>
      <c r="O383" s="24" t="s">
        <v>102</v>
      </c>
      <c r="P383" s="24" t="s">
        <v>181</v>
      </c>
      <c r="Q383" s="24">
        <v>2</v>
      </c>
      <c r="R383" s="24">
        <v>8.25</v>
      </c>
      <c r="S383" t="s">
        <v>319</v>
      </c>
      <c r="T383">
        <v>60</v>
      </c>
      <c r="U383" s="2" t="s">
        <v>163</v>
      </c>
      <c r="V383" t="s">
        <v>5093</v>
      </c>
      <c r="W383" s="2" t="s">
        <v>444</v>
      </c>
      <c r="X383" t="s">
        <v>5094</v>
      </c>
      <c r="AB383" t="s">
        <v>9</v>
      </c>
      <c r="AC383" t="s">
        <v>448</v>
      </c>
      <c r="AD383" t="s">
        <v>191</v>
      </c>
      <c r="AE383">
        <v>397395</v>
      </c>
      <c r="AF383">
        <v>397395</v>
      </c>
      <c r="AG383" t="s">
        <v>5095</v>
      </c>
      <c r="AH383" t="s">
        <v>4969</v>
      </c>
      <c r="AI383" t="s">
        <v>4969</v>
      </c>
      <c r="AJ383" t="s">
        <v>184</v>
      </c>
      <c r="AK383" t="s">
        <v>185</v>
      </c>
      <c r="AL383" t="s">
        <v>4970</v>
      </c>
      <c r="AO383" t="s">
        <v>3478</v>
      </c>
      <c r="AP383" t="s">
        <v>453</v>
      </c>
      <c r="AQ383" t="s">
        <v>3479</v>
      </c>
      <c r="AR383" t="s">
        <v>4971</v>
      </c>
      <c r="AS383">
        <v>1925419090</v>
      </c>
      <c r="AT383" t="s">
        <v>4972</v>
      </c>
      <c r="AU383" t="s">
        <v>10</v>
      </c>
      <c r="AV383" t="s">
        <v>4973</v>
      </c>
      <c r="AW383" t="s">
        <v>4973</v>
      </c>
      <c r="AX383" t="s">
        <v>4974</v>
      </c>
      <c r="AY383" s="2" t="s">
        <v>4975</v>
      </c>
      <c r="AZ383" t="s">
        <v>4976</v>
      </c>
      <c r="BA383" t="s">
        <v>726</v>
      </c>
      <c r="BB383" t="s">
        <v>192</v>
      </c>
      <c r="BC383" t="s">
        <v>188</v>
      </c>
      <c r="BD383">
        <v>523695</v>
      </c>
      <c r="BE383" t="s">
        <v>4977</v>
      </c>
      <c r="BF383" t="s">
        <v>4978</v>
      </c>
      <c r="BG383" t="b">
        <v>0</v>
      </c>
      <c r="BH383" s="6" t="s">
        <v>4979</v>
      </c>
      <c r="BI383" t="s">
        <v>4980</v>
      </c>
      <c r="BJ383">
        <v>4453163191</v>
      </c>
      <c r="BK383" t="s">
        <v>162</v>
      </c>
      <c r="BL383" t="s">
        <v>161</v>
      </c>
      <c r="BM383" s="2"/>
      <c r="BN383" t="s">
        <v>4981</v>
      </c>
      <c r="BO383" t="s">
        <v>89</v>
      </c>
      <c r="BP383">
        <v>85312000</v>
      </c>
      <c r="BR383" t="s">
        <v>189</v>
      </c>
      <c r="BS383" t="s">
        <v>103</v>
      </c>
      <c r="BU383">
        <v>0</v>
      </c>
      <c r="BV383">
        <v>54.62</v>
      </c>
      <c r="BW383">
        <v>0</v>
      </c>
      <c r="BX383">
        <v>0</v>
      </c>
      <c r="BY383">
        <v>0</v>
      </c>
      <c r="BZ383">
        <v>0</v>
      </c>
      <c r="CA383">
        <v>54.62</v>
      </c>
      <c r="CF383" s="2"/>
      <c r="CH383" s="2"/>
      <c r="CJ383">
        <v>5.3142019950183098E+17</v>
      </c>
      <c r="CK383" t="s">
        <v>165</v>
      </c>
      <c r="CL383" t="s">
        <v>5096</v>
      </c>
      <c r="CO383" t="s">
        <v>11</v>
      </c>
      <c r="CP383" t="s">
        <v>5097</v>
      </c>
      <c r="CQ383" t="s">
        <v>11</v>
      </c>
      <c r="CR383">
        <v>420.16</v>
      </c>
      <c r="CV383" t="s">
        <v>525</v>
      </c>
      <c r="CW383" t="s">
        <v>12</v>
      </c>
      <c r="CX383" t="s">
        <v>12</v>
      </c>
      <c r="CY383" t="s">
        <v>12</v>
      </c>
      <c r="DA383" t="s">
        <v>104</v>
      </c>
      <c r="DD383" t="s">
        <v>93</v>
      </c>
      <c r="DQ383" t="s">
        <v>94</v>
      </c>
      <c r="DR383" t="s">
        <v>94</v>
      </c>
      <c r="DS383" t="s">
        <v>94</v>
      </c>
      <c r="DT383" t="s">
        <v>94</v>
      </c>
      <c r="DU383" t="s">
        <v>94</v>
      </c>
      <c r="DV383" t="s">
        <v>94</v>
      </c>
      <c r="DW383" t="s">
        <v>94</v>
      </c>
      <c r="DX383" s="2" t="s">
        <v>94</v>
      </c>
      <c r="DY383" t="s">
        <v>94</v>
      </c>
      <c r="DZ383" t="s">
        <v>94</v>
      </c>
      <c r="EA383" t="s">
        <v>94</v>
      </c>
      <c r="EB383" t="s">
        <v>94</v>
      </c>
      <c r="EC383" t="s">
        <v>94</v>
      </c>
      <c r="ED383" t="s">
        <v>94</v>
      </c>
      <c r="EE383" t="s">
        <v>89</v>
      </c>
      <c r="EF383" t="s">
        <v>425</v>
      </c>
      <c r="EG383" t="s">
        <v>105</v>
      </c>
      <c r="EJ383" t="s">
        <v>166</v>
      </c>
      <c r="EK383" t="b">
        <v>0</v>
      </c>
      <c r="EL383" t="b">
        <v>0</v>
      </c>
      <c r="EM383" t="b">
        <v>0</v>
      </c>
    </row>
    <row r="384" spans="3:143">
      <c r="C384" s="4">
        <v>3</v>
      </c>
      <c r="D384" s="4"/>
      <c r="E384" s="4">
        <v>1</v>
      </c>
      <c r="F384" s="4">
        <v>1</v>
      </c>
      <c r="G384" s="5" t="s">
        <v>5091</v>
      </c>
      <c r="H384" s="4" t="s">
        <v>576</v>
      </c>
      <c r="I384" s="4" t="s">
        <v>817</v>
      </c>
      <c r="J384" s="5"/>
      <c r="K384" s="22" t="s">
        <v>4982</v>
      </c>
      <c r="L384" s="84" t="s">
        <v>4968</v>
      </c>
      <c r="M384" s="23" t="s">
        <v>817</v>
      </c>
      <c r="N384" s="23">
        <v>43807</v>
      </c>
      <c r="O384" s="24" t="s">
        <v>102</v>
      </c>
      <c r="P384" s="24" t="s">
        <v>179</v>
      </c>
      <c r="Q384" s="24">
        <v>1</v>
      </c>
      <c r="R384" s="24">
        <v>1</v>
      </c>
      <c r="S384" t="s">
        <v>319</v>
      </c>
      <c r="T384">
        <v>30</v>
      </c>
      <c r="U384" s="2" t="s">
        <v>163</v>
      </c>
      <c r="V384" t="s">
        <v>5098</v>
      </c>
      <c r="W384" s="2" t="s">
        <v>444</v>
      </c>
      <c r="X384" t="s">
        <v>5094</v>
      </c>
      <c r="AB384" t="s">
        <v>9</v>
      </c>
      <c r="AC384" t="s">
        <v>1326</v>
      </c>
      <c r="AD384" t="s">
        <v>1602</v>
      </c>
      <c r="AE384">
        <v>32415</v>
      </c>
      <c r="AF384">
        <v>32415</v>
      </c>
      <c r="AG384" t="s">
        <v>183</v>
      </c>
      <c r="AH384" t="s">
        <v>4983</v>
      </c>
      <c r="AI384" t="s">
        <v>4983</v>
      </c>
      <c r="AJ384" t="s">
        <v>1072</v>
      </c>
      <c r="AK384" t="s">
        <v>1073</v>
      </c>
      <c r="AL384" t="s">
        <v>4984</v>
      </c>
      <c r="AO384" t="s">
        <v>4985</v>
      </c>
      <c r="AP384" t="s">
        <v>1331</v>
      </c>
      <c r="AR384" t="s">
        <v>4986</v>
      </c>
      <c r="AS384">
        <v>-46704582275</v>
      </c>
      <c r="AT384" t="s">
        <v>4987</v>
      </c>
      <c r="AU384" t="s">
        <v>10</v>
      </c>
      <c r="AV384" t="s">
        <v>4988</v>
      </c>
      <c r="AW384" t="s">
        <v>4988</v>
      </c>
      <c r="AX384" t="s">
        <v>4989</v>
      </c>
      <c r="BA384" t="s">
        <v>1980</v>
      </c>
      <c r="BB384" t="s">
        <v>1616</v>
      </c>
      <c r="BC384" t="s">
        <v>188</v>
      </c>
      <c r="BD384">
        <v>528425</v>
      </c>
      <c r="BE384" t="s">
        <v>5099</v>
      </c>
      <c r="BF384" t="s">
        <v>4990</v>
      </c>
      <c r="BG384" t="b">
        <v>0</v>
      </c>
      <c r="BH384" s="6" t="s">
        <v>4991</v>
      </c>
      <c r="BI384" t="s">
        <v>4992</v>
      </c>
      <c r="BJ384">
        <v>4453163191</v>
      </c>
      <c r="BK384" t="s">
        <v>162</v>
      </c>
      <c r="BL384" t="s">
        <v>161</v>
      </c>
      <c r="BM384" s="2"/>
      <c r="BO384" t="s">
        <v>89</v>
      </c>
      <c r="BP384">
        <v>73269090</v>
      </c>
      <c r="BR384" t="s">
        <v>180</v>
      </c>
      <c r="BS384" t="s">
        <v>103</v>
      </c>
      <c r="BU384">
        <v>0</v>
      </c>
      <c r="BV384">
        <v>0</v>
      </c>
      <c r="BW384">
        <v>0</v>
      </c>
      <c r="BX384">
        <v>0</v>
      </c>
      <c r="BY384">
        <v>0</v>
      </c>
      <c r="BZ384">
        <v>0</v>
      </c>
      <c r="CA384">
        <v>0</v>
      </c>
      <c r="CF384" s="2"/>
      <c r="CH384" s="2"/>
      <c r="CJ384">
        <v>5.3142019950183098E+17</v>
      </c>
      <c r="CK384" t="s">
        <v>165</v>
      </c>
      <c r="CL384" t="s">
        <v>5100</v>
      </c>
      <c r="CO384" t="s">
        <v>11</v>
      </c>
      <c r="CP384" t="s">
        <v>5085</v>
      </c>
      <c r="CQ384" t="s">
        <v>11</v>
      </c>
      <c r="CR384">
        <v>210.08</v>
      </c>
      <c r="CV384" t="s">
        <v>190</v>
      </c>
      <c r="CW384" t="s">
        <v>12</v>
      </c>
      <c r="CX384" t="s">
        <v>12</v>
      </c>
      <c r="CY384" t="s">
        <v>12</v>
      </c>
      <c r="DA384" t="s">
        <v>104</v>
      </c>
      <c r="DD384" t="s">
        <v>93</v>
      </c>
      <c r="DQ384" t="s">
        <v>94</v>
      </c>
      <c r="DR384" t="s">
        <v>94</v>
      </c>
      <c r="DS384" t="s">
        <v>94</v>
      </c>
      <c r="DT384" t="s">
        <v>94</v>
      </c>
      <c r="DU384" t="s">
        <v>94</v>
      </c>
      <c r="DV384" t="s">
        <v>94</v>
      </c>
      <c r="DW384" t="s">
        <v>94</v>
      </c>
      <c r="DX384" s="2" t="s">
        <v>94</v>
      </c>
      <c r="DY384" t="s">
        <v>94</v>
      </c>
      <c r="DZ384" t="s">
        <v>94</v>
      </c>
      <c r="EA384" t="s">
        <v>94</v>
      </c>
      <c r="EB384" t="s">
        <v>94</v>
      </c>
      <c r="EC384" t="s">
        <v>94</v>
      </c>
      <c r="ED384" t="s">
        <v>94</v>
      </c>
      <c r="EE384" t="s">
        <v>89</v>
      </c>
      <c r="EF384" t="s">
        <v>425</v>
      </c>
      <c r="EG384" t="s">
        <v>105</v>
      </c>
      <c r="EJ384" t="s">
        <v>166</v>
      </c>
      <c r="EK384" t="b">
        <v>0</v>
      </c>
      <c r="EL384" t="b">
        <v>0</v>
      </c>
      <c r="EM384" t="b">
        <v>0</v>
      </c>
    </row>
    <row r="385" spans="3:143">
      <c r="C385" s="4">
        <v>3</v>
      </c>
      <c r="D385" s="5"/>
      <c r="E385" s="5">
        <v>1</v>
      </c>
      <c r="F385" s="4">
        <v>1.65</v>
      </c>
      <c r="G385" s="5" t="s">
        <v>5091</v>
      </c>
      <c r="H385" s="4" t="s">
        <v>4180</v>
      </c>
      <c r="I385" s="4" t="s">
        <v>817</v>
      </c>
      <c r="J385" s="4"/>
      <c r="K385" s="22" t="s">
        <v>5019</v>
      </c>
      <c r="L385" s="84" t="s">
        <v>4968</v>
      </c>
      <c r="M385" s="23" t="s">
        <v>817</v>
      </c>
      <c r="N385" s="23">
        <v>43807</v>
      </c>
      <c r="O385" s="24" t="s">
        <v>102</v>
      </c>
      <c r="P385" s="24" t="s">
        <v>179</v>
      </c>
      <c r="Q385" s="24">
        <v>1</v>
      </c>
      <c r="R385" s="24">
        <v>1.65</v>
      </c>
      <c r="S385" t="s">
        <v>319</v>
      </c>
      <c r="T385">
        <v>30</v>
      </c>
      <c r="U385" s="2" t="s">
        <v>163</v>
      </c>
      <c r="V385" t="s">
        <v>5098</v>
      </c>
      <c r="W385" s="2" t="s">
        <v>444</v>
      </c>
      <c r="X385" t="s">
        <v>5094</v>
      </c>
      <c r="AB385" t="s">
        <v>9</v>
      </c>
      <c r="AC385" t="s">
        <v>1347</v>
      </c>
      <c r="AD385" t="s">
        <v>1125</v>
      </c>
      <c r="AE385">
        <v>20197576</v>
      </c>
      <c r="AF385">
        <v>20197576</v>
      </c>
      <c r="AG385" t="s">
        <v>183</v>
      </c>
      <c r="AH385" t="s">
        <v>5020</v>
      </c>
      <c r="AI385" t="s">
        <v>5020</v>
      </c>
      <c r="AJ385" t="s">
        <v>369</v>
      </c>
      <c r="AK385" t="s">
        <v>370</v>
      </c>
      <c r="AL385" t="s">
        <v>5021</v>
      </c>
      <c r="AO385" t="s">
        <v>5022</v>
      </c>
      <c r="AP385" t="s">
        <v>1351</v>
      </c>
      <c r="AQ385" t="s">
        <v>1352</v>
      </c>
      <c r="AR385" t="s">
        <v>5101</v>
      </c>
      <c r="AS385">
        <v>395400255</v>
      </c>
      <c r="AT385" t="s">
        <v>5023</v>
      </c>
      <c r="AU385" t="s">
        <v>10</v>
      </c>
      <c r="AV385" t="s">
        <v>5024</v>
      </c>
      <c r="AW385" t="s">
        <v>5024</v>
      </c>
      <c r="AX385" t="s">
        <v>5025</v>
      </c>
      <c r="AY385" t="s">
        <v>5026</v>
      </c>
      <c r="AZ385" t="s">
        <v>5027</v>
      </c>
      <c r="BA385" t="s">
        <v>2748</v>
      </c>
      <c r="BB385" t="s">
        <v>1138</v>
      </c>
      <c r="BC385" t="s">
        <v>188</v>
      </c>
      <c r="BD385">
        <v>528329</v>
      </c>
      <c r="BE385" t="s">
        <v>5028</v>
      </c>
      <c r="BF385" t="s">
        <v>5029</v>
      </c>
      <c r="BG385" t="b">
        <v>0</v>
      </c>
      <c r="BH385" s="6" t="s">
        <v>5030</v>
      </c>
      <c r="BI385" t="s">
        <v>5031</v>
      </c>
      <c r="BJ385">
        <v>4453163191</v>
      </c>
      <c r="BK385" t="s">
        <v>162</v>
      </c>
      <c r="BL385" t="s">
        <v>161</v>
      </c>
      <c r="BM385" s="2"/>
      <c r="BO385" t="s">
        <v>89</v>
      </c>
      <c r="BP385">
        <v>3926909090</v>
      </c>
      <c r="BR385" t="s">
        <v>189</v>
      </c>
      <c r="BS385" t="s">
        <v>103</v>
      </c>
      <c r="BU385">
        <v>0</v>
      </c>
      <c r="BV385">
        <v>0</v>
      </c>
      <c r="BW385">
        <v>0</v>
      </c>
      <c r="BX385">
        <v>0</v>
      </c>
      <c r="BY385">
        <v>0</v>
      </c>
      <c r="BZ385">
        <v>0</v>
      </c>
      <c r="CA385">
        <v>0</v>
      </c>
      <c r="CF385" s="2"/>
      <c r="CH385" s="2"/>
      <c r="CJ385">
        <v>5.3142019950183098E+17</v>
      </c>
      <c r="CK385" t="s">
        <v>165</v>
      </c>
      <c r="CL385" t="s">
        <v>5102</v>
      </c>
      <c r="CO385" t="s">
        <v>11</v>
      </c>
      <c r="CP385" t="s">
        <v>5085</v>
      </c>
      <c r="CQ385" t="s">
        <v>11</v>
      </c>
      <c r="CR385">
        <v>210.08</v>
      </c>
      <c r="CV385" t="s">
        <v>190</v>
      </c>
      <c r="CW385" t="s">
        <v>12</v>
      </c>
      <c r="CX385" t="s">
        <v>12</v>
      </c>
      <c r="CY385" t="s">
        <v>12</v>
      </c>
      <c r="DA385" t="s">
        <v>104</v>
      </c>
      <c r="DD385" t="s">
        <v>93</v>
      </c>
      <c r="DQ385" t="s">
        <v>94</v>
      </c>
      <c r="DR385" t="s">
        <v>94</v>
      </c>
      <c r="DS385" t="s">
        <v>94</v>
      </c>
      <c r="DT385" t="s">
        <v>94</v>
      </c>
      <c r="DU385" t="s">
        <v>94</v>
      </c>
      <c r="DV385" t="s">
        <v>94</v>
      </c>
      <c r="DW385" t="s">
        <v>94</v>
      </c>
      <c r="DX385" s="2" t="s">
        <v>94</v>
      </c>
      <c r="DY385" t="s">
        <v>94</v>
      </c>
      <c r="DZ385" t="s">
        <v>94</v>
      </c>
      <c r="EA385" t="s">
        <v>94</v>
      </c>
      <c r="EB385" t="s">
        <v>94</v>
      </c>
      <c r="EC385" t="s">
        <v>94</v>
      </c>
      <c r="ED385" t="s">
        <v>94</v>
      </c>
      <c r="EE385" t="s">
        <v>89</v>
      </c>
      <c r="EF385" t="s">
        <v>425</v>
      </c>
      <c r="EG385" t="s">
        <v>105</v>
      </c>
      <c r="EJ385" t="s">
        <v>166</v>
      </c>
      <c r="EK385" t="b">
        <v>0</v>
      </c>
      <c r="EL385" t="b">
        <v>0</v>
      </c>
      <c r="EM385" t="b">
        <v>0</v>
      </c>
    </row>
    <row r="386" spans="3:143">
      <c r="C386" s="4">
        <v>3</v>
      </c>
      <c r="D386" s="5"/>
      <c r="E386" s="4">
        <v>1</v>
      </c>
      <c r="F386" s="4">
        <v>0.5</v>
      </c>
      <c r="G386" s="5" t="s">
        <v>5091</v>
      </c>
      <c r="H386" s="4" t="s">
        <v>5103</v>
      </c>
      <c r="I386" s="4" t="s">
        <v>817</v>
      </c>
      <c r="J386" s="4"/>
      <c r="K386" s="22" t="s">
        <v>5032</v>
      </c>
      <c r="L386" s="84" t="s">
        <v>4968</v>
      </c>
      <c r="M386" s="23" t="s">
        <v>817</v>
      </c>
      <c r="N386" s="23">
        <v>43807</v>
      </c>
      <c r="O386" s="24" t="s">
        <v>102</v>
      </c>
      <c r="P386" s="24" t="s">
        <v>179</v>
      </c>
      <c r="Q386" s="24">
        <v>1</v>
      </c>
      <c r="R386" s="24">
        <v>0.5</v>
      </c>
      <c r="S386" t="s">
        <v>319</v>
      </c>
      <c r="T386">
        <v>28</v>
      </c>
      <c r="U386" s="2" t="s">
        <v>163</v>
      </c>
      <c r="V386" t="s">
        <v>5104</v>
      </c>
      <c r="W386" s="2" t="s">
        <v>444</v>
      </c>
      <c r="X386" t="s">
        <v>5094</v>
      </c>
      <c r="AB386" t="s">
        <v>9</v>
      </c>
      <c r="AC386" t="s">
        <v>1007</v>
      </c>
      <c r="AD386" t="s">
        <v>182</v>
      </c>
      <c r="AE386">
        <v>70672997</v>
      </c>
      <c r="AF386">
        <v>70672997</v>
      </c>
      <c r="AG386" t="s">
        <v>183</v>
      </c>
      <c r="AH386" t="s">
        <v>5009</v>
      </c>
      <c r="AI386" t="s">
        <v>5009</v>
      </c>
      <c r="AJ386" t="s">
        <v>776</v>
      </c>
      <c r="AK386" t="s">
        <v>777</v>
      </c>
      <c r="AL386" t="s">
        <v>5010</v>
      </c>
      <c r="AO386" t="s">
        <v>5011</v>
      </c>
      <c r="AP386" t="s">
        <v>1011</v>
      </c>
      <c r="AQ386" t="s">
        <v>1059</v>
      </c>
      <c r="AR386" t="s">
        <v>5082</v>
      </c>
      <c r="AS386">
        <v>98228701209</v>
      </c>
      <c r="AT386" t="s">
        <v>5012</v>
      </c>
      <c r="AU386" t="s">
        <v>10</v>
      </c>
      <c r="AV386" t="s">
        <v>5033</v>
      </c>
      <c r="AW386" t="s">
        <v>5033</v>
      </c>
      <c r="AX386" t="s">
        <v>5034</v>
      </c>
      <c r="AY386" t="s">
        <v>5035</v>
      </c>
      <c r="AZ386" t="s">
        <v>5036</v>
      </c>
      <c r="BA386" t="s">
        <v>194</v>
      </c>
      <c r="BB386" t="s">
        <v>187</v>
      </c>
      <c r="BC386" t="s">
        <v>188</v>
      </c>
      <c r="BD386">
        <v>518111</v>
      </c>
      <c r="BE386" t="s">
        <v>5105</v>
      </c>
      <c r="BF386" t="s">
        <v>5037</v>
      </c>
      <c r="BG386" t="b">
        <v>0</v>
      </c>
      <c r="BH386" s="6" t="s">
        <v>5038</v>
      </c>
      <c r="BI386" t="s">
        <v>5039</v>
      </c>
      <c r="BJ386">
        <v>4453163191</v>
      </c>
      <c r="BK386" t="s">
        <v>162</v>
      </c>
      <c r="BL386" t="s">
        <v>161</v>
      </c>
      <c r="BM386" s="2"/>
      <c r="BO386" t="s">
        <v>89</v>
      </c>
      <c r="BP386">
        <v>9603290090</v>
      </c>
      <c r="BR386" t="s">
        <v>180</v>
      </c>
      <c r="BS386" t="s">
        <v>103</v>
      </c>
      <c r="BU386">
        <v>0</v>
      </c>
      <c r="BV386">
        <v>0</v>
      </c>
      <c r="BW386">
        <v>0</v>
      </c>
      <c r="BX386">
        <v>0</v>
      </c>
      <c r="BY386">
        <v>0</v>
      </c>
      <c r="BZ386">
        <v>0</v>
      </c>
      <c r="CA386">
        <v>0</v>
      </c>
      <c r="CF386" s="2"/>
      <c r="CH386" s="2"/>
      <c r="CJ386">
        <v>5.3142019950183098E+17</v>
      </c>
      <c r="CK386" t="s">
        <v>165</v>
      </c>
      <c r="CL386" t="s">
        <v>5106</v>
      </c>
      <c r="CO386" t="s">
        <v>11</v>
      </c>
      <c r="CP386" t="s">
        <v>5080</v>
      </c>
      <c r="CQ386" t="s">
        <v>11</v>
      </c>
      <c r="CR386">
        <v>196.07</v>
      </c>
      <c r="CV386" t="s">
        <v>190</v>
      </c>
      <c r="CW386" t="s">
        <v>12</v>
      </c>
      <c r="CX386" t="s">
        <v>12</v>
      </c>
      <c r="CY386" t="s">
        <v>12</v>
      </c>
      <c r="DA386" t="s">
        <v>104</v>
      </c>
      <c r="DD386" t="s">
        <v>93</v>
      </c>
      <c r="DQ386" t="s">
        <v>94</v>
      </c>
      <c r="DR386" t="s">
        <v>94</v>
      </c>
      <c r="DS386" t="s">
        <v>94</v>
      </c>
      <c r="DT386" t="s">
        <v>94</v>
      </c>
      <c r="DU386" t="s">
        <v>94</v>
      </c>
      <c r="DV386" t="s">
        <v>94</v>
      </c>
      <c r="DW386" t="s">
        <v>94</v>
      </c>
      <c r="DX386" s="2" t="s">
        <v>94</v>
      </c>
      <c r="DY386" t="s">
        <v>94</v>
      </c>
      <c r="DZ386" t="s">
        <v>94</v>
      </c>
      <c r="EA386" t="s">
        <v>94</v>
      </c>
      <c r="EB386" t="s">
        <v>94</v>
      </c>
      <c r="EC386" t="s">
        <v>94</v>
      </c>
      <c r="ED386" t="s">
        <v>94</v>
      </c>
      <c r="EE386" t="s">
        <v>89</v>
      </c>
      <c r="EF386" t="s">
        <v>425</v>
      </c>
      <c r="EG386" t="s">
        <v>105</v>
      </c>
      <c r="EJ386" t="s">
        <v>166</v>
      </c>
      <c r="EK386" t="b">
        <v>0</v>
      </c>
      <c r="EL386" t="b">
        <v>0</v>
      </c>
      <c r="EM386" t="b">
        <v>0</v>
      </c>
    </row>
    <row r="387" spans="3:143">
      <c r="C387" s="4">
        <v>3</v>
      </c>
      <c r="D387" s="5"/>
      <c r="E387" s="4">
        <v>1</v>
      </c>
      <c r="F387" s="4">
        <v>4</v>
      </c>
      <c r="G387" s="5" t="s">
        <v>5091</v>
      </c>
      <c r="H387" s="5" t="s">
        <v>5107</v>
      </c>
      <c r="I387" s="4" t="s">
        <v>817</v>
      </c>
      <c r="J387" s="4"/>
      <c r="K387" s="22" t="s">
        <v>5053</v>
      </c>
      <c r="L387" s="84" t="s">
        <v>4968</v>
      </c>
      <c r="M387" s="23" t="s">
        <v>817</v>
      </c>
      <c r="N387" s="23">
        <v>43807</v>
      </c>
      <c r="O387" s="24" t="s">
        <v>102</v>
      </c>
      <c r="P387" s="24" t="s">
        <v>179</v>
      </c>
      <c r="Q387" s="24">
        <v>1</v>
      </c>
      <c r="R387" s="24">
        <v>4</v>
      </c>
      <c r="S387" t="s">
        <v>319</v>
      </c>
      <c r="T387">
        <v>46</v>
      </c>
      <c r="U387" t="s">
        <v>163</v>
      </c>
      <c r="V387" t="s">
        <v>5108</v>
      </c>
      <c r="W387" t="s">
        <v>444</v>
      </c>
      <c r="X387" t="s">
        <v>5094</v>
      </c>
      <c r="AB387" t="s">
        <v>9</v>
      </c>
      <c r="AC387" t="s">
        <v>5054</v>
      </c>
      <c r="AD387" t="s">
        <v>209</v>
      </c>
      <c r="AE387">
        <v>58339</v>
      </c>
      <c r="AF387">
        <v>58339</v>
      </c>
      <c r="AH387" t="s">
        <v>5055</v>
      </c>
      <c r="AI387" t="s">
        <v>5055</v>
      </c>
      <c r="AJ387" t="s">
        <v>211</v>
      </c>
      <c r="AK387" t="s">
        <v>212</v>
      </c>
      <c r="AL387" t="s">
        <v>5056</v>
      </c>
      <c r="AO387" t="s">
        <v>5057</v>
      </c>
      <c r="AP387" t="s">
        <v>5058</v>
      </c>
      <c r="AQ387" t="s">
        <v>5059</v>
      </c>
      <c r="AR387" t="s">
        <v>5109</v>
      </c>
      <c r="AS387">
        <v>111</v>
      </c>
      <c r="AT387" t="s">
        <v>5060</v>
      </c>
      <c r="AU387" t="s">
        <v>10</v>
      </c>
      <c r="AV387" t="s">
        <v>5061</v>
      </c>
      <c r="AW387" t="s">
        <v>5061</v>
      </c>
      <c r="AX387" t="s">
        <v>5062</v>
      </c>
      <c r="AY387" t="s">
        <v>5063</v>
      </c>
      <c r="BA387" t="s">
        <v>222</v>
      </c>
      <c r="BB387" t="s">
        <v>223</v>
      </c>
      <c r="BC387" t="s">
        <v>188</v>
      </c>
      <c r="BD387">
        <v>510066</v>
      </c>
      <c r="BE387" t="s">
        <v>5110</v>
      </c>
      <c r="BF387" t="s">
        <v>5064</v>
      </c>
      <c r="BG387" t="b">
        <v>0</v>
      </c>
      <c r="BH387" s="6" t="s">
        <v>5065</v>
      </c>
      <c r="BI387" t="s">
        <v>5066</v>
      </c>
      <c r="BJ387">
        <v>4453163191</v>
      </c>
      <c r="BK387" t="s">
        <v>162</v>
      </c>
      <c r="BL387" t="s">
        <v>161</v>
      </c>
      <c r="BM387" s="2"/>
      <c r="BO387" t="s">
        <v>89</v>
      </c>
      <c r="BP387">
        <v>63079000</v>
      </c>
      <c r="BR387" t="s">
        <v>180</v>
      </c>
      <c r="BS387" t="s">
        <v>103</v>
      </c>
      <c r="BU387">
        <v>0</v>
      </c>
      <c r="BV387">
        <v>0</v>
      </c>
      <c r="BW387">
        <v>0</v>
      </c>
      <c r="BX387">
        <v>0</v>
      </c>
      <c r="BY387">
        <v>0</v>
      </c>
      <c r="BZ387">
        <v>0</v>
      </c>
      <c r="CA387">
        <v>0</v>
      </c>
      <c r="CJ387">
        <v>5.3142019950183098E+17</v>
      </c>
      <c r="CK387" t="s">
        <v>165</v>
      </c>
      <c r="CL387" t="s">
        <v>5111</v>
      </c>
      <c r="CO387" t="s">
        <v>11</v>
      </c>
      <c r="CP387" t="s">
        <v>5112</v>
      </c>
      <c r="CQ387" t="s">
        <v>11</v>
      </c>
      <c r="CR387">
        <v>322.12</v>
      </c>
      <c r="CV387" t="s">
        <v>190</v>
      </c>
      <c r="CW387" t="s">
        <v>12</v>
      </c>
      <c r="CX387" t="s">
        <v>12</v>
      </c>
      <c r="CY387" t="s">
        <v>12</v>
      </c>
      <c r="DA387" t="s">
        <v>104</v>
      </c>
      <c r="DD387" t="s">
        <v>93</v>
      </c>
      <c r="DQ387" t="s">
        <v>94</v>
      </c>
      <c r="DR387" t="s">
        <v>94</v>
      </c>
      <c r="DS387" t="s">
        <v>94</v>
      </c>
      <c r="DT387" t="s">
        <v>94</v>
      </c>
      <c r="DU387" t="s">
        <v>94</v>
      </c>
      <c r="DV387" t="s">
        <v>94</v>
      </c>
      <c r="DW387" t="s">
        <v>94</v>
      </c>
      <c r="DX387" s="2" t="s">
        <v>94</v>
      </c>
      <c r="DY387" t="s">
        <v>94</v>
      </c>
      <c r="DZ387" t="s">
        <v>94</v>
      </c>
      <c r="EA387" t="s">
        <v>94</v>
      </c>
      <c r="EB387" t="s">
        <v>94</v>
      </c>
      <c r="EC387" t="s">
        <v>94</v>
      </c>
      <c r="ED387" t="s">
        <v>94</v>
      </c>
      <c r="EE387" t="s">
        <v>89</v>
      </c>
      <c r="EF387" t="s">
        <v>425</v>
      </c>
      <c r="EG387" t="s">
        <v>105</v>
      </c>
      <c r="EJ387" t="s">
        <v>166</v>
      </c>
      <c r="EK387" t="b">
        <v>0</v>
      </c>
      <c r="EL387" t="b">
        <v>0</v>
      </c>
      <c r="EM387" t="b">
        <v>0</v>
      </c>
    </row>
    <row r="388" spans="3:143" ht="15">
      <c r="C388" s="82">
        <v>2</v>
      </c>
      <c r="D388" s="5"/>
      <c r="E388" s="4">
        <v>1</v>
      </c>
      <c r="F388" s="5">
        <v>0.4</v>
      </c>
      <c r="G388" s="5" t="s">
        <v>5139</v>
      </c>
      <c r="H388" s="4" t="s">
        <v>5140</v>
      </c>
      <c r="I388" s="81" t="s">
        <v>920</v>
      </c>
      <c r="J388" s="21"/>
      <c r="K388" s="22" t="s">
        <v>5113</v>
      </c>
      <c r="L388" s="84" t="s">
        <v>4994</v>
      </c>
      <c r="M388" s="23" t="s">
        <v>920</v>
      </c>
      <c r="N388" s="23">
        <v>43807</v>
      </c>
      <c r="O388" s="24" t="s">
        <v>102</v>
      </c>
      <c r="P388" s="24" t="s">
        <v>179</v>
      </c>
      <c r="Q388" s="24">
        <v>1</v>
      </c>
      <c r="R388" s="24">
        <v>0.4</v>
      </c>
      <c r="S388" t="s">
        <v>319</v>
      </c>
      <c r="T388">
        <v>30</v>
      </c>
      <c r="U388" s="2" t="s">
        <v>163</v>
      </c>
      <c r="V388">
        <v>43807.485972222225</v>
      </c>
      <c r="W388" s="2" t="s">
        <v>444</v>
      </c>
      <c r="X388">
        <v>43809.4221412037</v>
      </c>
      <c r="AB388" t="s">
        <v>9</v>
      </c>
      <c r="AC388" t="s">
        <v>2737</v>
      </c>
      <c r="AD388" t="s">
        <v>209</v>
      </c>
      <c r="AE388">
        <v>159223</v>
      </c>
      <c r="AF388">
        <v>159223</v>
      </c>
      <c r="AG388" t="s">
        <v>183</v>
      </c>
      <c r="AH388" t="s">
        <v>5114</v>
      </c>
      <c r="AI388" t="s">
        <v>5114</v>
      </c>
      <c r="AJ388" t="s">
        <v>716</v>
      </c>
      <c r="AK388" t="s">
        <v>717</v>
      </c>
      <c r="AL388" t="s">
        <v>5115</v>
      </c>
      <c r="AM388" t="s">
        <v>5116</v>
      </c>
      <c r="AO388" t="s">
        <v>2741</v>
      </c>
      <c r="AP388" t="s">
        <v>2742</v>
      </c>
      <c r="AQ388" t="s">
        <v>2741</v>
      </c>
      <c r="AR388">
        <v>192236</v>
      </c>
      <c r="AS388">
        <v>79219750680</v>
      </c>
      <c r="AT388" t="s">
        <v>5117</v>
      </c>
      <c r="AU388" t="s">
        <v>10</v>
      </c>
      <c r="AV388" t="s">
        <v>5118</v>
      </c>
      <c r="AW388" t="s">
        <v>5118</v>
      </c>
      <c r="AX388" t="s">
        <v>5119</v>
      </c>
      <c r="AY388" s="2" t="s">
        <v>5120</v>
      </c>
      <c r="BA388" t="s">
        <v>520</v>
      </c>
      <c r="BB388" t="s">
        <v>223</v>
      </c>
      <c r="BC388" t="s">
        <v>188</v>
      </c>
      <c r="BD388">
        <v>510663</v>
      </c>
      <c r="BE388">
        <v>13632460975</v>
      </c>
      <c r="BF388" t="s">
        <v>5121</v>
      </c>
      <c r="BG388" t="b">
        <v>0</v>
      </c>
      <c r="BH388" s="6" t="s">
        <v>5122</v>
      </c>
      <c r="BI388" t="s">
        <v>5123</v>
      </c>
      <c r="BJ388">
        <v>4453163191</v>
      </c>
      <c r="BK388" t="s">
        <v>162</v>
      </c>
      <c r="BL388" t="s">
        <v>161</v>
      </c>
      <c r="BM388" s="2"/>
      <c r="BO388" t="s">
        <v>89</v>
      </c>
      <c r="BP388">
        <v>90173000</v>
      </c>
      <c r="BR388" t="s">
        <v>180</v>
      </c>
      <c r="BS388" t="s">
        <v>103</v>
      </c>
      <c r="BU388">
        <v>0</v>
      </c>
      <c r="BV388">
        <v>0</v>
      </c>
      <c r="BW388">
        <v>0</v>
      </c>
      <c r="BX388">
        <v>0</v>
      </c>
      <c r="BY388">
        <v>0</v>
      </c>
      <c r="BZ388">
        <v>0</v>
      </c>
      <c r="CA388">
        <v>0</v>
      </c>
      <c r="CF388" s="2"/>
      <c r="CH388" s="2"/>
      <c r="CJ388">
        <v>5.3142019950183098E+17</v>
      </c>
      <c r="CK388" t="s">
        <v>2710</v>
      </c>
      <c r="CL388">
        <v>43806.379513888889</v>
      </c>
      <c r="CO388" t="s">
        <v>11</v>
      </c>
      <c r="CP388">
        <v>210.08</v>
      </c>
      <c r="CQ388" t="s">
        <v>11</v>
      </c>
      <c r="CR388">
        <v>210.08</v>
      </c>
      <c r="CV388" t="s">
        <v>190</v>
      </c>
      <c r="CW388" t="s">
        <v>12</v>
      </c>
      <c r="CX388" t="s">
        <v>12</v>
      </c>
      <c r="CY388" t="s">
        <v>12</v>
      </c>
      <c r="DA388" t="s">
        <v>104</v>
      </c>
      <c r="DD388" t="s">
        <v>93</v>
      </c>
      <c r="DQ388" t="s">
        <v>94</v>
      </c>
      <c r="DR388" t="s">
        <v>94</v>
      </c>
      <c r="DS388" t="s">
        <v>94</v>
      </c>
      <c r="DT388" t="s">
        <v>94</v>
      </c>
      <c r="DU388" t="s">
        <v>94</v>
      </c>
      <c r="DV388" t="s">
        <v>94</v>
      </c>
      <c r="DW388" t="s">
        <v>94</v>
      </c>
      <c r="DX388" s="2" t="s">
        <v>94</v>
      </c>
      <c r="DY388" t="s">
        <v>94</v>
      </c>
      <c r="DZ388" t="s">
        <v>94</v>
      </c>
      <c r="EA388" t="s">
        <v>94</v>
      </c>
      <c r="EB388" t="s">
        <v>94</v>
      </c>
      <c r="EC388" t="s">
        <v>94</v>
      </c>
      <c r="ED388" t="s">
        <v>94</v>
      </c>
      <c r="EE388" t="s">
        <v>89</v>
      </c>
      <c r="EF388" t="s">
        <v>425</v>
      </c>
      <c r="EG388" t="s">
        <v>105</v>
      </c>
      <c r="EJ388" t="s">
        <v>166</v>
      </c>
      <c r="EK388" t="b">
        <v>0</v>
      </c>
      <c r="EL388" t="b">
        <v>0</v>
      </c>
      <c r="EM388" t="b">
        <v>0</v>
      </c>
    </row>
    <row r="389" spans="3:143" ht="15">
      <c r="C389" s="82">
        <v>35</v>
      </c>
      <c r="D389" s="5"/>
      <c r="E389" s="4">
        <v>1</v>
      </c>
      <c r="F389" s="5">
        <v>0.1</v>
      </c>
      <c r="G389" s="5" t="s">
        <v>5141</v>
      </c>
      <c r="H389" s="4" t="s">
        <v>5142</v>
      </c>
      <c r="I389" s="81" t="s">
        <v>817</v>
      </c>
      <c r="J389" s="21"/>
      <c r="K389" s="22" t="s">
        <v>5124</v>
      </c>
      <c r="L389" s="84" t="s">
        <v>4968</v>
      </c>
      <c r="M389" s="23" t="s">
        <v>817</v>
      </c>
      <c r="N389" s="23">
        <v>43807</v>
      </c>
      <c r="O389" s="24" t="s">
        <v>102</v>
      </c>
      <c r="P389" s="24" t="s">
        <v>179</v>
      </c>
      <c r="Q389" s="24">
        <v>1</v>
      </c>
      <c r="R389" s="24">
        <v>0.1</v>
      </c>
      <c r="S389" t="s">
        <v>319</v>
      </c>
      <c r="T389">
        <v>30</v>
      </c>
      <c r="U389" s="2" t="s">
        <v>163</v>
      </c>
      <c r="V389">
        <v>43807.824849537035</v>
      </c>
      <c r="W389" s="2" t="s">
        <v>444</v>
      </c>
      <c r="X389">
        <v>43809.438668981478</v>
      </c>
      <c r="AB389" t="s">
        <v>9</v>
      </c>
      <c r="AC389" t="s">
        <v>5125</v>
      </c>
      <c r="AD389" t="s">
        <v>191</v>
      </c>
      <c r="AE389">
        <v>148226</v>
      </c>
      <c r="AF389">
        <v>148226</v>
      </c>
      <c r="AG389" t="s">
        <v>183</v>
      </c>
      <c r="AH389" t="s">
        <v>5126</v>
      </c>
      <c r="AI389" t="s">
        <v>5126</v>
      </c>
      <c r="AJ389" t="s">
        <v>716</v>
      </c>
      <c r="AK389" t="s">
        <v>717</v>
      </c>
      <c r="AL389" t="s">
        <v>5127</v>
      </c>
      <c r="AO389" t="s">
        <v>5128</v>
      </c>
      <c r="AP389" t="s">
        <v>5129</v>
      </c>
      <c r="AQ389" t="s">
        <v>5130</v>
      </c>
      <c r="AR389">
        <v>394061</v>
      </c>
      <c r="AS389">
        <v>84732462800</v>
      </c>
      <c r="AT389" t="s">
        <v>5131</v>
      </c>
      <c r="AU389" t="s">
        <v>10</v>
      </c>
      <c r="AV389" t="s">
        <v>5132</v>
      </c>
      <c r="AW389" t="s">
        <v>5132</v>
      </c>
      <c r="AX389" t="s">
        <v>5133</v>
      </c>
      <c r="AY389" s="2" t="s">
        <v>5134</v>
      </c>
      <c r="AZ389" t="s">
        <v>5135</v>
      </c>
      <c r="BA389" t="s">
        <v>726</v>
      </c>
      <c r="BB389" t="s">
        <v>192</v>
      </c>
      <c r="BC389" t="s">
        <v>188</v>
      </c>
      <c r="BD389">
        <v>523561</v>
      </c>
      <c r="BE389">
        <v>76983333239</v>
      </c>
      <c r="BF389" t="s">
        <v>5136</v>
      </c>
      <c r="BG389" t="b">
        <v>0</v>
      </c>
      <c r="BH389" s="6" t="s">
        <v>5137</v>
      </c>
      <c r="BI389" t="s">
        <v>5138</v>
      </c>
      <c r="BJ389">
        <v>4453163191</v>
      </c>
      <c r="BK389" t="s">
        <v>162</v>
      </c>
      <c r="BL389" t="s">
        <v>161</v>
      </c>
      <c r="BM389" s="2"/>
      <c r="BO389" t="s">
        <v>89</v>
      </c>
      <c r="BP389">
        <v>9403900099</v>
      </c>
      <c r="BR389" t="s">
        <v>180</v>
      </c>
      <c r="BS389" t="s">
        <v>103</v>
      </c>
      <c r="BU389">
        <v>0</v>
      </c>
      <c r="BV389">
        <v>0</v>
      </c>
      <c r="BW389">
        <v>0</v>
      </c>
      <c r="BX389">
        <v>0</v>
      </c>
      <c r="BY389">
        <v>0</v>
      </c>
      <c r="BZ389">
        <v>0</v>
      </c>
      <c r="CA389">
        <v>0</v>
      </c>
      <c r="CF389" s="2"/>
      <c r="CH389" s="2"/>
      <c r="CJ389">
        <v>5.3142019950183098E+17</v>
      </c>
      <c r="CK389" t="s">
        <v>165</v>
      </c>
      <c r="CL389">
        <v>43807.38175925926</v>
      </c>
      <c r="CO389" t="s">
        <v>11</v>
      </c>
      <c r="CP389">
        <v>210.08</v>
      </c>
      <c r="CQ389" t="s">
        <v>11</v>
      </c>
      <c r="CR389">
        <v>210.08</v>
      </c>
      <c r="CV389" t="s">
        <v>190</v>
      </c>
      <c r="CW389" t="s">
        <v>12</v>
      </c>
      <c r="CX389" t="s">
        <v>12</v>
      </c>
      <c r="CY389" t="s">
        <v>12</v>
      </c>
      <c r="DA389" t="s">
        <v>104</v>
      </c>
      <c r="DD389" t="s">
        <v>93</v>
      </c>
      <c r="DQ389" t="s">
        <v>94</v>
      </c>
      <c r="DR389" t="s">
        <v>94</v>
      </c>
      <c r="DS389" t="s">
        <v>94</v>
      </c>
      <c r="DT389" t="s">
        <v>94</v>
      </c>
      <c r="DU389" t="s">
        <v>94</v>
      </c>
      <c r="DV389" t="s">
        <v>94</v>
      </c>
      <c r="DW389" t="s">
        <v>94</v>
      </c>
      <c r="DX389" s="2" t="s">
        <v>94</v>
      </c>
      <c r="DY389" t="s">
        <v>94</v>
      </c>
      <c r="DZ389" t="s">
        <v>94</v>
      </c>
      <c r="EA389" t="s">
        <v>94</v>
      </c>
      <c r="EB389" t="s">
        <v>94</v>
      </c>
      <c r="EC389" t="s">
        <v>94</v>
      </c>
      <c r="ED389" t="s">
        <v>94</v>
      </c>
      <c r="EE389" t="s">
        <v>89</v>
      </c>
      <c r="EF389" t="s">
        <v>425</v>
      </c>
      <c r="EG389" t="s">
        <v>105</v>
      </c>
      <c r="EJ389" t="s">
        <v>166</v>
      </c>
      <c r="EK389" t="b">
        <v>0</v>
      </c>
      <c r="EL389" t="b">
        <v>0</v>
      </c>
      <c r="EM389" t="b">
        <v>0</v>
      </c>
    </row>
    <row r="390" spans="3:143" ht="15">
      <c r="C390" s="82">
        <v>123</v>
      </c>
      <c r="D390" s="5"/>
      <c r="E390" s="4">
        <v>1</v>
      </c>
      <c r="F390" s="5">
        <v>2.1</v>
      </c>
      <c r="G390" s="5" t="s">
        <v>5169</v>
      </c>
      <c r="H390" s="4" t="s">
        <v>5170</v>
      </c>
      <c r="I390" s="81" t="s">
        <v>920</v>
      </c>
      <c r="J390" s="21"/>
      <c r="K390" s="22" t="s">
        <v>5143</v>
      </c>
      <c r="L390" s="84" t="s">
        <v>4994</v>
      </c>
      <c r="M390" s="23" t="s">
        <v>920</v>
      </c>
      <c r="N390" s="23">
        <v>43807</v>
      </c>
      <c r="O390" s="24" t="s">
        <v>102</v>
      </c>
      <c r="P390" s="24" t="s">
        <v>181</v>
      </c>
      <c r="Q390" s="24">
        <v>1</v>
      </c>
      <c r="R390" s="24">
        <v>2.1</v>
      </c>
      <c r="S390" t="s">
        <v>319</v>
      </c>
      <c r="T390">
        <v>370</v>
      </c>
      <c r="U390" s="2" t="s">
        <v>163</v>
      </c>
      <c r="V390">
        <v>43807.485578703701</v>
      </c>
      <c r="W390" s="2" t="s">
        <v>207</v>
      </c>
      <c r="X390">
        <v>43807.48574074074</v>
      </c>
      <c r="AB390" t="s">
        <v>9</v>
      </c>
      <c r="AC390" t="s">
        <v>5144</v>
      </c>
      <c r="AD390" t="s">
        <v>191</v>
      </c>
      <c r="AE390" t="s">
        <v>5171</v>
      </c>
      <c r="AF390" t="s">
        <v>5171</v>
      </c>
      <c r="AG390" t="s">
        <v>183</v>
      </c>
      <c r="AH390" t="s">
        <v>5145</v>
      </c>
      <c r="AI390" t="s">
        <v>5145</v>
      </c>
      <c r="AJ390" t="s">
        <v>1072</v>
      </c>
      <c r="AK390" t="s">
        <v>1073</v>
      </c>
      <c r="AL390" t="s">
        <v>5146</v>
      </c>
      <c r="AO390" t="s">
        <v>5147</v>
      </c>
      <c r="AP390" t="s">
        <v>5148</v>
      </c>
      <c r="AR390" t="s">
        <v>5149</v>
      </c>
      <c r="AS390">
        <v>-49082314</v>
      </c>
      <c r="AT390" t="s">
        <v>5150</v>
      </c>
      <c r="AU390" t="s">
        <v>10</v>
      </c>
      <c r="AV390" t="s">
        <v>5151</v>
      </c>
      <c r="AW390" t="s">
        <v>5151</v>
      </c>
      <c r="AX390" t="s">
        <v>5152</v>
      </c>
      <c r="AY390" s="2" t="s">
        <v>5153</v>
      </c>
      <c r="AZ390" t="s">
        <v>1083</v>
      </c>
      <c r="BA390" t="s">
        <v>726</v>
      </c>
      <c r="BB390" t="s">
        <v>192</v>
      </c>
      <c r="BC390" t="s">
        <v>188</v>
      </c>
      <c r="BD390">
        <v>523001</v>
      </c>
      <c r="BE390" t="s">
        <v>5172</v>
      </c>
      <c r="BF390" t="s">
        <v>5154</v>
      </c>
      <c r="BG390" t="b">
        <v>0</v>
      </c>
      <c r="BH390" s="6" t="s">
        <v>5155</v>
      </c>
      <c r="BI390" t="s">
        <v>5156</v>
      </c>
      <c r="BJ390">
        <v>4453163191</v>
      </c>
      <c r="BK390" t="s">
        <v>162</v>
      </c>
      <c r="BL390" t="s">
        <v>161</v>
      </c>
      <c r="BM390" s="2"/>
      <c r="BO390" t="s">
        <v>89</v>
      </c>
      <c r="BP390">
        <v>84779000</v>
      </c>
      <c r="BR390" t="s">
        <v>180</v>
      </c>
      <c r="BS390" t="s">
        <v>103</v>
      </c>
      <c r="BU390">
        <v>0</v>
      </c>
      <c r="BV390">
        <v>336.82</v>
      </c>
      <c r="BW390">
        <v>0</v>
      </c>
      <c r="BX390">
        <v>0</v>
      </c>
      <c r="BY390">
        <v>0</v>
      </c>
      <c r="BZ390">
        <v>0</v>
      </c>
      <c r="CA390">
        <v>336.82</v>
      </c>
      <c r="CF390" s="2"/>
      <c r="CH390" s="2"/>
      <c r="CJ390">
        <v>5.3142019950183098E+17</v>
      </c>
      <c r="CK390" t="s">
        <v>2710</v>
      </c>
      <c r="CL390">
        <v>43806.37809027778</v>
      </c>
      <c r="CO390" t="s">
        <v>11</v>
      </c>
      <c r="CP390">
        <v>2590.96</v>
      </c>
      <c r="CQ390" t="s">
        <v>11</v>
      </c>
      <c r="CR390">
        <v>2590.96</v>
      </c>
      <c r="CV390" t="s">
        <v>190</v>
      </c>
      <c r="CW390" t="s">
        <v>12</v>
      </c>
      <c r="CX390" t="s">
        <v>12</v>
      </c>
      <c r="CY390" t="s">
        <v>12</v>
      </c>
      <c r="DA390" t="s">
        <v>104</v>
      </c>
      <c r="DD390" t="s">
        <v>93</v>
      </c>
      <c r="DQ390" t="s">
        <v>94</v>
      </c>
      <c r="DR390" t="s">
        <v>94</v>
      </c>
      <c r="DS390" t="s">
        <v>94</v>
      </c>
      <c r="DT390" t="s">
        <v>94</v>
      </c>
      <c r="DU390" t="s">
        <v>94</v>
      </c>
      <c r="DV390" t="s">
        <v>94</v>
      </c>
      <c r="DW390" t="s">
        <v>94</v>
      </c>
      <c r="DX390" s="2" t="s">
        <v>94</v>
      </c>
      <c r="DY390" t="s">
        <v>94</v>
      </c>
      <c r="DZ390" t="s">
        <v>94</v>
      </c>
      <c r="EA390" t="s">
        <v>94</v>
      </c>
      <c r="EB390" t="s">
        <v>94</v>
      </c>
      <c r="EC390" t="s">
        <v>94</v>
      </c>
      <c r="ED390" t="s">
        <v>94</v>
      </c>
      <c r="EE390" t="s">
        <v>89</v>
      </c>
      <c r="EF390" t="s">
        <v>425</v>
      </c>
      <c r="EG390" t="s">
        <v>105</v>
      </c>
      <c r="EJ390" t="s">
        <v>166</v>
      </c>
      <c r="EK390" t="b">
        <v>0</v>
      </c>
      <c r="EL390" t="b">
        <v>0</v>
      </c>
      <c r="EM390" t="b">
        <v>0</v>
      </c>
    </row>
    <row r="391" spans="3:143" ht="15">
      <c r="C391" s="82">
        <v>141</v>
      </c>
      <c r="D391" s="5"/>
      <c r="E391" s="4">
        <v>1</v>
      </c>
      <c r="F391" s="5">
        <v>34</v>
      </c>
      <c r="G391" s="5" t="s">
        <v>5173</v>
      </c>
      <c r="H391" s="4" t="s">
        <v>5174</v>
      </c>
      <c r="I391" s="81" t="s">
        <v>817</v>
      </c>
      <c r="J391" s="21"/>
      <c r="K391" s="22" t="s">
        <v>5157</v>
      </c>
      <c r="L391" s="84" t="s">
        <v>4434</v>
      </c>
      <c r="M391" s="23" t="s">
        <v>5168</v>
      </c>
      <c r="N391" s="23">
        <v>43802</v>
      </c>
      <c r="O391" s="24" t="s">
        <v>102</v>
      </c>
      <c r="P391" s="24" t="s">
        <v>181</v>
      </c>
      <c r="Q391" s="24">
        <v>1</v>
      </c>
      <c r="R391" s="24">
        <v>34</v>
      </c>
      <c r="S391" t="s">
        <v>11</v>
      </c>
      <c r="T391">
        <v>936.62</v>
      </c>
      <c r="U391" s="2" t="s">
        <v>163</v>
      </c>
      <c r="V391">
        <v>43802.573287037034</v>
      </c>
      <c r="W391" s="2" t="s">
        <v>444</v>
      </c>
      <c r="X391">
        <v>43802.60119212963</v>
      </c>
      <c r="AB391" t="s">
        <v>9</v>
      </c>
      <c r="AC391" t="s">
        <v>5158</v>
      </c>
      <c r="AD391" t="s">
        <v>191</v>
      </c>
      <c r="AE391" t="s">
        <v>183</v>
      </c>
      <c r="AF391" t="s">
        <v>183</v>
      </c>
      <c r="AG391" t="s">
        <v>1658</v>
      </c>
      <c r="AH391" t="s">
        <v>5159</v>
      </c>
      <c r="AI391" t="s">
        <v>5159</v>
      </c>
      <c r="AJ391" t="s">
        <v>601</v>
      </c>
      <c r="AK391" t="s">
        <v>602</v>
      </c>
      <c r="AL391" t="s">
        <v>5160</v>
      </c>
      <c r="AM391">
        <v>98</v>
      </c>
      <c r="AO391" t="s">
        <v>5161</v>
      </c>
      <c r="AP391" t="s">
        <v>5162</v>
      </c>
      <c r="AQ391" t="s">
        <v>5163</v>
      </c>
      <c r="AR391" t="s">
        <v>5175</v>
      </c>
      <c r="AS391">
        <v>390424592142</v>
      </c>
      <c r="AT391" t="s">
        <v>5164</v>
      </c>
      <c r="AU391" t="s">
        <v>10</v>
      </c>
      <c r="AV391" t="s">
        <v>5165</v>
      </c>
      <c r="AW391" t="s">
        <v>5166</v>
      </c>
      <c r="AX391" t="s">
        <v>1542</v>
      </c>
      <c r="AY391" s="2" t="s">
        <v>1543</v>
      </c>
      <c r="AZ391" t="s">
        <v>1544</v>
      </c>
      <c r="BA391" t="s">
        <v>371</v>
      </c>
      <c r="BB391" t="s">
        <v>192</v>
      </c>
      <c r="BC391" t="s">
        <v>188</v>
      </c>
      <c r="BD391">
        <v>523079</v>
      </c>
      <c r="BE391" t="s">
        <v>1545</v>
      </c>
      <c r="BF391" t="s">
        <v>1546</v>
      </c>
      <c r="BG391" t="b">
        <v>0</v>
      </c>
      <c r="BH391" s="6"/>
      <c r="BI391" t="s">
        <v>5167</v>
      </c>
      <c r="BJ391">
        <v>4453163191</v>
      </c>
      <c r="BK391" t="s">
        <v>162</v>
      </c>
      <c r="BL391" t="s">
        <v>161</v>
      </c>
      <c r="BM391" s="2"/>
      <c r="BN391" t="s">
        <v>1549</v>
      </c>
      <c r="BO391" t="s">
        <v>89</v>
      </c>
      <c r="BP391">
        <v>84283990</v>
      </c>
      <c r="BR391" t="s">
        <v>189</v>
      </c>
      <c r="BS391" t="s">
        <v>103</v>
      </c>
      <c r="BU391">
        <v>0</v>
      </c>
      <c r="BV391">
        <v>127.85</v>
      </c>
      <c r="BW391">
        <v>0</v>
      </c>
      <c r="BX391">
        <v>0</v>
      </c>
      <c r="BY391">
        <v>0</v>
      </c>
      <c r="BZ391">
        <v>0</v>
      </c>
      <c r="CA391">
        <v>127.85</v>
      </c>
      <c r="CF391" s="2"/>
      <c r="CH391" s="2"/>
      <c r="CJ391">
        <v>5.3142019950179098E+17</v>
      </c>
      <c r="CK391" t="s">
        <v>4402</v>
      </c>
      <c r="CL391">
        <v>43793.580358796295</v>
      </c>
      <c r="CO391" t="s">
        <v>11</v>
      </c>
      <c r="CP391">
        <v>936.62</v>
      </c>
      <c r="CQ391" t="s">
        <v>11</v>
      </c>
      <c r="CR391">
        <v>936.62</v>
      </c>
      <c r="CV391" t="s">
        <v>525</v>
      </c>
      <c r="CW391" t="s">
        <v>12</v>
      </c>
      <c r="CX391" t="s">
        <v>12</v>
      </c>
      <c r="CY391" t="s">
        <v>12</v>
      </c>
      <c r="DA391" t="s">
        <v>104</v>
      </c>
      <c r="DD391" t="s">
        <v>93</v>
      </c>
      <c r="DQ391" t="s">
        <v>94</v>
      </c>
      <c r="DR391" t="s">
        <v>94</v>
      </c>
      <c r="DS391" t="s">
        <v>94</v>
      </c>
      <c r="DT391" t="s">
        <v>94</v>
      </c>
      <c r="DU391" t="s">
        <v>94</v>
      </c>
      <c r="DV391" t="s">
        <v>94</v>
      </c>
      <c r="DW391" t="s">
        <v>94</v>
      </c>
      <c r="DX391" s="2" t="s">
        <v>94</v>
      </c>
      <c r="DY391" t="s">
        <v>94</v>
      </c>
      <c r="DZ391" t="s">
        <v>94</v>
      </c>
      <c r="EA391" t="s">
        <v>94</v>
      </c>
      <c r="EB391" t="s">
        <v>94</v>
      </c>
      <c r="EC391" t="s">
        <v>94</v>
      </c>
      <c r="ED391" t="s">
        <v>94</v>
      </c>
      <c r="EE391" t="s">
        <v>89</v>
      </c>
      <c r="EF391" t="s">
        <v>94</v>
      </c>
      <c r="EG391" t="s">
        <v>105</v>
      </c>
      <c r="EJ391" t="s">
        <v>526</v>
      </c>
      <c r="EK391" t="b">
        <v>0</v>
      </c>
      <c r="EL391" t="b">
        <v>0</v>
      </c>
      <c r="EM391" t="b">
        <v>0</v>
      </c>
    </row>
    <row r="392" spans="3:143" ht="15">
      <c r="C392" s="82">
        <v>232</v>
      </c>
      <c r="D392" s="5"/>
      <c r="E392" s="4">
        <v>2</v>
      </c>
      <c r="F392" s="5">
        <v>40.5</v>
      </c>
      <c r="G392" s="5" t="s">
        <v>5193</v>
      </c>
      <c r="H392" s="4" t="s">
        <v>5194</v>
      </c>
      <c r="I392" s="81" t="s">
        <v>920</v>
      </c>
      <c r="J392" s="21"/>
      <c r="K392" s="22" t="s">
        <v>5176</v>
      </c>
      <c r="L392" s="84" t="s">
        <v>4994</v>
      </c>
      <c r="M392" s="23" t="s">
        <v>920</v>
      </c>
      <c r="N392" s="23">
        <v>43807</v>
      </c>
      <c r="O392" s="24" t="s">
        <v>102</v>
      </c>
      <c r="P392" s="24" t="s">
        <v>181</v>
      </c>
      <c r="Q392" s="24">
        <v>2</v>
      </c>
      <c r="R392" s="24">
        <v>40.5</v>
      </c>
      <c r="S392" t="s">
        <v>11</v>
      </c>
      <c r="T392">
        <v>2000</v>
      </c>
      <c r="U392" s="2" t="s">
        <v>163</v>
      </c>
      <c r="V392">
        <v>43807.485810185186</v>
      </c>
      <c r="W392" s="2" t="s">
        <v>444</v>
      </c>
      <c r="X392">
        <v>43807.600023148145</v>
      </c>
      <c r="AB392" t="s">
        <v>9</v>
      </c>
      <c r="AC392" t="s">
        <v>5177</v>
      </c>
      <c r="AD392" t="s">
        <v>249</v>
      </c>
      <c r="AE392">
        <v>542097</v>
      </c>
      <c r="AF392">
        <v>542097</v>
      </c>
      <c r="AG392" t="s">
        <v>183</v>
      </c>
      <c r="AH392" t="s">
        <v>5178</v>
      </c>
      <c r="AI392" t="s">
        <v>5178</v>
      </c>
      <c r="AJ392" t="s">
        <v>1533</v>
      </c>
      <c r="AK392" t="s">
        <v>1534</v>
      </c>
      <c r="AL392" t="s">
        <v>5179</v>
      </c>
      <c r="AM392" t="s">
        <v>5180</v>
      </c>
      <c r="AO392" t="s">
        <v>5181</v>
      </c>
      <c r="AP392" t="s">
        <v>5182</v>
      </c>
      <c r="AQ392" t="s">
        <v>5183</v>
      </c>
      <c r="AR392">
        <v>8260041</v>
      </c>
      <c r="AS392" t="s">
        <v>5184</v>
      </c>
      <c r="AT392" t="s">
        <v>5185</v>
      </c>
      <c r="AU392" t="s">
        <v>10</v>
      </c>
      <c r="AV392" t="s">
        <v>5186</v>
      </c>
      <c r="AW392" t="s">
        <v>5186</v>
      </c>
      <c r="AX392" t="s">
        <v>5187</v>
      </c>
      <c r="AY392" s="2" t="s">
        <v>5188</v>
      </c>
      <c r="AZ392" t="s">
        <v>5189</v>
      </c>
      <c r="BA392" t="s">
        <v>1948</v>
      </c>
      <c r="BB392" t="s">
        <v>1949</v>
      </c>
      <c r="BC392" t="s">
        <v>253</v>
      </c>
      <c r="BD392">
        <v>530023</v>
      </c>
      <c r="BE392">
        <v>13659685720</v>
      </c>
      <c r="BF392" t="s">
        <v>5190</v>
      </c>
      <c r="BG392" t="b">
        <v>0</v>
      </c>
      <c r="BH392" s="6" t="s">
        <v>5191</v>
      </c>
      <c r="BI392" t="s">
        <v>5192</v>
      </c>
      <c r="BJ392">
        <v>4453163191</v>
      </c>
      <c r="BK392" t="s">
        <v>162</v>
      </c>
      <c r="BL392" t="s">
        <v>161</v>
      </c>
      <c r="BM392" s="2"/>
      <c r="BO392" t="s">
        <v>89</v>
      </c>
      <c r="BP392">
        <v>25120010</v>
      </c>
      <c r="BR392" t="s">
        <v>180</v>
      </c>
      <c r="BS392" t="s">
        <v>103</v>
      </c>
      <c r="BU392">
        <v>60</v>
      </c>
      <c r="BV392">
        <v>267.8</v>
      </c>
      <c r="BW392">
        <v>0</v>
      </c>
      <c r="BX392">
        <v>0</v>
      </c>
      <c r="BY392">
        <v>0</v>
      </c>
      <c r="BZ392">
        <v>0</v>
      </c>
      <c r="CA392">
        <v>327.8</v>
      </c>
      <c r="CF392" s="2"/>
      <c r="CH392" s="2"/>
      <c r="CJ392">
        <v>5.3142019950183098E+17</v>
      </c>
      <c r="CK392" t="s">
        <v>2710</v>
      </c>
      <c r="CL392">
        <v>43806.574965277781</v>
      </c>
      <c r="CO392" t="s">
        <v>11</v>
      </c>
      <c r="CP392">
        <v>2000</v>
      </c>
      <c r="CQ392" t="s">
        <v>11</v>
      </c>
      <c r="CR392">
        <v>2000</v>
      </c>
      <c r="CV392" t="s">
        <v>190</v>
      </c>
      <c r="CW392" t="s">
        <v>12</v>
      </c>
      <c r="CX392" t="s">
        <v>12</v>
      </c>
      <c r="CY392" t="s">
        <v>12</v>
      </c>
      <c r="DA392" t="s">
        <v>104</v>
      </c>
      <c r="DD392" t="s">
        <v>93</v>
      </c>
      <c r="DQ392" t="s">
        <v>94</v>
      </c>
      <c r="DR392" t="s">
        <v>94</v>
      </c>
      <c r="DS392" t="s">
        <v>94</v>
      </c>
      <c r="DT392" t="s">
        <v>94</v>
      </c>
      <c r="DU392" t="s">
        <v>94</v>
      </c>
      <c r="DV392" t="s">
        <v>94</v>
      </c>
      <c r="DW392" t="s">
        <v>94</v>
      </c>
      <c r="DX392" s="2" t="s">
        <v>94</v>
      </c>
      <c r="DY392" t="s">
        <v>94</v>
      </c>
      <c r="DZ392" t="s">
        <v>94</v>
      </c>
      <c r="EA392" t="s">
        <v>94</v>
      </c>
      <c r="EB392" t="s">
        <v>94</v>
      </c>
      <c r="EC392" t="s">
        <v>94</v>
      </c>
      <c r="ED392" t="s">
        <v>94</v>
      </c>
      <c r="EE392" t="s">
        <v>89</v>
      </c>
      <c r="EF392" t="s">
        <v>425</v>
      </c>
      <c r="EG392" t="s">
        <v>105</v>
      </c>
      <c r="EJ392" t="s">
        <v>166</v>
      </c>
      <c r="EK392" t="b">
        <v>0</v>
      </c>
      <c r="EL392" t="b">
        <v>0</v>
      </c>
      <c r="EM392" t="b">
        <v>0</v>
      </c>
    </row>
    <row r="393" spans="3:143" ht="15">
      <c r="C393" s="82">
        <v>23</v>
      </c>
      <c r="D393" s="5"/>
      <c r="E393" s="4">
        <v>1</v>
      </c>
      <c r="F393" s="5">
        <v>3.5</v>
      </c>
      <c r="G393" s="5" t="s">
        <v>5219</v>
      </c>
      <c r="H393" s="4" t="s">
        <v>5220</v>
      </c>
      <c r="I393" s="81" t="s">
        <v>920</v>
      </c>
      <c r="J393" s="21"/>
      <c r="K393" s="22" t="s">
        <v>5195</v>
      </c>
      <c r="L393" s="84" t="s">
        <v>4994</v>
      </c>
      <c r="M393" s="23" t="s">
        <v>920</v>
      </c>
      <c r="N393" s="23">
        <v>43807</v>
      </c>
      <c r="O393" s="24" t="s">
        <v>102</v>
      </c>
      <c r="P393" s="24" t="s">
        <v>181</v>
      </c>
      <c r="Q393" s="24">
        <v>1</v>
      </c>
      <c r="R393" s="24">
        <v>3.5</v>
      </c>
      <c r="S393" t="s">
        <v>528</v>
      </c>
      <c r="T393">
        <v>380</v>
      </c>
      <c r="U393" s="2" t="s">
        <v>163</v>
      </c>
      <c r="V393">
        <v>43807.485648148147</v>
      </c>
      <c r="W393" s="2" t="s">
        <v>444</v>
      </c>
      <c r="X393">
        <v>43809.4221412037</v>
      </c>
      <c r="AB393" t="s">
        <v>9</v>
      </c>
      <c r="AC393" t="s">
        <v>1381</v>
      </c>
      <c r="AD393" t="s">
        <v>191</v>
      </c>
      <c r="AE393">
        <v>70110798</v>
      </c>
      <c r="AF393">
        <v>70110798</v>
      </c>
      <c r="AG393" t="s">
        <v>183</v>
      </c>
      <c r="AH393" t="s">
        <v>5196</v>
      </c>
      <c r="AI393" t="s">
        <v>5196</v>
      </c>
      <c r="AJ393" t="s">
        <v>776</v>
      </c>
      <c r="AK393" t="s">
        <v>777</v>
      </c>
      <c r="AL393" t="s">
        <v>5197</v>
      </c>
      <c r="AO393" t="s">
        <v>1381</v>
      </c>
      <c r="AP393" t="s">
        <v>1385</v>
      </c>
      <c r="AQ393" t="s">
        <v>1386</v>
      </c>
      <c r="AR393">
        <v>89081</v>
      </c>
      <c r="AS393">
        <v>731140700</v>
      </c>
      <c r="AT393" t="s">
        <v>5198</v>
      </c>
      <c r="AU393" t="s">
        <v>10</v>
      </c>
      <c r="AV393" t="s">
        <v>5199</v>
      </c>
      <c r="AW393" t="s">
        <v>5199</v>
      </c>
      <c r="AX393" t="s">
        <v>5200</v>
      </c>
      <c r="AY393" s="2" t="s">
        <v>5201</v>
      </c>
      <c r="AZ393" t="s">
        <v>5202</v>
      </c>
      <c r="BA393" t="s">
        <v>726</v>
      </c>
      <c r="BB393" t="s">
        <v>192</v>
      </c>
      <c r="BC393" t="s">
        <v>188</v>
      </c>
      <c r="BD393">
        <v>523808</v>
      </c>
      <c r="BE393">
        <v>15919225027</v>
      </c>
      <c r="BF393" t="s">
        <v>5203</v>
      </c>
      <c r="BG393" t="b">
        <v>0</v>
      </c>
      <c r="BH393" s="6" t="s">
        <v>5204</v>
      </c>
      <c r="BI393" t="s">
        <v>5205</v>
      </c>
      <c r="BJ393">
        <v>4453163191</v>
      </c>
      <c r="BK393" t="s">
        <v>162</v>
      </c>
      <c r="BL393" t="s">
        <v>161</v>
      </c>
      <c r="BM393" s="2"/>
      <c r="BO393" t="s">
        <v>89</v>
      </c>
      <c r="BP393">
        <v>90119000</v>
      </c>
      <c r="BR393" t="s">
        <v>180</v>
      </c>
      <c r="BS393" t="s">
        <v>103</v>
      </c>
      <c r="BU393">
        <v>0</v>
      </c>
      <c r="BV393">
        <v>380.94</v>
      </c>
      <c r="BW393">
        <v>0</v>
      </c>
      <c r="BX393">
        <v>0</v>
      </c>
      <c r="BY393">
        <v>0</v>
      </c>
      <c r="BZ393">
        <v>0</v>
      </c>
      <c r="CA393">
        <v>380.94</v>
      </c>
      <c r="CF393" s="2"/>
      <c r="CH393" s="2"/>
      <c r="CJ393">
        <v>5.3142019950183098E+17</v>
      </c>
      <c r="CK393" t="s">
        <v>2710</v>
      </c>
      <c r="CL393">
        <v>43806.378379629627</v>
      </c>
      <c r="CO393" t="s">
        <v>11</v>
      </c>
      <c r="CP393">
        <v>2930.29</v>
      </c>
      <c r="CQ393" t="s">
        <v>11</v>
      </c>
      <c r="CR393">
        <v>2930.29</v>
      </c>
      <c r="CV393" t="s">
        <v>190</v>
      </c>
      <c r="CW393" t="s">
        <v>12</v>
      </c>
      <c r="CX393" t="s">
        <v>12</v>
      </c>
      <c r="CY393" t="s">
        <v>12</v>
      </c>
      <c r="DA393" t="s">
        <v>104</v>
      </c>
      <c r="DD393" t="s">
        <v>93</v>
      </c>
      <c r="DQ393" t="s">
        <v>94</v>
      </c>
      <c r="DR393" t="s">
        <v>94</v>
      </c>
      <c r="DS393" t="s">
        <v>94</v>
      </c>
      <c r="DT393" t="s">
        <v>94</v>
      </c>
      <c r="DU393" t="s">
        <v>94</v>
      </c>
      <c r="DV393" t="s">
        <v>94</v>
      </c>
      <c r="DW393" t="s">
        <v>94</v>
      </c>
      <c r="DX393" s="2" t="s">
        <v>94</v>
      </c>
      <c r="DY393" t="s">
        <v>94</v>
      </c>
      <c r="DZ393" t="s">
        <v>94</v>
      </c>
      <c r="EA393" t="s">
        <v>94</v>
      </c>
      <c r="EB393" t="s">
        <v>94</v>
      </c>
      <c r="EC393" t="s">
        <v>94</v>
      </c>
      <c r="ED393" t="s">
        <v>94</v>
      </c>
      <c r="EE393" t="s">
        <v>89</v>
      </c>
      <c r="EF393" t="s">
        <v>425</v>
      </c>
      <c r="EG393" t="s">
        <v>105</v>
      </c>
      <c r="EJ393" t="s">
        <v>166</v>
      </c>
      <c r="EK393" t="b">
        <v>0</v>
      </c>
      <c r="EL393" t="b">
        <v>0</v>
      </c>
      <c r="EM393" t="b">
        <v>0</v>
      </c>
    </row>
    <row r="394" spans="3:143" ht="15">
      <c r="C394" s="82">
        <v>23</v>
      </c>
      <c r="D394" s="5"/>
      <c r="E394" s="4">
        <v>1</v>
      </c>
      <c r="F394" s="5">
        <v>1.1499999999999999</v>
      </c>
      <c r="G394" s="5" t="s">
        <v>5221</v>
      </c>
      <c r="H394" s="4" t="s">
        <v>5142</v>
      </c>
      <c r="I394" s="81" t="s">
        <v>817</v>
      </c>
      <c r="J394" s="21"/>
      <c r="K394" s="22" t="s">
        <v>5206</v>
      </c>
      <c r="L394" s="84" t="s">
        <v>4968</v>
      </c>
      <c r="M394" s="23" t="s">
        <v>817</v>
      </c>
      <c r="N394" s="23">
        <v>43807</v>
      </c>
      <c r="O394" s="24" t="s">
        <v>102</v>
      </c>
      <c r="P394" s="24" t="s">
        <v>179</v>
      </c>
      <c r="Q394" s="24">
        <v>1</v>
      </c>
      <c r="R394" s="24">
        <v>1.1499999999999999</v>
      </c>
      <c r="S394" t="s">
        <v>319</v>
      </c>
      <c r="T394">
        <v>33</v>
      </c>
      <c r="U394" s="2" t="s">
        <v>163</v>
      </c>
      <c r="V394">
        <v>43807.824583333335</v>
      </c>
      <c r="W394" s="2" t="s">
        <v>444</v>
      </c>
      <c r="X394">
        <v>43809.438668981478</v>
      </c>
      <c r="AB394" t="s">
        <v>9</v>
      </c>
      <c r="AC394" t="s">
        <v>5207</v>
      </c>
      <c r="AD394" t="s">
        <v>209</v>
      </c>
      <c r="AE394">
        <v>84470</v>
      </c>
      <c r="AF394">
        <v>84470</v>
      </c>
      <c r="AG394" t="s">
        <v>183</v>
      </c>
      <c r="AH394" t="s">
        <v>5208</v>
      </c>
      <c r="AI394" t="s">
        <v>5208</v>
      </c>
      <c r="AJ394" t="s">
        <v>2983</v>
      </c>
      <c r="AK394" t="s">
        <v>2984</v>
      </c>
      <c r="AL394" t="s">
        <v>5209</v>
      </c>
      <c r="AO394" t="s">
        <v>5210</v>
      </c>
      <c r="AP394" t="s">
        <v>5211</v>
      </c>
      <c r="AR394">
        <v>4400</v>
      </c>
      <c r="AS394">
        <v>36703369904</v>
      </c>
      <c r="AT394" t="s">
        <v>5212</v>
      </c>
      <c r="AU394" t="s">
        <v>10</v>
      </c>
      <c r="AV394" t="s">
        <v>5213</v>
      </c>
      <c r="AW394" t="s">
        <v>5213</v>
      </c>
      <c r="AX394" t="s">
        <v>5214</v>
      </c>
      <c r="AY394" s="2" t="s">
        <v>5215</v>
      </c>
      <c r="BA394" t="s">
        <v>299</v>
      </c>
      <c r="BB394" t="s">
        <v>300</v>
      </c>
      <c r="BC394" t="s">
        <v>188</v>
      </c>
      <c r="BD394">
        <v>511430</v>
      </c>
      <c r="BE394">
        <v>8613268063067</v>
      </c>
      <c r="BF394" t="s">
        <v>5216</v>
      </c>
      <c r="BG394" t="b">
        <v>0</v>
      </c>
      <c r="BH394" s="6" t="s">
        <v>5217</v>
      </c>
      <c r="BI394" t="s">
        <v>5218</v>
      </c>
      <c r="BJ394">
        <v>4453163191</v>
      </c>
      <c r="BK394" t="s">
        <v>162</v>
      </c>
      <c r="BL394" t="s">
        <v>161</v>
      </c>
      <c r="BM394" s="2"/>
      <c r="BO394" t="s">
        <v>89</v>
      </c>
      <c r="BP394">
        <v>9403900099</v>
      </c>
      <c r="BR394" t="s">
        <v>189</v>
      </c>
      <c r="BS394" t="s">
        <v>103</v>
      </c>
      <c r="BU394">
        <v>0</v>
      </c>
      <c r="BV394">
        <v>0</v>
      </c>
      <c r="BW394">
        <v>0</v>
      </c>
      <c r="BX394">
        <v>0</v>
      </c>
      <c r="BY394">
        <v>0</v>
      </c>
      <c r="BZ394">
        <v>0</v>
      </c>
      <c r="CA394">
        <v>0</v>
      </c>
      <c r="CF394" s="2"/>
      <c r="CH394" s="2"/>
      <c r="CJ394">
        <v>5.3142019950183098E+17</v>
      </c>
      <c r="CK394" t="s">
        <v>165</v>
      </c>
      <c r="CL394">
        <v>43807.38144675926</v>
      </c>
      <c r="CO394" t="s">
        <v>11</v>
      </c>
      <c r="CP394">
        <v>231.09</v>
      </c>
      <c r="CQ394" t="s">
        <v>11</v>
      </c>
      <c r="CR394">
        <v>231.09</v>
      </c>
      <c r="CV394" t="s">
        <v>190</v>
      </c>
      <c r="CW394" t="s">
        <v>12</v>
      </c>
      <c r="CX394" t="s">
        <v>12</v>
      </c>
      <c r="CY394" t="s">
        <v>12</v>
      </c>
      <c r="DA394" t="s">
        <v>104</v>
      </c>
      <c r="DD394" t="s">
        <v>93</v>
      </c>
      <c r="DQ394" t="s">
        <v>94</v>
      </c>
      <c r="DR394" t="s">
        <v>94</v>
      </c>
      <c r="DS394" t="s">
        <v>94</v>
      </c>
      <c r="DT394" t="s">
        <v>94</v>
      </c>
      <c r="DU394" t="s">
        <v>94</v>
      </c>
      <c r="DV394" t="s">
        <v>94</v>
      </c>
      <c r="DW394" t="s">
        <v>94</v>
      </c>
      <c r="DX394" s="2" t="s">
        <v>94</v>
      </c>
      <c r="DY394" t="s">
        <v>94</v>
      </c>
      <c r="DZ394" t="s">
        <v>94</v>
      </c>
      <c r="EA394" t="s">
        <v>94</v>
      </c>
      <c r="EB394" t="s">
        <v>94</v>
      </c>
      <c r="EC394" t="s">
        <v>94</v>
      </c>
      <c r="ED394" t="s">
        <v>94</v>
      </c>
      <c r="EE394" t="s">
        <v>89</v>
      </c>
      <c r="EF394" t="s">
        <v>425</v>
      </c>
      <c r="EG394" t="s">
        <v>105</v>
      </c>
      <c r="EJ394" t="s">
        <v>166</v>
      </c>
      <c r="EK394" t="b">
        <v>0</v>
      </c>
      <c r="EL394" t="b">
        <v>0</v>
      </c>
      <c r="EM394" t="b">
        <v>0</v>
      </c>
    </row>
    <row r="395" spans="3:143" ht="15">
      <c r="C395" s="82">
        <v>33</v>
      </c>
      <c r="D395" s="5"/>
      <c r="E395" s="4">
        <v>1</v>
      </c>
      <c r="F395" s="5">
        <v>25.5</v>
      </c>
      <c r="G395" s="5" t="s">
        <v>5235</v>
      </c>
      <c r="H395" s="4" t="s">
        <v>1025</v>
      </c>
      <c r="I395" s="81" t="s">
        <v>164</v>
      </c>
      <c r="J395" s="21"/>
      <c r="K395" s="22" t="s">
        <v>5222</v>
      </c>
      <c r="L395" s="84" t="s">
        <v>5223</v>
      </c>
      <c r="M395" s="23" t="s">
        <v>447</v>
      </c>
      <c r="N395" s="23">
        <v>43811</v>
      </c>
      <c r="O395" s="24" t="s">
        <v>102</v>
      </c>
      <c r="P395" s="24" t="s">
        <v>181</v>
      </c>
      <c r="Q395" s="24">
        <v>1</v>
      </c>
      <c r="R395" s="24">
        <v>25.5</v>
      </c>
      <c r="S395" t="s">
        <v>11</v>
      </c>
      <c r="T395">
        <v>1020</v>
      </c>
      <c r="U395" s="2" t="s">
        <v>163</v>
      </c>
      <c r="V395">
        <v>43811.880300925928</v>
      </c>
      <c r="W395" s="2" t="s">
        <v>444</v>
      </c>
      <c r="X395">
        <v>43811.894432870373</v>
      </c>
      <c r="AB395" t="s">
        <v>9</v>
      </c>
      <c r="AC395" t="s">
        <v>5224</v>
      </c>
      <c r="AD395" t="s">
        <v>191</v>
      </c>
      <c r="AE395">
        <v>23911</v>
      </c>
      <c r="AF395">
        <v>23911</v>
      </c>
      <c r="AG395" t="s">
        <v>183</v>
      </c>
      <c r="AH395" t="s">
        <v>5225</v>
      </c>
      <c r="AI395" t="s">
        <v>5225</v>
      </c>
      <c r="AJ395" t="s">
        <v>2983</v>
      </c>
      <c r="AK395" t="s">
        <v>2984</v>
      </c>
      <c r="AL395" t="s">
        <v>5226</v>
      </c>
      <c r="AO395" t="s">
        <v>5227</v>
      </c>
      <c r="AP395" t="s">
        <v>5228</v>
      </c>
      <c r="AR395">
        <v>5055</v>
      </c>
      <c r="AS395">
        <v>-306716</v>
      </c>
      <c r="AT395" t="s">
        <v>5229</v>
      </c>
      <c r="AU395" t="s">
        <v>10</v>
      </c>
      <c r="AV395" t="s">
        <v>5230</v>
      </c>
      <c r="AW395" t="s">
        <v>5230</v>
      </c>
      <c r="AX395" t="s">
        <v>5231</v>
      </c>
      <c r="AY395" s="2">
        <v>8</v>
      </c>
      <c r="BA395" t="s">
        <v>371</v>
      </c>
      <c r="BB395" t="s">
        <v>192</v>
      </c>
      <c r="BC395" t="s">
        <v>188</v>
      </c>
      <c r="BD395">
        <v>523861</v>
      </c>
      <c r="BE395">
        <v>-82584720</v>
      </c>
      <c r="BF395" t="s">
        <v>5232</v>
      </c>
      <c r="BG395" t="b">
        <v>0</v>
      </c>
      <c r="BH395" s="6" t="s">
        <v>5233</v>
      </c>
      <c r="BI395" t="s">
        <v>5234</v>
      </c>
      <c r="BJ395">
        <v>4453163191</v>
      </c>
      <c r="BK395" t="s">
        <v>162</v>
      </c>
      <c r="BL395" t="s">
        <v>161</v>
      </c>
      <c r="BM395" s="2"/>
      <c r="BO395" t="s">
        <v>89</v>
      </c>
      <c r="BP395">
        <v>3907999990</v>
      </c>
      <c r="BR395" t="s">
        <v>189</v>
      </c>
      <c r="BS395" t="s">
        <v>103</v>
      </c>
      <c r="BU395">
        <v>66.3</v>
      </c>
      <c r="BV395">
        <v>141.22</v>
      </c>
      <c r="BW395">
        <v>0</v>
      </c>
      <c r="BX395">
        <v>0</v>
      </c>
      <c r="BY395">
        <v>0</v>
      </c>
      <c r="BZ395">
        <v>0</v>
      </c>
      <c r="CA395">
        <v>207.52</v>
      </c>
      <c r="CF395" s="2"/>
      <c r="CH395" s="2"/>
      <c r="CJ395">
        <v>5.3142019950186099E+17</v>
      </c>
      <c r="CK395" t="s">
        <v>2648</v>
      </c>
      <c r="CL395">
        <v>43811.567881944444</v>
      </c>
      <c r="CO395" t="s">
        <v>11</v>
      </c>
      <c r="CP395">
        <v>1020</v>
      </c>
      <c r="CQ395" t="s">
        <v>11</v>
      </c>
      <c r="CR395">
        <v>1020</v>
      </c>
      <c r="CV395" t="s">
        <v>190</v>
      </c>
      <c r="CW395" t="s">
        <v>12</v>
      </c>
      <c r="CX395" t="s">
        <v>12</v>
      </c>
      <c r="CY395" t="s">
        <v>12</v>
      </c>
      <c r="DA395" t="s">
        <v>104</v>
      </c>
      <c r="DD395" t="s">
        <v>93</v>
      </c>
      <c r="DQ395" t="s">
        <v>94</v>
      </c>
      <c r="DR395" t="s">
        <v>94</v>
      </c>
      <c r="DS395" t="s">
        <v>94</v>
      </c>
      <c r="DT395" t="s">
        <v>94</v>
      </c>
      <c r="DU395" t="s">
        <v>94</v>
      </c>
      <c r="DV395" t="s">
        <v>94</v>
      </c>
      <c r="DW395" t="s">
        <v>94</v>
      </c>
      <c r="DX395" s="2" t="s">
        <v>94</v>
      </c>
      <c r="DY395" t="s">
        <v>94</v>
      </c>
      <c r="DZ395" t="s">
        <v>94</v>
      </c>
      <c r="EA395" t="s">
        <v>94</v>
      </c>
      <c r="EB395" t="s">
        <v>94</v>
      </c>
      <c r="EC395" t="s">
        <v>94</v>
      </c>
      <c r="ED395" t="s">
        <v>94</v>
      </c>
      <c r="EE395" t="s">
        <v>89</v>
      </c>
      <c r="EF395" t="s">
        <v>425</v>
      </c>
      <c r="EG395" t="s">
        <v>105</v>
      </c>
      <c r="EJ395" t="s">
        <v>166</v>
      </c>
      <c r="EK395" t="b">
        <v>0</v>
      </c>
      <c r="EL395" t="b">
        <v>0</v>
      </c>
      <c r="EM395" t="b">
        <v>0</v>
      </c>
    </row>
    <row r="396" spans="3:143" ht="15">
      <c r="C396" s="82">
        <v>23</v>
      </c>
      <c r="D396" s="5"/>
      <c r="E396" s="4">
        <v>1</v>
      </c>
      <c r="F396" s="5">
        <v>2.16</v>
      </c>
      <c r="G396" s="5" t="s">
        <v>5274</v>
      </c>
      <c r="H396" s="4" t="s">
        <v>5275</v>
      </c>
      <c r="I396" s="81" t="s">
        <v>164</v>
      </c>
      <c r="J396" s="21"/>
      <c r="K396" s="22" t="s">
        <v>5244</v>
      </c>
      <c r="L396" s="84" t="s">
        <v>5223</v>
      </c>
      <c r="M396" s="23" t="s">
        <v>447</v>
      </c>
      <c r="N396" s="23">
        <v>43811</v>
      </c>
      <c r="O396" s="24" t="s">
        <v>102</v>
      </c>
      <c r="P396" s="24" t="s">
        <v>179</v>
      </c>
      <c r="Q396" s="24">
        <v>1</v>
      </c>
      <c r="R396" s="24">
        <v>2.16</v>
      </c>
      <c r="S396" t="s">
        <v>319</v>
      </c>
      <c r="T396">
        <v>30</v>
      </c>
      <c r="U396" s="2" t="s">
        <v>163</v>
      </c>
      <c r="V396">
        <v>43811.880023148151</v>
      </c>
      <c r="W396" s="2" t="s">
        <v>444</v>
      </c>
      <c r="X396">
        <v>43813.444236111114</v>
      </c>
      <c r="AB396" t="s">
        <v>9</v>
      </c>
      <c r="AC396" t="s">
        <v>257</v>
      </c>
      <c r="AD396" t="s">
        <v>182</v>
      </c>
      <c r="AE396" t="s">
        <v>183</v>
      </c>
      <c r="AF396" t="s">
        <v>183</v>
      </c>
      <c r="AG396">
        <v>3077331</v>
      </c>
      <c r="AH396" t="s">
        <v>5245</v>
      </c>
      <c r="AI396" t="s">
        <v>5245</v>
      </c>
      <c r="AJ396" t="s">
        <v>259</v>
      </c>
      <c r="AK396" t="s">
        <v>260</v>
      </c>
      <c r="AL396" t="s">
        <v>5246</v>
      </c>
      <c r="AM396" t="s">
        <v>5247</v>
      </c>
      <c r="AO396" t="s">
        <v>5248</v>
      </c>
      <c r="AP396" t="s">
        <v>265</v>
      </c>
      <c r="AQ396" t="s">
        <v>280</v>
      </c>
      <c r="AR396">
        <v>10599</v>
      </c>
      <c r="AS396">
        <v>88486822</v>
      </c>
      <c r="AT396" t="s">
        <v>5249</v>
      </c>
      <c r="AU396" t="s">
        <v>10</v>
      </c>
      <c r="AV396" t="s">
        <v>5250</v>
      </c>
      <c r="AW396" t="s">
        <v>5250</v>
      </c>
      <c r="AX396" t="s">
        <v>5251</v>
      </c>
      <c r="AY396" s="2" t="s">
        <v>5252</v>
      </c>
      <c r="BA396" t="s">
        <v>186</v>
      </c>
      <c r="BB396" t="s">
        <v>187</v>
      </c>
      <c r="BC396" t="s">
        <v>188</v>
      </c>
      <c r="BD396">
        <v>518103</v>
      </c>
      <c r="BE396" t="s">
        <v>5253</v>
      </c>
      <c r="BF396" t="s">
        <v>5254</v>
      </c>
      <c r="BG396" t="b">
        <v>0</v>
      </c>
      <c r="BH396" s="6" t="s">
        <v>5255</v>
      </c>
      <c r="BI396" t="s">
        <v>5256</v>
      </c>
      <c r="BJ396">
        <v>4453163191</v>
      </c>
      <c r="BK396" t="s">
        <v>162</v>
      </c>
      <c r="BL396" t="s">
        <v>161</v>
      </c>
      <c r="BM396" s="2"/>
      <c r="BN396" t="s">
        <v>5257</v>
      </c>
      <c r="BO396" t="s">
        <v>89</v>
      </c>
      <c r="BP396">
        <v>8504401990</v>
      </c>
      <c r="BR396" t="s">
        <v>180</v>
      </c>
      <c r="BS396" t="s">
        <v>103</v>
      </c>
      <c r="BU396">
        <v>0</v>
      </c>
      <c r="BV396">
        <v>0</v>
      </c>
      <c r="BW396">
        <v>0</v>
      </c>
      <c r="BX396">
        <v>0</v>
      </c>
      <c r="BY396">
        <v>0</v>
      </c>
      <c r="BZ396">
        <v>0</v>
      </c>
      <c r="CA396">
        <v>0</v>
      </c>
      <c r="CF396" s="2"/>
      <c r="CH396" s="2"/>
      <c r="CJ396">
        <v>5.3142019950186099E+17</v>
      </c>
      <c r="CK396" t="s">
        <v>2648</v>
      </c>
      <c r="CL396">
        <v>43811.377974537034</v>
      </c>
      <c r="CO396" t="s">
        <v>11</v>
      </c>
      <c r="CP396">
        <v>210.08</v>
      </c>
      <c r="CQ396" t="s">
        <v>11</v>
      </c>
      <c r="CR396">
        <v>210.08</v>
      </c>
      <c r="CV396" t="s">
        <v>525</v>
      </c>
      <c r="CW396" t="s">
        <v>12</v>
      </c>
      <c r="CX396" t="s">
        <v>12</v>
      </c>
      <c r="CY396" t="s">
        <v>12</v>
      </c>
      <c r="DA396" t="s">
        <v>104</v>
      </c>
      <c r="DD396" t="s">
        <v>93</v>
      </c>
      <c r="DQ396" t="s">
        <v>94</v>
      </c>
      <c r="DR396" t="s">
        <v>94</v>
      </c>
      <c r="DS396" t="s">
        <v>94</v>
      </c>
      <c r="DT396" t="s">
        <v>94</v>
      </c>
      <c r="DU396" t="s">
        <v>94</v>
      </c>
      <c r="DV396" t="s">
        <v>94</v>
      </c>
      <c r="DW396" t="s">
        <v>94</v>
      </c>
      <c r="DX396" s="2" t="s">
        <v>94</v>
      </c>
      <c r="DY396" t="s">
        <v>94</v>
      </c>
      <c r="DZ396" t="s">
        <v>94</v>
      </c>
      <c r="EA396" t="s">
        <v>94</v>
      </c>
      <c r="EB396" t="s">
        <v>94</v>
      </c>
      <c r="EC396" t="s">
        <v>94</v>
      </c>
      <c r="ED396" t="s">
        <v>94</v>
      </c>
      <c r="EE396" t="s">
        <v>89</v>
      </c>
      <c r="EF396" t="s">
        <v>425</v>
      </c>
      <c r="EG396" t="s">
        <v>105</v>
      </c>
      <c r="EJ396" t="s">
        <v>166</v>
      </c>
      <c r="EK396" t="b">
        <v>0</v>
      </c>
      <c r="EL396" t="b">
        <v>0</v>
      </c>
      <c r="EM396" t="b">
        <v>0</v>
      </c>
    </row>
    <row r="397" spans="3:143" ht="15">
      <c r="C397" s="82">
        <v>23</v>
      </c>
      <c r="D397" s="5"/>
      <c r="E397" s="4">
        <v>1</v>
      </c>
      <c r="F397" s="5">
        <v>2.16</v>
      </c>
      <c r="G397" s="5" t="s">
        <v>5276</v>
      </c>
      <c r="H397" s="4" t="s">
        <v>5275</v>
      </c>
      <c r="I397" s="81" t="s">
        <v>164</v>
      </c>
      <c r="J397" s="21"/>
      <c r="K397" s="22" t="s">
        <v>5244</v>
      </c>
      <c r="L397" s="84" t="s">
        <v>5223</v>
      </c>
      <c r="M397" s="23" t="s">
        <v>447</v>
      </c>
      <c r="N397" s="23">
        <v>43811</v>
      </c>
      <c r="O397" s="24" t="s">
        <v>102</v>
      </c>
      <c r="P397" s="24" t="s">
        <v>179</v>
      </c>
      <c r="Q397" s="24">
        <v>1</v>
      </c>
      <c r="R397" s="24">
        <v>2.16</v>
      </c>
      <c r="S397" t="s">
        <v>319</v>
      </c>
      <c r="T397">
        <v>30</v>
      </c>
      <c r="U397" s="2" t="s">
        <v>163</v>
      </c>
      <c r="V397">
        <v>43811.880023148151</v>
      </c>
      <c r="W397" s="2" t="s">
        <v>444</v>
      </c>
      <c r="X397">
        <v>43813.444236111114</v>
      </c>
      <c r="AB397" t="s">
        <v>9</v>
      </c>
      <c r="AC397" t="s">
        <v>257</v>
      </c>
      <c r="AD397" t="s">
        <v>182</v>
      </c>
      <c r="AE397" t="s">
        <v>183</v>
      </c>
      <c r="AF397" t="s">
        <v>183</v>
      </c>
      <c r="AG397">
        <v>3077331</v>
      </c>
      <c r="AH397" t="s">
        <v>5245</v>
      </c>
      <c r="AI397" t="s">
        <v>5245</v>
      </c>
      <c r="AJ397" t="s">
        <v>259</v>
      </c>
      <c r="AK397" t="s">
        <v>260</v>
      </c>
      <c r="AL397" t="s">
        <v>5246</v>
      </c>
      <c r="AM397" t="s">
        <v>5247</v>
      </c>
      <c r="AO397" t="s">
        <v>5248</v>
      </c>
      <c r="AP397" t="s">
        <v>265</v>
      </c>
      <c r="AQ397" t="s">
        <v>280</v>
      </c>
      <c r="AR397">
        <v>10599</v>
      </c>
      <c r="AS397">
        <v>88486822</v>
      </c>
      <c r="AT397" t="s">
        <v>5249</v>
      </c>
      <c r="AU397" t="s">
        <v>10</v>
      </c>
      <c r="AV397" t="s">
        <v>5250</v>
      </c>
      <c r="AW397" t="s">
        <v>5250</v>
      </c>
      <c r="AX397" t="s">
        <v>5251</v>
      </c>
      <c r="AY397" s="2" t="s">
        <v>5252</v>
      </c>
      <c r="BA397" t="s">
        <v>186</v>
      </c>
      <c r="BB397" t="s">
        <v>187</v>
      </c>
      <c r="BC397" t="s">
        <v>188</v>
      </c>
      <c r="BD397">
        <v>518103</v>
      </c>
      <c r="BE397" t="s">
        <v>5253</v>
      </c>
      <c r="BF397" t="s">
        <v>5254</v>
      </c>
      <c r="BG397" t="b">
        <v>0</v>
      </c>
      <c r="BH397" s="6" t="s">
        <v>5255</v>
      </c>
      <c r="BI397" t="s">
        <v>5256</v>
      </c>
      <c r="BJ397">
        <v>4453163191</v>
      </c>
      <c r="BK397" t="s">
        <v>162</v>
      </c>
      <c r="BL397" t="s">
        <v>161</v>
      </c>
      <c r="BM397" s="2"/>
      <c r="BN397" t="s">
        <v>5257</v>
      </c>
      <c r="BO397" t="s">
        <v>89</v>
      </c>
      <c r="BP397">
        <v>8504401990</v>
      </c>
      <c r="BR397" t="s">
        <v>180</v>
      </c>
      <c r="BS397" t="s">
        <v>103</v>
      </c>
      <c r="BU397">
        <v>0</v>
      </c>
      <c r="BV397">
        <v>0</v>
      </c>
      <c r="BW397">
        <v>0</v>
      </c>
      <c r="BX397">
        <v>0</v>
      </c>
      <c r="BY397">
        <v>0</v>
      </c>
      <c r="BZ397">
        <v>0</v>
      </c>
      <c r="CA397">
        <v>0</v>
      </c>
      <c r="CF397" s="2"/>
      <c r="CH397" s="2"/>
      <c r="CJ397">
        <v>5.3142019950186099E+17</v>
      </c>
      <c r="CK397" t="s">
        <v>2648</v>
      </c>
      <c r="CL397">
        <v>43811.377974537034</v>
      </c>
      <c r="CO397" t="s">
        <v>11</v>
      </c>
      <c r="CP397">
        <v>210.08</v>
      </c>
      <c r="CQ397" t="s">
        <v>11</v>
      </c>
      <c r="CR397">
        <v>210.08</v>
      </c>
      <c r="CV397" t="s">
        <v>525</v>
      </c>
      <c r="CW397" t="s">
        <v>12</v>
      </c>
      <c r="CX397" t="s">
        <v>12</v>
      </c>
      <c r="CY397" t="s">
        <v>12</v>
      </c>
      <c r="DA397" t="s">
        <v>104</v>
      </c>
      <c r="DD397" t="s">
        <v>93</v>
      </c>
      <c r="DQ397" t="s">
        <v>94</v>
      </c>
      <c r="DR397" t="s">
        <v>94</v>
      </c>
      <c r="DS397" t="s">
        <v>94</v>
      </c>
      <c r="DT397" t="s">
        <v>94</v>
      </c>
      <c r="DU397" t="s">
        <v>94</v>
      </c>
      <c r="DV397" t="s">
        <v>94</v>
      </c>
      <c r="DW397" t="s">
        <v>94</v>
      </c>
      <c r="DX397" s="2" t="s">
        <v>94</v>
      </c>
      <c r="DY397" t="s">
        <v>94</v>
      </c>
      <c r="DZ397" t="s">
        <v>94</v>
      </c>
      <c r="EA397" t="s">
        <v>94</v>
      </c>
      <c r="EB397" t="s">
        <v>94</v>
      </c>
      <c r="EC397" t="s">
        <v>94</v>
      </c>
      <c r="ED397" t="s">
        <v>94</v>
      </c>
      <c r="EE397" t="s">
        <v>89</v>
      </c>
      <c r="EF397" t="s">
        <v>425</v>
      </c>
      <c r="EG397" t="s">
        <v>105</v>
      </c>
      <c r="EJ397" t="s">
        <v>166</v>
      </c>
      <c r="EK397" t="b">
        <v>0</v>
      </c>
      <c r="EL397" t="b">
        <v>0</v>
      </c>
      <c r="EM397" t="b">
        <v>0</v>
      </c>
    </row>
    <row r="398" spans="3:143">
      <c r="C398" s="4">
        <v>23</v>
      </c>
      <c r="D398" s="4"/>
      <c r="E398" s="4">
        <v>1</v>
      </c>
      <c r="F398" s="4">
        <v>0.06</v>
      </c>
      <c r="G398" s="5" t="s">
        <v>5276</v>
      </c>
      <c r="H398" s="4" t="s">
        <v>2391</v>
      </c>
      <c r="I398" s="4" t="s">
        <v>164</v>
      </c>
      <c r="J398" s="5"/>
      <c r="K398" s="22" t="s">
        <v>5258</v>
      </c>
      <c r="L398" s="84" t="s">
        <v>5223</v>
      </c>
      <c r="M398" s="23" t="s">
        <v>447</v>
      </c>
      <c r="N398" s="23">
        <v>43811</v>
      </c>
      <c r="O398" s="24" t="s">
        <v>102</v>
      </c>
      <c r="P398" s="24" t="s">
        <v>179</v>
      </c>
      <c r="Q398" s="24">
        <v>1</v>
      </c>
      <c r="R398" s="24">
        <v>0.06</v>
      </c>
      <c r="S398" t="s">
        <v>319</v>
      </c>
      <c r="T398">
        <v>28</v>
      </c>
      <c r="U398" s="2" t="s">
        <v>163</v>
      </c>
      <c r="V398">
        <v>43811.880208333336</v>
      </c>
      <c r="W398" s="2" t="s">
        <v>444</v>
      </c>
      <c r="X398">
        <v>43813.444236111114</v>
      </c>
      <c r="AB398" t="s">
        <v>9</v>
      </c>
      <c r="AC398" t="s">
        <v>428</v>
      </c>
      <c r="AD398" t="s">
        <v>209</v>
      </c>
      <c r="AE398" t="s">
        <v>183</v>
      </c>
      <c r="AF398" t="s">
        <v>183</v>
      </c>
      <c r="AG398">
        <v>103084</v>
      </c>
      <c r="AH398" t="s">
        <v>5259</v>
      </c>
      <c r="AI398" t="s">
        <v>5259</v>
      </c>
      <c r="AJ398" t="s">
        <v>373</v>
      </c>
      <c r="AK398" t="s">
        <v>430</v>
      </c>
      <c r="AL398" t="s">
        <v>5260</v>
      </c>
      <c r="AM398" t="s">
        <v>5261</v>
      </c>
      <c r="AN398" t="s">
        <v>5262</v>
      </c>
      <c r="AO398" t="s">
        <v>5263</v>
      </c>
      <c r="AP398" t="s">
        <v>435</v>
      </c>
      <c r="AR398">
        <v>22201</v>
      </c>
      <c r="AS398">
        <v>928504370</v>
      </c>
      <c r="AT398" t="s">
        <v>5264</v>
      </c>
      <c r="AU398" t="s">
        <v>10</v>
      </c>
      <c r="AV398" t="s">
        <v>5265</v>
      </c>
      <c r="AW398" t="s">
        <v>5266</v>
      </c>
      <c r="AX398" t="s">
        <v>5267</v>
      </c>
      <c r="BA398" t="s">
        <v>5268</v>
      </c>
      <c r="BB398" t="s">
        <v>223</v>
      </c>
      <c r="BC398" t="s">
        <v>4716</v>
      </c>
      <c r="BD398">
        <v>200335</v>
      </c>
      <c r="BE398" t="s">
        <v>5269</v>
      </c>
      <c r="BF398" t="s">
        <v>5270</v>
      </c>
      <c r="BG398" t="b">
        <v>0</v>
      </c>
      <c r="BH398" s="6" t="s">
        <v>5271</v>
      </c>
      <c r="BI398" t="s">
        <v>5272</v>
      </c>
      <c r="BJ398">
        <v>4453163191</v>
      </c>
      <c r="BK398" t="s">
        <v>162</v>
      </c>
      <c r="BL398" t="s">
        <v>161</v>
      </c>
      <c r="BM398" s="2"/>
      <c r="BN398" t="s">
        <v>5273</v>
      </c>
      <c r="BO398" t="s">
        <v>89</v>
      </c>
      <c r="BP398">
        <v>3921909090</v>
      </c>
      <c r="BR398" t="s">
        <v>180</v>
      </c>
      <c r="BS398" t="s">
        <v>103</v>
      </c>
      <c r="BU398">
        <v>0</v>
      </c>
      <c r="BV398">
        <v>0</v>
      </c>
      <c r="BW398">
        <v>0</v>
      </c>
      <c r="BX398">
        <v>0</v>
      </c>
      <c r="BY398">
        <v>0</v>
      </c>
      <c r="BZ398">
        <v>0</v>
      </c>
      <c r="CA398">
        <v>0</v>
      </c>
      <c r="CF398" s="2"/>
      <c r="CH398" s="2"/>
      <c r="CJ398">
        <v>5.3142019950186099E+17</v>
      </c>
      <c r="CK398" t="s">
        <v>2648</v>
      </c>
      <c r="CL398">
        <v>43811.378009259257</v>
      </c>
      <c r="CO398" t="s">
        <v>11</v>
      </c>
      <c r="CP398">
        <v>196.07</v>
      </c>
      <c r="CQ398" t="s">
        <v>11</v>
      </c>
      <c r="CR398">
        <v>196.07</v>
      </c>
      <c r="CV398" t="s">
        <v>525</v>
      </c>
      <c r="CW398" t="s">
        <v>12</v>
      </c>
      <c r="CX398" t="s">
        <v>12</v>
      </c>
      <c r="CY398" t="s">
        <v>12</v>
      </c>
      <c r="DA398" t="s">
        <v>104</v>
      </c>
      <c r="DD398" t="s">
        <v>93</v>
      </c>
      <c r="DQ398" t="s">
        <v>94</v>
      </c>
      <c r="DR398" t="s">
        <v>94</v>
      </c>
      <c r="DS398" t="s">
        <v>94</v>
      </c>
      <c r="DT398" t="s">
        <v>94</v>
      </c>
      <c r="DU398" t="s">
        <v>94</v>
      </c>
      <c r="DV398" t="s">
        <v>94</v>
      </c>
      <c r="DW398" t="s">
        <v>94</v>
      </c>
      <c r="DX398" s="2" t="s">
        <v>94</v>
      </c>
      <c r="DY398" t="s">
        <v>94</v>
      </c>
      <c r="DZ398" t="s">
        <v>94</v>
      </c>
      <c r="EA398" t="s">
        <v>94</v>
      </c>
      <c r="EB398" t="s">
        <v>94</v>
      </c>
      <c r="EC398" t="s">
        <v>94</v>
      </c>
      <c r="ED398" t="s">
        <v>94</v>
      </c>
      <c r="EE398" t="s">
        <v>89</v>
      </c>
      <c r="EF398" t="s">
        <v>425</v>
      </c>
      <c r="EG398" t="s">
        <v>105</v>
      </c>
      <c r="EJ398" t="s">
        <v>166</v>
      </c>
      <c r="EK398" t="b">
        <v>0</v>
      </c>
      <c r="EL398" t="b">
        <v>0</v>
      </c>
      <c r="EM398" t="b">
        <v>0</v>
      </c>
    </row>
    <row r="399" spans="3:143" ht="15">
      <c r="C399" s="82">
        <v>23</v>
      </c>
      <c r="D399" s="5"/>
      <c r="E399" s="4">
        <v>1</v>
      </c>
      <c r="F399" s="5">
        <v>0.6</v>
      </c>
      <c r="G399" s="5" t="s">
        <v>5285</v>
      </c>
      <c r="H399" s="4" t="s">
        <v>5286</v>
      </c>
      <c r="I399" s="81" t="s">
        <v>920</v>
      </c>
      <c r="J399" s="21"/>
      <c r="K399" s="22" t="s">
        <v>5277</v>
      </c>
      <c r="L399" s="84" t="s">
        <v>5278</v>
      </c>
      <c r="M399" s="23" t="s">
        <v>905</v>
      </c>
      <c r="N399" s="23">
        <v>43813</v>
      </c>
      <c r="O399" s="24" t="s">
        <v>102</v>
      </c>
      <c r="P399" s="24" t="s">
        <v>181</v>
      </c>
      <c r="Q399" s="24">
        <v>1</v>
      </c>
      <c r="R399" s="24">
        <v>0.6</v>
      </c>
      <c r="S399" t="s">
        <v>319</v>
      </c>
      <c r="T399">
        <v>230</v>
      </c>
      <c r="U399" s="2" t="s">
        <v>163</v>
      </c>
      <c r="V399">
        <v>43813.842141203706</v>
      </c>
      <c r="W399" s="2" t="s">
        <v>207</v>
      </c>
      <c r="X399">
        <v>43813.843032407407</v>
      </c>
      <c r="AB399" t="s">
        <v>9</v>
      </c>
      <c r="AC399" t="s">
        <v>5144</v>
      </c>
      <c r="AD399" t="s">
        <v>182</v>
      </c>
      <c r="AE399">
        <v>104392</v>
      </c>
      <c r="AF399">
        <v>104392</v>
      </c>
      <c r="AG399" t="s">
        <v>183</v>
      </c>
      <c r="AH399" t="s">
        <v>5145</v>
      </c>
      <c r="AI399" t="s">
        <v>5145</v>
      </c>
      <c r="AJ399" t="s">
        <v>1072</v>
      </c>
      <c r="AK399" t="s">
        <v>1073</v>
      </c>
      <c r="AL399" t="s">
        <v>5146</v>
      </c>
      <c r="AO399" t="s">
        <v>5147</v>
      </c>
      <c r="AP399" t="s">
        <v>5148</v>
      </c>
      <c r="AR399" t="s">
        <v>5149</v>
      </c>
      <c r="AS399">
        <v>-49082314</v>
      </c>
      <c r="AT399" t="s">
        <v>5150</v>
      </c>
      <c r="AU399" t="s">
        <v>10</v>
      </c>
      <c r="AV399" t="s">
        <v>5279</v>
      </c>
      <c r="AW399" t="s">
        <v>5279</v>
      </c>
      <c r="AX399" t="s">
        <v>5280</v>
      </c>
      <c r="AY399" s="2" t="s">
        <v>5281</v>
      </c>
      <c r="AZ399" t="s">
        <v>5282</v>
      </c>
      <c r="BA399" t="s">
        <v>194</v>
      </c>
      <c r="BB399" t="s">
        <v>187</v>
      </c>
      <c r="BC399" t="s">
        <v>188</v>
      </c>
      <c r="BD399">
        <v>518125</v>
      </c>
      <c r="BE399">
        <v>-13682617337</v>
      </c>
      <c r="BF399" t="s">
        <v>5283</v>
      </c>
      <c r="BG399" t="b">
        <v>0</v>
      </c>
      <c r="BH399" s="6" t="s">
        <v>5155</v>
      </c>
      <c r="BI399" t="s">
        <v>5284</v>
      </c>
      <c r="BJ399">
        <v>4453163191</v>
      </c>
      <c r="BK399" t="s">
        <v>162</v>
      </c>
      <c r="BL399" t="s">
        <v>161</v>
      </c>
      <c r="BM399" s="2"/>
      <c r="BO399" t="s">
        <v>89</v>
      </c>
      <c r="BP399">
        <v>84804900</v>
      </c>
      <c r="BR399" t="s">
        <v>180</v>
      </c>
      <c r="BS399" t="s">
        <v>103</v>
      </c>
      <c r="BU399">
        <v>128.85</v>
      </c>
      <c r="BV399">
        <v>226.13</v>
      </c>
      <c r="BW399">
        <v>0</v>
      </c>
      <c r="BX399">
        <v>0</v>
      </c>
      <c r="BY399">
        <v>0</v>
      </c>
      <c r="BZ399">
        <v>0</v>
      </c>
      <c r="CA399">
        <v>354.98</v>
      </c>
      <c r="CF399" s="2"/>
      <c r="CH399" s="2"/>
      <c r="CJ399">
        <v>5.3142019950187699E+17</v>
      </c>
      <c r="CK399" t="s">
        <v>2648</v>
      </c>
      <c r="CL399">
        <v>43813.377789351849</v>
      </c>
      <c r="CO399" t="s">
        <v>11</v>
      </c>
      <c r="CP399">
        <v>1610.6</v>
      </c>
      <c r="CQ399" t="s">
        <v>11</v>
      </c>
      <c r="CR399">
        <v>1610.6</v>
      </c>
      <c r="CV399" t="s">
        <v>190</v>
      </c>
      <c r="CW399" t="s">
        <v>12</v>
      </c>
      <c r="CX399" t="s">
        <v>12</v>
      </c>
      <c r="CY399" t="s">
        <v>12</v>
      </c>
      <c r="DA399" t="s">
        <v>104</v>
      </c>
      <c r="DD399" t="s">
        <v>93</v>
      </c>
      <c r="DQ399" t="s">
        <v>94</v>
      </c>
      <c r="DR399" t="s">
        <v>94</v>
      </c>
      <c r="DS399" t="s">
        <v>94</v>
      </c>
      <c r="DT399" t="s">
        <v>94</v>
      </c>
      <c r="DU399" t="s">
        <v>94</v>
      </c>
      <c r="DV399" t="s">
        <v>94</v>
      </c>
      <c r="DW399" t="s">
        <v>94</v>
      </c>
      <c r="DX399" s="2" t="s">
        <v>94</v>
      </c>
      <c r="DY399" t="s">
        <v>94</v>
      </c>
      <c r="DZ399" t="s">
        <v>94</v>
      </c>
      <c r="EA399" t="s">
        <v>94</v>
      </c>
      <c r="EB399" t="s">
        <v>94</v>
      </c>
      <c r="EC399" t="s">
        <v>94</v>
      </c>
      <c r="ED399" t="s">
        <v>94</v>
      </c>
      <c r="EE399" t="s">
        <v>89</v>
      </c>
      <c r="EF399" t="s">
        <v>425</v>
      </c>
      <c r="EG399" t="s">
        <v>105</v>
      </c>
      <c r="EJ399" t="s">
        <v>166</v>
      </c>
      <c r="EK399" t="b">
        <v>0</v>
      </c>
      <c r="EL399" t="b">
        <v>0</v>
      </c>
      <c r="EM399" t="b">
        <v>0</v>
      </c>
    </row>
    <row r="400" spans="3:143" ht="15">
      <c r="C400" s="82">
        <v>3</v>
      </c>
      <c r="D400" s="5"/>
      <c r="E400" s="4">
        <v>1</v>
      </c>
      <c r="F400" s="5">
        <v>10.9</v>
      </c>
      <c r="G400" s="5" t="s">
        <v>5325</v>
      </c>
      <c r="H400" s="4" t="s">
        <v>5326</v>
      </c>
      <c r="I400" s="81" t="s">
        <v>920</v>
      </c>
      <c r="J400" s="21"/>
      <c r="K400" s="22" t="s">
        <v>5287</v>
      </c>
      <c r="L400" s="84" t="s">
        <v>5288</v>
      </c>
      <c r="M400" s="23" t="s">
        <v>920</v>
      </c>
      <c r="N400" s="23">
        <v>43812</v>
      </c>
      <c r="O400" s="24" t="s">
        <v>102</v>
      </c>
      <c r="P400" s="24" t="s">
        <v>181</v>
      </c>
      <c r="Q400" s="24">
        <v>1</v>
      </c>
      <c r="R400" s="24">
        <v>10.9</v>
      </c>
      <c r="S400" t="s">
        <v>319</v>
      </c>
      <c r="T400">
        <v>390</v>
      </c>
      <c r="U400" s="2" t="s">
        <v>163</v>
      </c>
      <c r="V400">
        <v>43813.030891203707</v>
      </c>
      <c r="W400" s="2" t="s">
        <v>444</v>
      </c>
      <c r="X400">
        <v>43816.418425925927</v>
      </c>
      <c r="AB400" t="s">
        <v>9</v>
      </c>
      <c r="AC400" t="s">
        <v>5177</v>
      </c>
      <c r="AD400" t="s">
        <v>209</v>
      </c>
      <c r="AE400" t="s">
        <v>183</v>
      </c>
      <c r="AF400" t="s">
        <v>183</v>
      </c>
      <c r="AG400" t="s">
        <v>5327</v>
      </c>
      <c r="AH400" t="s">
        <v>5289</v>
      </c>
      <c r="AI400" t="s">
        <v>5289</v>
      </c>
      <c r="AJ400" t="s">
        <v>1533</v>
      </c>
      <c r="AK400" t="s">
        <v>1534</v>
      </c>
      <c r="AL400" t="s">
        <v>5290</v>
      </c>
      <c r="AO400" t="s">
        <v>5291</v>
      </c>
      <c r="AP400" t="s">
        <v>5182</v>
      </c>
      <c r="AQ400" t="s">
        <v>5292</v>
      </c>
      <c r="AR400" t="s">
        <v>5328</v>
      </c>
      <c r="AS400">
        <v>8038476582</v>
      </c>
      <c r="AT400" t="s">
        <v>5293</v>
      </c>
      <c r="AU400" t="s">
        <v>10</v>
      </c>
      <c r="AV400" t="s">
        <v>5294</v>
      </c>
      <c r="AW400" t="s">
        <v>5294</v>
      </c>
      <c r="AX400" t="s">
        <v>5295</v>
      </c>
      <c r="AY400" s="2" t="s">
        <v>5296</v>
      </c>
      <c r="BA400" t="s">
        <v>299</v>
      </c>
      <c r="BB400" t="s">
        <v>300</v>
      </c>
      <c r="BC400" t="s">
        <v>188</v>
      </c>
      <c r="BD400">
        <v>511447</v>
      </c>
      <c r="BE400" t="s">
        <v>5297</v>
      </c>
      <c r="BF400" t="s">
        <v>5298</v>
      </c>
      <c r="BG400" t="b">
        <v>0</v>
      </c>
      <c r="BH400" s="6" t="s">
        <v>5299</v>
      </c>
      <c r="BI400" t="s">
        <v>5300</v>
      </c>
      <c r="BJ400">
        <v>4453163191</v>
      </c>
      <c r="BK400" t="s">
        <v>162</v>
      </c>
      <c r="BL400" t="s">
        <v>161</v>
      </c>
      <c r="BM400" s="2"/>
      <c r="BN400">
        <v>9.1440113665909696E+17</v>
      </c>
      <c r="BO400" t="s">
        <v>89</v>
      </c>
      <c r="BP400">
        <v>85340090</v>
      </c>
      <c r="BR400" t="s">
        <v>189</v>
      </c>
      <c r="BS400" t="s">
        <v>103</v>
      </c>
      <c r="BU400">
        <v>0</v>
      </c>
      <c r="BV400">
        <v>355.03</v>
      </c>
      <c r="BW400">
        <v>0</v>
      </c>
      <c r="BX400">
        <v>0</v>
      </c>
      <c r="BY400">
        <v>0</v>
      </c>
      <c r="BZ400">
        <v>0</v>
      </c>
      <c r="CA400">
        <v>355.03</v>
      </c>
      <c r="CF400" s="2"/>
      <c r="CH400" s="2"/>
      <c r="CJ400">
        <v>5.3142019950187302E+17</v>
      </c>
      <c r="CK400" t="s">
        <v>2648</v>
      </c>
      <c r="CL400">
        <v>43812.566168981481</v>
      </c>
      <c r="CO400" t="s">
        <v>11</v>
      </c>
      <c r="CP400">
        <v>2731.01</v>
      </c>
      <c r="CQ400" t="s">
        <v>11</v>
      </c>
      <c r="CR400">
        <v>2731.01</v>
      </c>
      <c r="CV400" t="s">
        <v>525</v>
      </c>
      <c r="CW400" t="s">
        <v>12</v>
      </c>
      <c r="CX400" t="s">
        <v>12</v>
      </c>
      <c r="CY400" t="s">
        <v>12</v>
      </c>
      <c r="DA400" t="s">
        <v>104</v>
      </c>
      <c r="DD400" t="s">
        <v>93</v>
      </c>
      <c r="DQ400" t="s">
        <v>94</v>
      </c>
      <c r="DR400" t="s">
        <v>94</v>
      </c>
      <c r="DS400" t="s">
        <v>94</v>
      </c>
      <c r="DT400" t="s">
        <v>94</v>
      </c>
      <c r="DU400" t="s">
        <v>94</v>
      </c>
      <c r="DV400" t="s">
        <v>94</v>
      </c>
      <c r="DW400" t="s">
        <v>94</v>
      </c>
      <c r="DX400" s="2" t="s">
        <v>94</v>
      </c>
      <c r="DY400" t="s">
        <v>94</v>
      </c>
      <c r="DZ400" t="s">
        <v>94</v>
      </c>
      <c r="EA400" t="s">
        <v>94</v>
      </c>
      <c r="EB400" t="s">
        <v>94</v>
      </c>
      <c r="EC400" t="s">
        <v>94</v>
      </c>
      <c r="ED400" t="s">
        <v>94</v>
      </c>
      <c r="EE400" t="s">
        <v>89</v>
      </c>
      <c r="EF400" t="s">
        <v>425</v>
      </c>
      <c r="EG400" t="s">
        <v>105</v>
      </c>
      <c r="EJ400" t="s">
        <v>166</v>
      </c>
      <c r="EK400" t="b">
        <v>0</v>
      </c>
      <c r="EL400" t="b">
        <v>0</v>
      </c>
      <c r="EM400" t="b">
        <v>0</v>
      </c>
    </row>
    <row r="401" spans="3:143" ht="15">
      <c r="C401" s="82">
        <v>3</v>
      </c>
      <c r="D401" s="5"/>
      <c r="E401" s="4">
        <v>1</v>
      </c>
      <c r="F401" s="5">
        <v>0.09</v>
      </c>
      <c r="G401" s="5" t="s">
        <v>5329</v>
      </c>
      <c r="H401" s="4" t="s">
        <v>5330</v>
      </c>
      <c r="I401" s="81" t="s">
        <v>164</v>
      </c>
      <c r="J401" s="21"/>
      <c r="K401" s="22" t="s">
        <v>5301</v>
      </c>
      <c r="L401" s="84" t="s">
        <v>5223</v>
      </c>
      <c r="M401" s="23" t="s">
        <v>447</v>
      </c>
      <c r="N401" s="23">
        <v>43811</v>
      </c>
      <c r="O401" s="24" t="s">
        <v>102</v>
      </c>
      <c r="P401" s="24" t="s">
        <v>179</v>
      </c>
      <c r="Q401" s="24">
        <v>1</v>
      </c>
      <c r="R401" s="24">
        <v>0.09</v>
      </c>
      <c r="S401" t="s">
        <v>11</v>
      </c>
      <c r="T401">
        <v>170</v>
      </c>
      <c r="U401" s="2" t="s">
        <v>163</v>
      </c>
      <c r="V401">
        <v>43811.880335648151</v>
      </c>
      <c r="W401" s="2" t="s">
        <v>444</v>
      </c>
      <c r="X401">
        <v>43813.444236111114</v>
      </c>
      <c r="AB401" t="s">
        <v>9</v>
      </c>
      <c r="AC401" t="s">
        <v>5302</v>
      </c>
      <c r="AD401" t="s">
        <v>191</v>
      </c>
      <c r="AE401">
        <v>1136708</v>
      </c>
      <c r="AF401">
        <v>1136708</v>
      </c>
      <c r="AG401" t="s">
        <v>183</v>
      </c>
      <c r="AH401" t="s">
        <v>449</v>
      </c>
      <c r="AI401" t="s">
        <v>449</v>
      </c>
      <c r="AJ401" t="s">
        <v>184</v>
      </c>
      <c r="AK401" t="s">
        <v>185</v>
      </c>
      <c r="AL401" t="s">
        <v>450</v>
      </c>
      <c r="AM401" t="s">
        <v>451</v>
      </c>
      <c r="AO401" t="s">
        <v>452</v>
      </c>
      <c r="AP401" t="s">
        <v>5303</v>
      </c>
      <c r="AQ401" t="s">
        <v>454</v>
      </c>
      <c r="AR401" t="s">
        <v>455</v>
      </c>
      <c r="AS401">
        <v>1706217835</v>
      </c>
      <c r="AT401" t="s">
        <v>456</v>
      </c>
      <c r="AU401" t="s">
        <v>10</v>
      </c>
      <c r="AV401" t="s">
        <v>5304</v>
      </c>
      <c r="AW401" t="s">
        <v>5304</v>
      </c>
      <c r="AX401" t="s">
        <v>5305</v>
      </c>
      <c r="AY401" s="2" t="s">
        <v>5306</v>
      </c>
      <c r="AZ401" t="s">
        <v>5307</v>
      </c>
      <c r="BA401" t="s">
        <v>726</v>
      </c>
      <c r="BB401" t="s">
        <v>192</v>
      </c>
      <c r="BC401" t="s">
        <v>188</v>
      </c>
      <c r="BD401">
        <v>523520</v>
      </c>
      <c r="BE401" t="s">
        <v>5331</v>
      </c>
      <c r="BF401" t="s">
        <v>5308</v>
      </c>
      <c r="BG401" t="b">
        <v>0</v>
      </c>
      <c r="BH401" s="6" t="s">
        <v>5309</v>
      </c>
      <c r="BI401" t="s">
        <v>5310</v>
      </c>
      <c r="BJ401">
        <v>4453163191</v>
      </c>
      <c r="BK401" t="s">
        <v>162</v>
      </c>
      <c r="BL401" t="s">
        <v>161</v>
      </c>
      <c r="BM401" s="2"/>
      <c r="BO401" t="s">
        <v>89</v>
      </c>
      <c r="BP401">
        <v>3926909090</v>
      </c>
      <c r="BR401" t="s">
        <v>180</v>
      </c>
      <c r="BS401" t="s">
        <v>103</v>
      </c>
      <c r="BU401">
        <v>0</v>
      </c>
      <c r="BV401">
        <v>0</v>
      </c>
      <c r="BW401">
        <v>0</v>
      </c>
      <c r="BX401">
        <v>0</v>
      </c>
      <c r="BY401">
        <v>0</v>
      </c>
      <c r="BZ401">
        <v>0</v>
      </c>
      <c r="CA401">
        <v>0</v>
      </c>
      <c r="CF401" s="2"/>
      <c r="CH401" s="2"/>
      <c r="CJ401">
        <v>5.3142019950186099E+17</v>
      </c>
      <c r="CK401" t="s">
        <v>2648</v>
      </c>
      <c r="CL401">
        <v>43811.568715277775</v>
      </c>
      <c r="CO401" t="s">
        <v>11</v>
      </c>
      <c r="CP401">
        <v>170</v>
      </c>
      <c r="CQ401" t="s">
        <v>11</v>
      </c>
      <c r="CR401">
        <v>170</v>
      </c>
      <c r="CV401" t="s">
        <v>190</v>
      </c>
      <c r="CW401" t="s">
        <v>12</v>
      </c>
      <c r="CX401" t="s">
        <v>12</v>
      </c>
      <c r="CY401" t="s">
        <v>12</v>
      </c>
      <c r="DA401" t="s">
        <v>104</v>
      </c>
      <c r="DD401" t="s">
        <v>93</v>
      </c>
      <c r="DQ401" t="s">
        <v>94</v>
      </c>
      <c r="DR401" t="s">
        <v>94</v>
      </c>
      <c r="DS401" t="s">
        <v>94</v>
      </c>
      <c r="DT401" t="s">
        <v>94</v>
      </c>
      <c r="DU401" t="s">
        <v>94</v>
      </c>
      <c r="DV401" t="s">
        <v>94</v>
      </c>
      <c r="DW401" t="s">
        <v>94</v>
      </c>
      <c r="DX401" s="2" t="s">
        <v>94</v>
      </c>
      <c r="DY401" t="s">
        <v>94</v>
      </c>
      <c r="DZ401" t="s">
        <v>94</v>
      </c>
      <c r="EA401" t="s">
        <v>94</v>
      </c>
      <c r="EB401" t="s">
        <v>94</v>
      </c>
      <c r="EC401" t="s">
        <v>94</v>
      </c>
      <c r="ED401" t="s">
        <v>94</v>
      </c>
      <c r="EE401" t="s">
        <v>89</v>
      </c>
      <c r="EF401" t="s">
        <v>425</v>
      </c>
      <c r="EG401" t="s">
        <v>105</v>
      </c>
      <c r="EJ401" t="s">
        <v>166</v>
      </c>
      <c r="EK401" t="b">
        <v>0</v>
      </c>
      <c r="EL401" t="b">
        <v>0</v>
      </c>
      <c r="EM401" t="b">
        <v>0</v>
      </c>
    </row>
    <row r="402" spans="3:143" ht="15">
      <c r="C402" s="82">
        <v>3</v>
      </c>
      <c r="D402" s="5"/>
      <c r="E402" s="4">
        <v>1</v>
      </c>
      <c r="F402" s="5">
        <v>9</v>
      </c>
      <c r="G402" s="5" t="s">
        <v>5332</v>
      </c>
      <c r="H402" s="4" t="s">
        <v>5333</v>
      </c>
      <c r="I402" s="81" t="s">
        <v>164</v>
      </c>
      <c r="J402" s="21"/>
      <c r="K402" s="22" t="s">
        <v>5311</v>
      </c>
      <c r="L402" s="84" t="s">
        <v>5312</v>
      </c>
      <c r="M402" s="23" t="s">
        <v>164</v>
      </c>
      <c r="N402" s="23">
        <v>43810</v>
      </c>
      <c r="O402" s="24" t="s">
        <v>102</v>
      </c>
      <c r="P402" s="24" t="s">
        <v>181</v>
      </c>
      <c r="Q402" s="24">
        <v>1</v>
      </c>
      <c r="R402" s="24">
        <v>9</v>
      </c>
      <c r="S402" t="s">
        <v>11</v>
      </c>
      <c r="T402">
        <v>540</v>
      </c>
      <c r="U402" s="2" t="s">
        <v>163</v>
      </c>
      <c r="V402">
        <v>43810.835057870368</v>
      </c>
      <c r="W402" s="2" t="s">
        <v>444</v>
      </c>
      <c r="X402">
        <v>43810.835532407407</v>
      </c>
      <c r="AB402" t="s">
        <v>9</v>
      </c>
      <c r="AC402" t="s">
        <v>5054</v>
      </c>
      <c r="AD402" t="s">
        <v>182</v>
      </c>
      <c r="AE402">
        <v>55270</v>
      </c>
      <c r="AF402">
        <v>55270</v>
      </c>
      <c r="AH402" t="s">
        <v>5313</v>
      </c>
      <c r="AI402" t="s">
        <v>5313</v>
      </c>
      <c r="AJ402" t="s">
        <v>211</v>
      </c>
      <c r="AK402" t="s">
        <v>212</v>
      </c>
      <c r="AL402" t="s">
        <v>5314</v>
      </c>
      <c r="AM402" t="s">
        <v>5315</v>
      </c>
      <c r="AN402" t="s">
        <v>5316</v>
      </c>
      <c r="AO402" t="s">
        <v>5057</v>
      </c>
      <c r="AP402" t="s">
        <v>5058</v>
      </c>
      <c r="AQ402" t="s">
        <v>5059</v>
      </c>
      <c r="AR402">
        <v>144004</v>
      </c>
      <c r="AS402">
        <v>1</v>
      </c>
      <c r="AT402" t="s">
        <v>5317</v>
      </c>
      <c r="AU402" t="s">
        <v>10</v>
      </c>
      <c r="AV402" t="s">
        <v>5318</v>
      </c>
      <c r="AW402" t="s">
        <v>5318</v>
      </c>
      <c r="AX402" t="s">
        <v>5319</v>
      </c>
      <c r="AY402" s="2" t="s">
        <v>5320</v>
      </c>
      <c r="AZ402" t="s">
        <v>166</v>
      </c>
      <c r="BA402" t="s">
        <v>271</v>
      </c>
      <c r="BB402" t="s">
        <v>272</v>
      </c>
      <c r="BC402" t="s">
        <v>188</v>
      </c>
      <c r="BD402">
        <v>518054</v>
      </c>
      <c r="BE402" t="s">
        <v>5321</v>
      </c>
      <c r="BF402" t="s">
        <v>5322</v>
      </c>
      <c r="BG402" t="b">
        <v>0</v>
      </c>
      <c r="BH402" s="6" t="s">
        <v>5323</v>
      </c>
      <c r="BI402" t="s">
        <v>5324</v>
      </c>
      <c r="BJ402">
        <v>4453163191</v>
      </c>
      <c r="BK402" t="s">
        <v>162</v>
      </c>
      <c r="BL402" t="s">
        <v>161</v>
      </c>
      <c r="BM402" s="2"/>
      <c r="BO402" t="s">
        <v>89</v>
      </c>
      <c r="BP402">
        <v>8201909010</v>
      </c>
      <c r="BR402" t="s">
        <v>180</v>
      </c>
      <c r="BS402" t="s">
        <v>103</v>
      </c>
      <c r="BU402">
        <v>0</v>
      </c>
      <c r="BV402">
        <v>0</v>
      </c>
      <c r="BW402">
        <v>0</v>
      </c>
      <c r="BX402">
        <v>0</v>
      </c>
      <c r="BY402">
        <v>0</v>
      </c>
      <c r="BZ402">
        <v>0</v>
      </c>
      <c r="CA402">
        <v>0</v>
      </c>
      <c r="CF402" s="2"/>
      <c r="CH402" s="2"/>
      <c r="CJ402">
        <v>5.3142019950184998E+17</v>
      </c>
      <c r="CK402" t="s">
        <v>2648</v>
      </c>
      <c r="CL402">
        <v>43810.561261574076</v>
      </c>
      <c r="CO402" t="s">
        <v>11</v>
      </c>
      <c r="CP402">
        <v>540</v>
      </c>
      <c r="CQ402" t="s">
        <v>11</v>
      </c>
      <c r="CR402">
        <v>540</v>
      </c>
      <c r="CV402" t="s">
        <v>190</v>
      </c>
      <c r="CW402" t="s">
        <v>12</v>
      </c>
      <c r="CX402" t="s">
        <v>12</v>
      </c>
      <c r="CY402" t="s">
        <v>12</v>
      </c>
      <c r="DA402" t="s">
        <v>104</v>
      </c>
      <c r="DD402" t="s">
        <v>93</v>
      </c>
      <c r="DQ402" t="s">
        <v>94</v>
      </c>
      <c r="DR402" t="s">
        <v>94</v>
      </c>
      <c r="DS402" t="s">
        <v>94</v>
      </c>
      <c r="DT402" t="s">
        <v>94</v>
      </c>
      <c r="DU402" t="s">
        <v>94</v>
      </c>
      <c r="DV402" t="s">
        <v>94</v>
      </c>
      <c r="DW402" t="s">
        <v>94</v>
      </c>
      <c r="DX402" s="2" t="s">
        <v>94</v>
      </c>
      <c r="DY402" t="s">
        <v>94</v>
      </c>
      <c r="DZ402" t="s">
        <v>94</v>
      </c>
      <c r="EA402" t="s">
        <v>94</v>
      </c>
      <c r="EB402" t="s">
        <v>94</v>
      </c>
      <c r="EC402" t="s">
        <v>94</v>
      </c>
      <c r="ED402" t="s">
        <v>94</v>
      </c>
      <c r="EE402" t="s">
        <v>89</v>
      </c>
      <c r="EF402" t="s">
        <v>425</v>
      </c>
      <c r="EG402" t="s">
        <v>105</v>
      </c>
      <c r="EJ402" t="s">
        <v>166</v>
      </c>
      <c r="EK402" t="b">
        <v>0</v>
      </c>
      <c r="EL402" t="b">
        <v>0</v>
      </c>
      <c r="EM402" t="b">
        <v>0</v>
      </c>
    </row>
    <row r="403" spans="3:143" ht="15">
      <c r="C403" s="82">
        <v>12</v>
      </c>
      <c r="D403" s="5"/>
      <c r="E403" s="4">
        <v>1</v>
      </c>
      <c r="F403" s="5">
        <v>5.7</v>
      </c>
      <c r="G403" s="5" t="s">
        <v>5350</v>
      </c>
      <c r="H403" s="4" t="s">
        <v>5351</v>
      </c>
      <c r="I403" s="81" t="s">
        <v>920</v>
      </c>
      <c r="J403" s="21"/>
      <c r="K403" s="22" t="s">
        <v>5334</v>
      </c>
      <c r="L403" s="84" t="s">
        <v>5278</v>
      </c>
      <c r="M403" s="23" t="s">
        <v>905</v>
      </c>
      <c r="N403" s="23">
        <v>43813</v>
      </c>
      <c r="O403" s="24" t="s">
        <v>102</v>
      </c>
      <c r="P403" s="24" t="s">
        <v>181</v>
      </c>
      <c r="Q403" s="24">
        <v>1</v>
      </c>
      <c r="R403" s="24">
        <v>5.7</v>
      </c>
      <c r="S403" t="s">
        <v>319</v>
      </c>
      <c r="T403">
        <v>234</v>
      </c>
      <c r="U403" s="2" t="s">
        <v>163</v>
      </c>
      <c r="V403">
        <v>43813.842418981483</v>
      </c>
      <c r="W403" s="2" t="s">
        <v>444</v>
      </c>
      <c r="X403">
        <v>43813.842650462961</v>
      </c>
      <c r="AB403" t="s">
        <v>9</v>
      </c>
      <c r="AC403" t="s">
        <v>4009</v>
      </c>
      <c r="AD403" t="s">
        <v>200</v>
      </c>
      <c r="AE403" t="s">
        <v>183</v>
      </c>
      <c r="AF403" t="s">
        <v>183</v>
      </c>
      <c r="AG403">
        <v>3107943</v>
      </c>
      <c r="AH403" t="s">
        <v>5335</v>
      </c>
      <c r="AI403" t="s">
        <v>5335</v>
      </c>
      <c r="AJ403" t="s">
        <v>184</v>
      </c>
      <c r="AK403" t="s">
        <v>185</v>
      </c>
      <c r="AL403" t="s">
        <v>5336</v>
      </c>
      <c r="AM403" t="s">
        <v>5337</v>
      </c>
      <c r="AO403" t="s">
        <v>5338</v>
      </c>
      <c r="AP403" t="s">
        <v>4014</v>
      </c>
      <c r="AQ403" t="s">
        <v>5339</v>
      </c>
      <c r="AR403" t="s">
        <v>5340</v>
      </c>
      <c r="AS403">
        <v>1663734955</v>
      </c>
      <c r="AT403" t="s">
        <v>5341</v>
      </c>
      <c r="AU403" t="s">
        <v>10</v>
      </c>
      <c r="AV403" t="s">
        <v>5342</v>
      </c>
      <c r="AW403" t="s">
        <v>5342</v>
      </c>
      <c r="AX403" t="s">
        <v>5343</v>
      </c>
      <c r="AY403" s="2" t="s">
        <v>5344</v>
      </c>
      <c r="BA403" t="s">
        <v>230</v>
      </c>
      <c r="BB403" t="s">
        <v>1864</v>
      </c>
      <c r="BC403" t="s">
        <v>188</v>
      </c>
      <c r="BD403">
        <v>510610</v>
      </c>
      <c r="BE403" t="s">
        <v>5345</v>
      </c>
      <c r="BF403" t="s">
        <v>5346</v>
      </c>
      <c r="BG403" t="b">
        <v>0</v>
      </c>
      <c r="BH403" s="6" t="s">
        <v>5347</v>
      </c>
      <c r="BI403" t="s">
        <v>5348</v>
      </c>
      <c r="BJ403">
        <v>4453163191</v>
      </c>
      <c r="BK403" t="s">
        <v>162</v>
      </c>
      <c r="BL403" t="s">
        <v>161</v>
      </c>
      <c r="BM403" s="2"/>
      <c r="BN403" t="s">
        <v>5349</v>
      </c>
      <c r="BO403" t="s">
        <v>89</v>
      </c>
      <c r="BP403">
        <v>38220090</v>
      </c>
      <c r="BR403" t="s">
        <v>189</v>
      </c>
      <c r="BS403" t="s">
        <v>103</v>
      </c>
      <c r="BU403">
        <v>0</v>
      </c>
      <c r="BV403">
        <v>0</v>
      </c>
      <c r="BW403">
        <v>0</v>
      </c>
      <c r="BX403">
        <v>0</v>
      </c>
      <c r="BY403">
        <v>0</v>
      </c>
      <c r="BZ403">
        <v>0</v>
      </c>
      <c r="CA403">
        <v>0</v>
      </c>
      <c r="CF403" s="2"/>
      <c r="CH403" s="2"/>
      <c r="CJ403">
        <v>5.3142019950187699E+17</v>
      </c>
      <c r="CK403" t="s">
        <v>2648</v>
      </c>
      <c r="CL403">
        <v>43813.579907407409</v>
      </c>
      <c r="CO403" t="s">
        <v>11</v>
      </c>
      <c r="CP403">
        <v>1638.61</v>
      </c>
      <c r="CQ403" t="s">
        <v>11</v>
      </c>
      <c r="CR403">
        <v>1638.61</v>
      </c>
      <c r="CV403" t="s">
        <v>525</v>
      </c>
      <c r="CW403" t="s">
        <v>12</v>
      </c>
      <c r="CX403" t="s">
        <v>12</v>
      </c>
      <c r="CY403" t="s">
        <v>12</v>
      </c>
      <c r="DA403" t="s">
        <v>104</v>
      </c>
      <c r="DD403" t="s">
        <v>93</v>
      </c>
      <c r="DQ403" t="s">
        <v>94</v>
      </c>
      <c r="DR403" t="s">
        <v>94</v>
      </c>
      <c r="DS403" t="s">
        <v>94</v>
      </c>
      <c r="DT403" t="s">
        <v>94</v>
      </c>
      <c r="DU403" t="s">
        <v>94</v>
      </c>
      <c r="DV403" t="s">
        <v>94</v>
      </c>
      <c r="DW403" t="s">
        <v>94</v>
      </c>
      <c r="DX403" s="2" t="s">
        <v>94</v>
      </c>
      <c r="DY403" t="s">
        <v>94</v>
      </c>
      <c r="DZ403" t="s">
        <v>94</v>
      </c>
      <c r="EA403" t="s">
        <v>94</v>
      </c>
      <c r="EB403" t="s">
        <v>94</v>
      </c>
      <c r="EC403" t="s">
        <v>94</v>
      </c>
      <c r="ED403" t="s">
        <v>94</v>
      </c>
      <c r="EE403" t="s">
        <v>89</v>
      </c>
      <c r="EF403" t="s">
        <v>425</v>
      </c>
      <c r="EG403" t="s">
        <v>105</v>
      </c>
      <c r="EJ403" t="s">
        <v>166</v>
      </c>
      <c r="EK403" t="b">
        <v>0</v>
      </c>
      <c r="EL403" t="b">
        <v>0</v>
      </c>
      <c r="EM403" t="b">
        <v>0</v>
      </c>
    </row>
    <row r="404" spans="3:143" ht="15">
      <c r="C404" s="82">
        <v>232</v>
      </c>
      <c r="D404" s="5"/>
      <c r="E404" s="4">
        <v>1</v>
      </c>
      <c r="F404" s="5">
        <v>5.15</v>
      </c>
      <c r="G404" s="5" t="s">
        <v>5405</v>
      </c>
      <c r="H404" s="4" t="s">
        <v>5406</v>
      </c>
      <c r="I404" s="81" t="s">
        <v>164</v>
      </c>
      <c r="J404" s="21"/>
      <c r="K404" s="22" t="s">
        <v>5353</v>
      </c>
      <c r="L404" s="84" t="s">
        <v>5354</v>
      </c>
      <c r="M404" s="23" t="s">
        <v>447</v>
      </c>
      <c r="N404" s="23">
        <v>43816</v>
      </c>
      <c r="O404" s="24" t="s">
        <v>102</v>
      </c>
      <c r="P404" s="24" t="s">
        <v>181</v>
      </c>
      <c r="Q404" s="24">
        <v>1</v>
      </c>
      <c r="R404" s="24">
        <v>5.15</v>
      </c>
      <c r="S404" t="s">
        <v>528</v>
      </c>
      <c r="T404">
        <v>585</v>
      </c>
      <c r="U404" s="2" t="s">
        <v>163</v>
      </c>
      <c r="V404">
        <v>43816.856423611112</v>
      </c>
      <c r="W404" s="2" t="s">
        <v>427</v>
      </c>
      <c r="X404">
        <v>43816.877812500003</v>
      </c>
      <c r="AB404" t="s">
        <v>9</v>
      </c>
      <c r="AC404" t="s">
        <v>2768</v>
      </c>
      <c r="AD404" t="s">
        <v>182</v>
      </c>
      <c r="AE404">
        <v>67285</v>
      </c>
      <c r="AF404">
        <v>67285</v>
      </c>
      <c r="AG404" t="s">
        <v>183</v>
      </c>
      <c r="AH404" t="s">
        <v>5355</v>
      </c>
      <c r="AI404" t="s">
        <v>5355</v>
      </c>
      <c r="AJ404" t="s">
        <v>821</v>
      </c>
      <c r="AK404" t="s">
        <v>822</v>
      </c>
      <c r="AL404" t="s">
        <v>5356</v>
      </c>
      <c r="AO404" t="s">
        <v>5357</v>
      </c>
      <c r="AP404" t="s">
        <v>2773</v>
      </c>
      <c r="AR404">
        <v>8940</v>
      </c>
      <c r="AS404">
        <v>-3256313991</v>
      </c>
      <c r="AT404" t="s">
        <v>5358</v>
      </c>
      <c r="AU404" t="s">
        <v>10</v>
      </c>
      <c r="AV404" t="s">
        <v>5359</v>
      </c>
      <c r="AW404" t="s">
        <v>5359</v>
      </c>
      <c r="AX404" t="s">
        <v>5360</v>
      </c>
      <c r="AY404" s="2" t="s">
        <v>5361</v>
      </c>
      <c r="AZ404" t="s">
        <v>5362</v>
      </c>
      <c r="BA404" t="s">
        <v>194</v>
      </c>
      <c r="BB404" t="s">
        <v>187</v>
      </c>
      <c r="BC404" t="s">
        <v>188</v>
      </c>
      <c r="BD404">
        <v>518129</v>
      </c>
      <c r="BE404" t="s">
        <v>5363</v>
      </c>
      <c r="BF404" t="s">
        <v>5364</v>
      </c>
      <c r="BG404" t="b">
        <v>0</v>
      </c>
      <c r="BH404" s="6" t="s">
        <v>5365</v>
      </c>
      <c r="BI404" t="s">
        <v>5366</v>
      </c>
      <c r="BJ404">
        <v>4453163191</v>
      </c>
      <c r="BK404" t="s">
        <v>162</v>
      </c>
      <c r="BL404" t="s">
        <v>161</v>
      </c>
      <c r="BM404" s="2"/>
      <c r="BO404" t="s">
        <v>89</v>
      </c>
      <c r="BP404">
        <v>85235110</v>
      </c>
      <c r="BR404" t="s">
        <v>189</v>
      </c>
      <c r="BS404" t="s">
        <v>103</v>
      </c>
      <c r="BU404">
        <v>0</v>
      </c>
      <c r="BV404">
        <v>586.44000000000005</v>
      </c>
      <c r="BW404">
        <v>0</v>
      </c>
      <c r="BX404">
        <v>0</v>
      </c>
      <c r="BY404">
        <v>0</v>
      </c>
      <c r="BZ404">
        <v>0</v>
      </c>
      <c r="CA404">
        <v>586.44000000000005</v>
      </c>
      <c r="CB404" t="s">
        <v>444</v>
      </c>
      <c r="CF404" s="2"/>
      <c r="CH404" s="2"/>
      <c r="CJ404">
        <v>5.3142019950189197E+17</v>
      </c>
      <c r="CK404" t="s">
        <v>2648</v>
      </c>
      <c r="CL404">
        <v>43816.375914351855</v>
      </c>
      <c r="CO404" t="s">
        <v>11</v>
      </c>
      <c r="CP404" t="s">
        <v>5407</v>
      </c>
      <c r="CQ404" t="s">
        <v>11</v>
      </c>
      <c r="CR404">
        <v>4511.1099999999997</v>
      </c>
      <c r="CV404" t="s">
        <v>190</v>
      </c>
      <c r="CW404" t="s">
        <v>12</v>
      </c>
      <c r="CX404" t="s">
        <v>12</v>
      </c>
      <c r="CY404" t="s">
        <v>12</v>
      </c>
      <c r="DA404" t="s">
        <v>104</v>
      </c>
      <c r="DD404" t="s">
        <v>93</v>
      </c>
      <c r="DQ404" t="s">
        <v>94</v>
      </c>
      <c r="DR404" t="s">
        <v>94</v>
      </c>
      <c r="DS404" t="s">
        <v>94</v>
      </c>
      <c r="DT404" t="s">
        <v>94</v>
      </c>
      <c r="DU404" t="s">
        <v>94</v>
      </c>
      <c r="DV404" t="s">
        <v>94</v>
      </c>
      <c r="DW404" t="s">
        <v>94</v>
      </c>
      <c r="DX404" s="2" t="s">
        <v>94</v>
      </c>
      <c r="DY404" t="s">
        <v>94</v>
      </c>
      <c r="DZ404" t="s">
        <v>94</v>
      </c>
      <c r="EA404" t="s">
        <v>94</v>
      </c>
      <c r="EB404" t="s">
        <v>94</v>
      </c>
      <c r="EC404" t="s">
        <v>94</v>
      </c>
      <c r="ED404" t="s">
        <v>94</v>
      </c>
      <c r="EE404" t="s">
        <v>89</v>
      </c>
      <c r="EF404" t="s">
        <v>425</v>
      </c>
      <c r="EG404" t="s">
        <v>105</v>
      </c>
      <c r="EJ404" t="s">
        <v>166</v>
      </c>
      <c r="EK404" t="b">
        <v>0</v>
      </c>
      <c r="EL404" t="b">
        <v>0</v>
      </c>
      <c r="EM404" t="b">
        <v>0</v>
      </c>
    </row>
    <row r="405" spans="3:143" ht="15">
      <c r="C405" s="82">
        <v>223</v>
      </c>
      <c r="D405" s="5"/>
      <c r="E405" s="4">
        <v>1</v>
      </c>
      <c r="F405" s="5">
        <v>10.050000000000001</v>
      </c>
      <c r="G405" s="5" t="s">
        <v>5408</v>
      </c>
      <c r="H405" s="4" t="s">
        <v>5409</v>
      </c>
      <c r="I405" s="81" t="s">
        <v>920</v>
      </c>
      <c r="J405" s="21"/>
      <c r="K405" s="22" t="s">
        <v>5367</v>
      </c>
      <c r="L405" s="84" t="s">
        <v>5278</v>
      </c>
      <c r="M405" s="23" t="s">
        <v>905</v>
      </c>
      <c r="N405" s="23">
        <v>43813</v>
      </c>
      <c r="O405" s="24" t="s">
        <v>102</v>
      </c>
      <c r="P405" s="24" t="s">
        <v>181</v>
      </c>
      <c r="Q405" s="24">
        <v>1</v>
      </c>
      <c r="R405" s="24">
        <v>10.050000000000001</v>
      </c>
      <c r="S405" t="s">
        <v>11</v>
      </c>
      <c r="T405">
        <v>540</v>
      </c>
      <c r="U405" s="2" t="s">
        <v>163</v>
      </c>
      <c r="V405">
        <v>43813.842303240737</v>
      </c>
      <c r="W405" s="2" t="s">
        <v>444</v>
      </c>
      <c r="X405">
        <v>43815.647916666669</v>
      </c>
      <c r="AB405" t="s">
        <v>9</v>
      </c>
      <c r="AC405" t="s">
        <v>5368</v>
      </c>
      <c r="AD405" t="s">
        <v>182</v>
      </c>
      <c r="AE405">
        <v>2001128</v>
      </c>
      <c r="AF405">
        <v>2001128</v>
      </c>
      <c r="AG405" t="s">
        <v>183</v>
      </c>
      <c r="AH405" t="s">
        <v>5369</v>
      </c>
      <c r="AI405" t="s">
        <v>5369</v>
      </c>
      <c r="AJ405" t="s">
        <v>795</v>
      </c>
      <c r="AK405" t="s">
        <v>796</v>
      </c>
      <c r="AL405" t="s">
        <v>5370</v>
      </c>
      <c r="AO405" t="s">
        <v>5371</v>
      </c>
      <c r="AP405" t="s">
        <v>5372</v>
      </c>
      <c r="AQ405" t="s">
        <v>5373</v>
      </c>
      <c r="AR405">
        <v>48960</v>
      </c>
      <c r="AS405">
        <v>944562915</v>
      </c>
      <c r="AT405" t="s">
        <v>5374</v>
      </c>
      <c r="AU405" t="s">
        <v>10</v>
      </c>
      <c r="AV405" t="s">
        <v>5375</v>
      </c>
      <c r="AW405" t="s">
        <v>5375</v>
      </c>
      <c r="AX405" t="s">
        <v>5376</v>
      </c>
      <c r="AY405" s="2" t="s">
        <v>5377</v>
      </c>
      <c r="AZ405" t="s">
        <v>5378</v>
      </c>
      <c r="BA405" t="s">
        <v>186</v>
      </c>
      <c r="BB405" t="s">
        <v>187</v>
      </c>
      <c r="BC405" t="s">
        <v>188</v>
      </c>
      <c r="BD405">
        <v>518132</v>
      </c>
      <c r="BE405" t="s">
        <v>5410</v>
      </c>
      <c r="BF405" t="s">
        <v>5379</v>
      </c>
      <c r="BG405" t="b">
        <v>0</v>
      </c>
      <c r="BH405" s="6" t="s">
        <v>5380</v>
      </c>
      <c r="BI405" t="s">
        <v>5381</v>
      </c>
      <c r="BJ405">
        <v>4453163191</v>
      </c>
      <c r="BK405" t="s">
        <v>162</v>
      </c>
      <c r="BL405" t="s">
        <v>161</v>
      </c>
      <c r="BM405" s="2"/>
      <c r="BO405" t="s">
        <v>89</v>
      </c>
      <c r="BP405">
        <v>94054090</v>
      </c>
      <c r="BR405" t="s">
        <v>189</v>
      </c>
      <c r="BS405" t="s">
        <v>103</v>
      </c>
      <c r="BU405">
        <v>0</v>
      </c>
      <c r="BV405">
        <v>74.41</v>
      </c>
      <c r="BW405">
        <v>0</v>
      </c>
      <c r="BX405">
        <v>0</v>
      </c>
      <c r="BY405">
        <v>0</v>
      </c>
      <c r="BZ405">
        <v>0</v>
      </c>
      <c r="CA405">
        <v>74.41</v>
      </c>
      <c r="CF405" s="2"/>
      <c r="CH405" s="2"/>
      <c r="CJ405">
        <v>5.3142019950187699E+17</v>
      </c>
      <c r="CK405" t="s">
        <v>2648</v>
      </c>
      <c r="CL405">
        <v>43813.578935185185</v>
      </c>
      <c r="CO405" t="s">
        <v>11</v>
      </c>
      <c r="CP405" t="s">
        <v>5411</v>
      </c>
      <c r="CQ405" t="s">
        <v>11</v>
      </c>
      <c r="CR405">
        <v>540</v>
      </c>
      <c r="CV405" t="s">
        <v>190</v>
      </c>
      <c r="CW405" t="s">
        <v>12</v>
      </c>
      <c r="CX405" t="s">
        <v>12</v>
      </c>
      <c r="CY405" t="s">
        <v>12</v>
      </c>
      <c r="DA405" t="s">
        <v>104</v>
      </c>
      <c r="DD405" t="s">
        <v>93</v>
      </c>
      <c r="DQ405" t="s">
        <v>94</v>
      </c>
      <c r="DR405" t="s">
        <v>94</v>
      </c>
      <c r="DS405" t="s">
        <v>94</v>
      </c>
      <c r="DT405" t="s">
        <v>94</v>
      </c>
      <c r="DU405" t="s">
        <v>94</v>
      </c>
      <c r="DV405" t="s">
        <v>94</v>
      </c>
      <c r="DW405" t="s">
        <v>94</v>
      </c>
      <c r="DX405" s="2" t="s">
        <v>94</v>
      </c>
      <c r="DY405" t="s">
        <v>94</v>
      </c>
      <c r="DZ405" t="s">
        <v>94</v>
      </c>
      <c r="EA405" t="s">
        <v>94</v>
      </c>
      <c r="EB405" t="s">
        <v>94</v>
      </c>
      <c r="EC405" t="s">
        <v>94</v>
      </c>
      <c r="ED405" t="s">
        <v>94</v>
      </c>
      <c r="EE405" t="s">
        <v>89</v>
      </c>
      <c r="EF405" t="s">
        <v>425</v>
      </c>
      <c r="EG405" t="s">
        <v>226</v>
      </c>
      <c r="EJ405" t="s">
        <v>166</v>
      </c>
      <c r="EK405" t="b">
        <v>0</v>
      </c>
      <c r="EL405" t="b">
        <v>0</v>
      </c>
      <c r="EM405" t="b">
        <v>0</v>
      </c>
    </row>
    <row r="406" spans="3:143" ht="15">
      <c r="C406" s="82">
        <v>3</v>
      </c>
      <c r="D406" s="5"/>
      <c r="E406" s="4">
        <v>1</v>
      </c>
      <c r="F406" s="5">
        <v>1.1000000000000001</v>
      </c>
      <c r="G406" s="5" t="s">
        <v>5412</v>
      </c>
      <c r="H406" s="4" t="s">
        <v>5413</v>
      </c>
      <c r="I406" s="81" t="s">
        <v>164</v>
      </c>
      <c r="J406" s="21"/>
      <c r="K406" s="22" t="s">
        <v>5382</v>
      </c>
      <c r="L406" s="84" t="s">
        <v>5223</v>
      </c>
      <c r="M406" s="23" t="s">
        <v>164</v>
      </c>
      <c r="N406" s="23">
        <v>43811</v>
      </c>
      <c r="O406" s="24" t="s">
        <v>102</v>
      </c>
      <c r="P406" s="24" t="s">
        <v>179</v>
      </c>
      <c r="Q406" s="24">
        <v>1</v>
      </c>
      <c r="R406" s="24">
        <v>1.1000000000000001</v>
      </c>
      <c r="S406" t="s">
        <v>5383</v>
      </c>
      <c r="T406">
        <v>50</v>
      </c>
      <c r="U406" s="2" t="s">
        <v>163</v>
      </c>
      <c r="V406">
        <v>43811.880254629628</v>
      </c>
      <c r="W406" s="2" t="s">
        <v>444</v>
      </c>
      <c r="X406">
        <v>43813.444236111114</v>
      </c>
      <c r="AB406" t="s">
        <v>9</v>
      </c>
      <c r="AC406" t="s">
        <v>1230</v>
      </c>
      <c r="AD406" t="s">
        <v>209</v>
      </c>
      <c r="AE406">
        <v>1008143</v>
      </c>
      <c r="AF406">
        <v>1008143</v>
      </c>
      <c r="AG406" t="s">
        <v>183</v>
      </c>
      <c r="AH406" t="s">
        <v>5384</v>
      </c>
      <c r="AI406" t="s">
        <v>5384</v>
      </c>
      <c r="AJ406" t="s">
        <v>1232</v>
      </c>
      <c r="AK406" t="s">
        <v>1233</v>
      </c>
      <c r="AL406" t="s">
        <v>5385</v>
      </c>
      <c r="AM406" t="s">
        <v>5386</v>
      </c>
      <c r="AO406" t="s">
        <v>1236</v>
      </c>
      <c r="AP406" t="s">
        <v>1233</v>
      </c>
      <c r="AR406">
        <v>757472</v>
      </c>
      <c r="AS406">
        <v>62616900</v>
      </c>
      <c r="AT406" t="s">
        <v>5387</v>
      </c>
      <c r="AU406" t="s">
        <v>10</v>
      </c>
      <c r="AV406" t="s">
        <v>5388</v>
      </c>
      <c r="AW406" t="s">
        <v>5388</v>
      </c>
      <c r="AX406" t="s">
        <v>5389</v>
      </c>
      <c r="AY406" s="2" t="s">
        <v>5390</v>
      </c>
      <c r="AZ406" t="s">
        <v>5391</v>
      </c>
      <c r="BA406" t="s">
        <v>538</v>
      </c>
      <c r="BB406" t="s">
        <v>223</v>
      </c>
      <c r="BC406" t="s">
        <v>188</v>
      </c>
      <c r="BD406">
        <v>510410</v>
      </c>
      <c r="BE406" t="s">
        <v>5392</v>
      </c>
      <c r="BF406" t="s">
        <v>5393</v>
      </c>
      <c r="BG406" t="b">
        <v>0</v>
      </c>
      <c r="BH406" s="6" t="s">
        <v>5394</v>
      </c>
      <c r="BI406" t="s">
        <v>5395</v>
      </c>
      <c r="BJ406">
        <v>4453163191</v>
      </c>
      <c r="BK406" t="s">
        <v>162</v>
      </c>
      <c r="BL406" t="s">
        <v>161</v>
      </c>
      <c r="BM406" s="2"/>
      <c r="BO406" t="s">
        <v>89</v>
      </c>
      <c r="BP406">
        <v>3815120090</v>
      </c>
      <c r="BR406" t="s">
        <v>180</v>
      </c>
      <c r="BS406" t="s">
        <v>103</v>
      </c>
      <c r="BU406">
        <v>0</v>
      </c>
      <c r="BV406">
        <v>0</v>
      </c>
      <c r="BW406">
        <v>0</v>
      </c>
      <c r="BX406">
        <v>0</v>
      </c>
      <c r="BY406">
        <v>0</v>
      </c>
      <c r="BZ406">
        <v>0</v>
      </c>
      <c r="CA406">
        <v>0</v>
      </c>
      <c r="CF406" s="2"/>
      <c r="CH406" s="2"/>
      <c r="CJ406">
        <v>5.3142019950186099E+17</v>
      </c>
      <c r="CK406" t="s">
        <v>2648</v>
      </c>
      <c r="CL406">
        <v>43811.376712962963</v>
      </c>
      <c r="CO406" t="s">
        <v>11</v>
      </c>
      <c r="CP406" t="s">
        <v>5414</v>
      </c>
      <c r="CQ406" t="s">
        <v>11</v>
      </c>
      <c r="CR406">
        <v>257.02999999999997</v>
      </c>
      <c r="CV406" t="s">
        <v>190</v>
      </c>
      <c r="CW406" t="s">
        <v>12</v>
      </c>
      <c r="CX406" t="s">
        <v>12</v>
      </c>
      <c r="CY406" t="s">
        <v>12</v>
      </c>
      <c r="DA406" t="s">
        <v>104</v>
      </c>
      <c r="DD406" t="s">
        <v>93</v>
      </c>
      <c r="DQ406" t="s">
        <v>94</v>
      </c>
      <c r="DR406" t="s">
        <v>94</v>
      </c>
      <c r="DS406" t="s">
        <v>94</v>
      </c>
      <c r="DT406" t="s">
        <v>94</v>
      </c>
      <c r="DU406" t="s">
        <v>94</v>
      </c>
      <c r="DV406" t="s">
        <v>94</v>
      </c>
      <c r="DW406" t="s">
        <v>94</v>
      </c>
      <c r="DX406" s="2" t="s">
        <v>94</v>
      </c>
      <c r="DY406" t="s">
        <v>94</v>
      </c>
      <c r="DZ406" t="s">
        <v>94</v>
      </c>
      <c r="EA406" t="s">
        <v>94</v>
      </c>
      <c r="EB406" t="s">
        <v>94</v>
      </c>
      <c r="EC406" t="s">
        <v>94</v>
      </c>
      <c r="ED406" t="s">
        <v>94</v>
      </c>
      <c r="EE406" t="s">
        <v>89</v>
      </c>
      <c r="EF406" t="s">
        <v>425</v>
      </c>
      <c r="EG406" t="s">
        <v>105</v>
      </c>
      <c r="EJ406" t="s">
        <v>166</v>
      </c>
      <c r="EK406" t="b">
        <v>0</v>
      </c>
      <c r="EL406" t="b">
        <v>0</v>
      </c>
      <c r="EM406" t="b">
        <v>0</v>
      </c>
    </row>
    <row r="407" spans="3:143">
      <c r="C407" s="4">
        <v>3</v>
      </c>
      <c r="D407" s="4"/>
      <c r="E407" s="4">
        <v>1</v>
      </c>
      <c r="F407" s="4">
        <v>0.17</v>
      </c>
      <c r="G407" s="5" t="s">
        <v>5412</v>
      </c>
      <c r="H407" s="4" t="s">
        <v>5415</v>
      </c>
      <c r="I407" s="4" t="s">
        <v>164</v>
      </c>
      <c r="J407" s="5"/>
      <c r="K407" s="22" t="s">
        <v>5396</v>
      </c>
      <c r="L407" s="84" t="s">
        <v>5223</v>
      </c>
      <c r="M407" s="23" t="s">
        <v>164</v>
      </c>
      <c r="N407" s="23">
        <v>43811</v>
      </c>
      <c r="O407" s="24" t="s">
        <v>102</v>
      </c>
      <c r="P407" s="24" t="s">
        <v>179</v>
      </c>
      <c r="Q407" s="24">
        <v>1</v>
      </c>
      <c r="R407" s="24">
        <v>0.17</v>
      </c>
      <c r="S407" t="s">
        <v>528</v>
      </c>
      <c r="T407">
        <v>30</v>
      </c>
      <c r="U407" s="2" t="s">
        <v>163</v>
      </c>
      <c r="V407">
        <v>43811.880439814813</v>
      </c>
      <c r="W407" s="2" t="s">
        <v>444</v>
      </c>
      <c r="X407">
        <v>43811.894432870373</v>
      </c>
      <c r="AB407" t="s">
        <v>9</v>
      </c>
      <c r="AC407" t="s">
        <v>963</v>
      </c>
      <c r="AD407" t="s">
        <v>182</v>
      </c>
      <c r="AE407">
        <v>70201043</v>
      </c>
      <c r="AF407">
        <v>70201043</v>
      </c>
      <c r="AG407" t="s">
        <v>183</v>
      </c>
      <c r="AH407" t="s">
        <v>1553</v>
      </c>
      <c r="AI407" t="s">
        <v>1553</v>
      </c>
      <c r="AJ407" t="s">
        <v>776</v>
      </c>
      <c r="AK407" t="s">
        <v>777</v>
      </c>
      <c r="AL407" t="s">
        <v>1554</v>
      </c>
      <c r="AO407" t="s">
        <v>1555</v>
      </c>
      <c r="AP407" t="s">
        <v>967</v>
      </c>
      <c r="AQ407" t="s">
        <v>1555</v>
      </c>
      <c r="AR407">
        <v>22529</v>
      </c>
      <c r="AS407">
        <v>-494073445660</v>
      </c>
      <c r="AT407" t="s">
        <v>1557</v>
      </c>
      <c r="AU407" t="s">
        <v>10</v>
      </c>
      <c r="AV407" t="s">
        <v>5397</v>
      </c>
      <c r="AW407" t="s">
        <v>5397</v>
      </c>
      <c r="AX407" t="s">
        <v>5398</v>
      </c>
      <c r="AY407" t="s">
        <v>5399</v>
      </c>
      <c r="AZ407" t="s">
        <v>5400</v>
      </c>
      <c r="BA407" t="s">
        <v>186</v>
      </c>
      <c r="BB407" t="s">
        <v>187</v>
      </c>
      <c r="BC407" t="s">
        <v>188</v>
      </c>
      <c r="BD407">
        <v>518102</v>
      </c>
      <c r="BE407" t="s">
        <v>5416</v>
      </c>
      <c r="BF407" t="s">
        <v>5401</v>
      </c>
      <c r="BG407" t="b">
        <v>0</v>
      </c>
      <c r="BH407" s="6" t="s">
        <v>5402</v>
      </c>
      <c r="BI407" t="s">
        <v>5403</v>
      </c>
      <c r="BJ407">
        <v>4453163191</v>
      </c>
      <c r="BK407" t="s">
        <v>162</v>
      </c>
      <c r="BL407" t="s">
        <v>161</v>
      </c>
      <c r="BM407" s="2"/>
      <c r="BO407" t="s">
        <v>89</v>
      </c>
      <c r="BP407">
        <v>6211120090</v>
      </c>
      <c r="BR407" t="s">
        <v>180</v>
      </c>
      <c r="BS407" t="s">
        <v>103</v>
      </c>
      <c r="BU407">
        <v>0</v>
      </c>
      <c r="BV407">
        <v>0</v>
      </c>
      <c r="BW407">
        <v>0</v>
      </c>
      <c r="BX407">
        <v>0</v>
      </c>
      <c r="BY407">
        <v>0</v>
      </c>
      <c r="BZ407">
        <v>0</v>
      </c>
      <c r="CA407">
        <v>0</v>
      </c>
      <c r="CF407" s="2"/>
      <c r="CH407" s="2"/>
      <c r="CJ407">
        <v>5.3142019950186099E+17</v>
      </c>
      <c r="CK407" t="s">
        <v>2648</v>
      </c>
      <c r="CL407">
        <v>43811.568692129629</v>
      </c>
      <c r="CO407" t="s">
        <v>11</v>
      </c>
      <c r="CP407" t="s">
        <v>5417</v>
      </c>
      <c r="CQ407" t="s">
        <v>11</v>
      </c>
      <c r="CR407">
        <v>231.34</v>
      </c>
      <c r="CV407" t="s">
        <v>190</v>
      </c>
      <c r="CW407" t="s">
        <v>12</v>
      </c>
      <c r="CX407" t="s">
        <v>12</v>
      </c>
      <c r="CY407" t="s">
        <v>12</v>
      </c>
      <c r="DA407" t="s">
        <v>104</v>
      </c>
      <c r="DD407" t="s">
        <v>93</v>
      </c>
      <c r="DQ407" t="s">
        <v>94</v>
      </c>
      <c r="DR407" t="s">
        <v>94</v>
      </c>
      <c r="DS407" t="s">
        <v>94</v>
      </c>
      <c r="DT407" t="s">
        <v>94</v>
      </c>
      <c r="DU407" t="s">
        <v>94</v>
      </c>
      <c r="DV407" t="s">
        <v>94</v>
      </c>
      <c r="DW407" t="s">
        <v>94</v>
      </c>
      <c r="DX407" s="2" t="s">
        <v>94</v>
      </c>
      <c r="DY407" t="s">
        <v>94</v>
      </c>
      <c r="DZ407" t="s">
        <v>94</v>
      </c>
      <c r="EA407" t="s">
        <v>94</v>
      </c>
      <c r="EB407" t="s">
        <v>94</v>
      </c>
      <c r="EC407" t="s">
        <v>94</v>
      </c>
      <c r="ED407" t="s">
        <v>94</v>
      </c>
      <c r="EE407" t="s">
        <v>89</v>
      </c>
      <c r="EF407" t="s">
        <v>425</v>
      </c>
      <c r="EG407" t="s">
        <v>105</v>
      </c>
      <c r="EJ407" t="s">
        <v>166</v>
      </c>
      <c r="EK407" t="b">
        <v>0</v>
      </c>
      <c r="EL407" t="b">
        <v>0</v>
      </c>
      <c r="EM407" t="b">
        <v>0</v>
      </c>
    </row>
    <row r="408" spans="3:143" ht="15">
      <c r="C408" s="82">
        <v>13</v>
      </c>
      <c r="D408" s="5"/>
      <c r="E408" s="4">
        <v>1</v>
      </c>
      <c r="F408" s="5">
        <v>3.92</v>
      </c>
      <c r="G408" s="5" t="s">
        <v>5450</v>
      </c>
      <c r="H408" s="4" t="s">
        <v>5451</v>
      </c>
      <c r="I408" s="81" t="s">
        <v>920</v>
      </c>
      <c r="J408" s="21"/>
      <c r="K408" s="22" t="s">
        <v>5418</v>
      </c>
      <c r="L408" s="84" t="s">
        <v>5278</v>
      </c>
      <c r="M408" s="23" t="s">
        <v>905</v>
      </c>
      <c r="N408" s="23">
        <v>43813</v>
      </c>
      <c r="O408" s="24" t="s">
        <v>102</v>
      </c>
      <c r="P408" s="24" t="s">
        <v>181</v>
      </c>
      <c r="Q408" s="24">
        <v>1</v>
      </c>
      <c r="R408" s="24">
        <v>3.92</v>
      </c>
      <c r="S408" t="s">
        <v>319</v>
      </c>
      <c r="T408">
        <v>330.74</v>
      </c>
      <c r="U408" s="2" t="s">
        <v>163</v>
      </c>
      <c r="V408">
        <v>43813.842442129629</v>
      </c>
      <c r="W408" s="2" t="s">
        <v>444</v>
      </c>
      <c r="X408">
        <v>43815.647916666669</v>
      </c>
      <c r="AB408" t="s">
        <v>9</v>
      </c>
      <c r="AC408" t="s">
        <v>5419</v>
      </c>
      <c r="AD408" t="s">
        <v>1602</v>
      </c>
      <c r="AE408">
        <v>102463</v>
      </c>
      <c r="AF408">
        <v>102463</v>
      </c>
      <c r="AG408" t="s">
        <v>183</v>
      </c>
      <c r="AH408" t="s">
        <v>5420</v>
      </c>
      <c r="AI408" t="s">
        <v>5420</v>
      </c>
      <c r="AJ408" t="s">
        <v>584</v>
      </c>
      <c r="AK408" t="s">
        <v>585</v>
      </c>
      <c r="AL408" t="s">
        <v>5421</v>
      </c>
      <c r="AO408" t="s">
        <v>5422</v>
      </c>
      <c r="AR408" t="s">
        <v>5423</v>
      </c>
      <c r="AS408">
        <v>602107885</v>
      </c>
      <c r="AT408" t="s">
        <v>5424</v>
      </c>
      <c r="AU408" t="s">
        <v>10</v>
      </c>
      <c r="AV408" t="s">
        <v>5425</v>
      </c>
      <c r="AW408" t="s">
        <v>5425</v>
      </c>
      <c r="AX408" t="s">
        <v>5426</v>
      </c>
      <c r="AY408" s="2" t="s">
        <v>5427</v>
      </c>
      <c r="AZ408" t="s">
        <v>5428</v>
      </c>
      <c r="BA408" t="s">
        <v>1615</v>
      </c>
      <c r="BB408" t="s">
        <v>1616</v>
      </c>
      <c r="BC408" t="s">
        <v>188</v>
      </c>
      <c r="BD408">
        <v>528415</v>
      </c>
      <c r="BE408" t="s">
        <v>5452</v>
      </c>
      <c r="BF408" t="s">
        <v>5429</v>
      </c>
      <c r="BG408" t="b">
        <v>0</v>
      </c>
      <c r="BH408" s="6" t="s">
        <v>5430</v>
      </c>
      <c r="BI408" t="s">
        <v>5431</v>
      </c>
      <c r="BJ408">
        <v>4453163191</v>
      </c>
      <c r="BK408" t="s">
        <v>162</v>
      </c>
      <c r="BL408" t="s">
        <v>161</v>
      </c>
      <c r="BM408" s="2"/>
      <c r="BO408" t="s">
        <v>89</v>
      </c>
      <c r="BP408">
        <v>74199999</v>
      </c>
      <c r="BR408" t="s">
        <v>189</v>
      </c>
      <c r="BS408" t="s">
        <v>103</v>
      </c>
      <c r="BU408">
        <v>208.44</v>
      </c>
      <c r="BV408">
        <v>328.18</v>
      </c>
      <c r="BW408">
        <v>0</v>
      </c>
      <c r="BX408">
        <v>0</v>
      </c>
      <c r="BY408">
        <v>0</v>
      </c>
      <c r="BZ408">
        <v>0</v>
      </c>
      <c r="CA408">
        <v>536.62</v>
      </c>
      <c r="CF408" s="2"/>
      <c r="CH408" s="2"/>
      <c r="CJ408">
        <v>5.3142019950187699E+17</v>
      </c>
      <c r="CK408" t="s">
        <v>2648</v>
      </c>
      <c r="CL408">
        <v>43813.578993055555</v>
      </c>
      <c r="CO408" t="s">
        <v>11</v>
      </c>
      <c r="CP408">
        <v>2316.04</v>
      </c>
      <c r="CQ408" t="s">
        <v>11</v>
      </c>
      <c r="CR408">
        <v>2316.04</v>
      </c>
      <c r="CV408" t="s">
        <v>190</v>
      </c>
      <c r="CW408" t="s">
        <v>12</v>
      </c>
      <c r="CX408" t="s">
        <v>12</v>
      </c>
      <c r="CY408" t="s">
        <v>12</v>
      </c>
      <c r="DA408" t="s">
        <v>104</v>
      </c>
      <c r="DD408" t="s">
        <v>93</v>
      </c>
      <c r="DQ408" t="s">
        <v>94</v>
      </c>
      <c r="DR408" t="s">
        <v>94</v>
      </c>
      <c r="DS408" t="s">
        <v>94</v>
      </c>
      <c r="DT408" t="s">
        <v>94</v>
      </c>
      <c r="DU408" t="s">
        <v>94</v>
      </c>
      <c r="DV408" t="s">
        <v>94</v>
      </c>
      <c r="DW408" t="s">
        <v>94</v>
      </c>
      <c r="DX408" s="2" t="s">
        <v>94</v>
      </c>
      <c r="DY408" t="s">
        <v>94</v>
      </c>
      <c r="DZ408" t="s">
        <v>94</v>
      </c>
      <c r="EA408" t="s">
        <v>94</v>
      </c>
      <c r="EB408" t="s">
        <v>94</v>
      </c>
      <c r="EC408" t="s">
        <v>94</v>
      </c>
      <c r="ED408" t="s">
        <v>94</v>
      </c>
      <c r="EE408" t="s">
        <v>89</v>
      </c>
      <c r="EF408" t="s">
        <v>425</v>
      </c>
      <c r="EG408" t="s">
        <v>105</v>
      </c>
      <c r="EJ408" t="s">
        <v>166</v>
      </c>
      <c r="EK408" t="b">
        <v>0</v>
      </c>
      <c r="EL408" t="b">
        <v>0</v>
      </c>
      <c r="EM408" t="b">
        <v>0</v>
      </c>
    </row>
    <row r="409" spans="3:143" ht="15">
      <c r="C409" s="82">
        <v>1231</v>
      </c>
      <c r="D409" s="5"/>
      <c r="E409" s="4">
        <v>1</v>
      </c>
      <c r="F409" s="5">
        <v>21.3</v>
      </c>
      <c r="G409" s="5" t="s">
        <v>5453</v>
      </c>
      <c r="H409" s="4" t="s">
        <v>5454</v>
      </c>
      <c r="I409" s="81" t="s">
        <v>164</v>
      </c>
      <c r="J409" s="21"/>
      <c r="K409" s="22" t="s">
        <v>5432</v>
      </c>
      <c r="L409" s="84" t="s">
        <v>5404</v>
      </c>
      <c r="M409" s="23" t="s">
        <v>164</v>
      </c>
      <c r="N409" s="23">
        <v>43817</v>
      </c>
      <c r="O409" s="24" t="s">
        <v>102</v>
      </c>
      <c r="P409" s="24" t="s">
        <v>181</v>
      </c>
      <c r="Q409" s="24">
        <v>1</v>
      </c>
      <c r="R409" s="24">
        <v>21.3</v>
      </c>
      <c r="S409" t="s">
        <v>372</v>
      </c>
      <c r="T409">
        <v>109.8</v>
      </c>
      <c r="U409" s="2" t="s">
        <v>163</v>
      </c>
      <c r="V409">
        <v>43817.841481481482</v>
      </c>
      <c r="W409" s="2" t="s">
        <v>444</v>
      </c>
      <c r="X409">
        <v>43817.939895833333</v>
      </c>
      <c r="AB409" t="s">
        <v>9</v>
      </c>
      <c r="AC409" t="s">
        <v>5433</v>
      </c>
      <c r="AD409" t="s">
        <v>182</v>
      </c>
      <c r="AE409">
        <v>61004</v>
      </c>
      <c r="AF409">
        <v>61004</v>
      </c>
      <c r="AG409" t="s">
        <v>183</v>
      </c>
      <c r="AH409" t="s">
        <v>5434</v>
      </c>
      <c r="AI409" t="s">
        <v>5434</v>
      </c>
      <c r="AJ409" t="s">
        <v>184</v>
      </c>
      <c r="AK409" t="s">
        <v>185</v>
      </c>
      <c r="AL409" t="s">
        <v>5435</v>
      </c>
      <c r="AM409" t="s">
        <v>5436</v>
      </c>
      <c r="AO409" t="s">
        <v>5437</v>
      </c>
      <c r="AP409" t="s">
        <v>5438</v>
      </c>
      <c r="AQ409" t="s">
        <v>5439</v>
      </c>
      <c r="AR409" t="s">
        <v>5440</v>
      </c>
      <c r="AS409">
        <v>1276679394</v>
      </c>
      <c r="AT409" t="s">
        <v>5441</v>
      </c>
      <c r="AU409" t="s">
        <v>10</v>
      </c>
      <c r="AV409" t="s">
        <v>5442</v>
      </c>
      <c r="AW409" t="s">
        <v>5442</v>
      </c>
      <c r="AX409" t="s">
        <v>5443</v>
      </c>
      <c r="AY409" s="2" t="s">
        <v>5444</v>
      </c>
      <c r="AZ409" t="s">
        <v>5445</v>
      </c>
      <c r="BA409" t="s">
        <v>271</v>
      </c>
      <c r="BB409" t="s">
        <v>272</v>
      </c>
      <c r="BC409" t="s">
        <v>188</v>
      </c>
      <c r="BD409">
        <v>518055</v>
      </c>
      <c r="BE409" t="s">
        <v>5446</v>
      </c>
      <c r="BF409" t="s">
        <v>5447</v>
      </c>
      <c r="BG409" t="b">
        <v>0</v>
      </c>
      <c r="BH409" s="6" t="s">
        <v>5448</v>
      </c>
      <c r="BI409" t="s">
        <v>5449</v>
      </c>
      <c r="BJ409">
        <v>4453163191</v>
      </c>
      <c r="BK409" t="s">
        <v>162</v>
      </c>
      <c r="BL409" t="s">
        <v>161</v>
      </c>
      <c r="BM409" s="2"/>
      <c r="BO409" t="s">
        <v>89</v>
      </c>
      <c r="BP409">
        <v>3907999990</v>
      </c>
      <c r="BR409" t="s">
        <v>180</v>
      </c>
      <c r="BS409" t="s">
        <v>103</v>
      </c>
      <c r="BU409">
        <v>64.22</v>
      </c>
      <c r="BV409">
        <v>136.79</v>
      </c>
      <c r="BW409">
        <v>0</v>
      </c>
      <c r="BX409">
        <v>0</v>
      </c>
      <c r="BY409">
        <v>0</v>
      </c>
      <c r="BZ409">
        <v>0</v>
      </c>
      <c r="CA409">
        <v>201.01</v>
      </c>
      <c r="CF409" s="2"/>
      <c r="CH409" s="2"/>
      <c r="CJ409">
        <v>5.3142019950189901E+17</v>
      </c>
      <c r="CK409" t="s">
        <v>2648</v>
      </c>
      <c r="CL409">
        <v>43817.376122685186</v>
      </c>
      <c r="CO409" t="s">
        <v>11</v>
      </c>
      <c r="CP409">
        <v>988.02</v>
      </c>
      <c r="CQ409" t="s">
        <v>11</v>
      </c>
      <c r="CR409">
        <v>988.02</v>
      </c>
      <c r="CV409" t="s">
        <v>190</v>
      </c>
      <c r="CW409" t="s">
        <v>12</v>
      </c>
      <c r="CX409" t="s">
        <v>12</v>
      </c>
      <c r="CY409" t="s">
        <v>12</v>
      </c>
      <c r="DA409" t="s">
        <v>104</v>
      </c>
      <c r="DD409" t="s">
        <v>93</v>
      </c>
      <c r="DQ409" t="s">
        <v>94</v>
      </c>
      <c r="DR409" t="s">
        <v>94</v>
      </c>
      <c r="DS409" t="s">
        <v>94</v>
      </c>
      <c r="DT409" t="s">
        <v>94</v>
      </c>
      <c r="DU409" t="s">
        <v>94</v>
      </c>
      <c r="DV409" t="s">
        <v>94</v>
      </c>
      <c r="DW409" t="s">
        <v>94</v>
      </c>
      <c r="DX409" s="2" t="s">
        <v>94</v>
      </c>
      <c r="DY409" t="s">
        <v>94</v>
      </c>
      <c r="DZ409" t="s">
        <v>94</v>
      </c>
      <c r="EA409" t="s">
        <v>94</v>
      </c>
      <c r="EB409" t="s">
        <v>94</v>
      </c>
      <c r="EC409" t="s">
        <v>94</v>
      </c>
      <c r="ED409" t="s">
        <v>94</v>
      </c>
      <c r="EE409" t="s">
        <v>89</v>
      </c>
      <c r="EF409" t="s">
        <v>425</v>
      </c>
      <c r="EG409" t="s">
        <v>105</v>
      </c>
      <c r="EJ409" t="s">
        <v>166</v>
      </c>
      <c r="EK409" t="b">
        <v>0</v>
      </c>
      <c r="EL409" t="b">
        <v>0</v>
      </c>
      <c r="EM409" t="b">
        <v>0</v>
      </c>
    </row>
    <row r="410" spans="3:143" ht="15">
      <c r="C410" s="82">
        <v>242</v>
      </c>
      <c r="D410" s="5"/>
      <c r="E410" s="4">
        <v>1</v>
      </c>
      <c r="F410" s="5">
        <v>0.8</v>
      </c>
      <c r="G410" s="5" t="s">
        <v>5533</v>
      </c>
      <c r="H410" s="4" t="s">
        <v>4827</v>
      </c>
      <c r="I410" s="81" t="s">
        <v>817</v>
      </c>
      <c r="J410" s="21"/>
      <c r="K410" s="22" t="s">
        <v>5455</v>
      </c>
      <c r="L410" s="84" t="s">
        <v>4968</v>
      </c>
      <c r="M410" s="23" t="s">
        <v>817</v>
      </c>
      <c r="N410" s="23">
        <v>43807</v>
      </c>
      <c r="O410" s="24" t="s">
        <v>102</v>
      </c>
      <c r="P410" s="24" t="s">
        <v>179</v>
      </c>
      <c r="Q410" s="24">
        <v>1</v>
      </c>
      <c r="R410" s="24">
        <v>0.8</v>
      </c>
      <c r="S410" t="s">
        <v>319</v>
      </c>
      <c r="T410">
        <v>40</v>
      </c>
      <c r="U410" s="2" t="s">
        <v>163</v>
      </c>
      <c r="V410">
        <v>43807.824467592596</v>
      </c>
      <c r="W410" s="2" t="s">
        <v>444</v>
      </c>
      <c r="X410">
        <v>43809.438668981478</v>
      </c>
      <c r="AB410" t="s">
        <v>9</v>
      </c>
      <c r="AC410" t="s">
        <v>2784</v>
      </c>
      <c r="AD410" t="s">
        <v>182</v>
      </c>
      <c r="AE410">
        <v>576882</v>
      </c>
      <c r="AF410">
        <v>576882</v>
      </c>
      <c r="AG410" t="s">
        <v>183</v>
      </c>
      <c r="AH410" t="s">
        <v>5456</v>
      </c>
      <c r="AI410" t="s">
        <v>5456</v>
      </c>
      <c r="AJ410" t="s">
        <v>2786</v>
      </c>
      <c r="AK410" t="s">
        <v>2787</v>
      </c>
      <c r="AL410" t="s">
        <v>5457</v>
      </c>
      <c r="AM410" t="s">
        <v>5458</v>
      </c>
      <c r="AO410" t="s">
        <v>3951</v>
      </c>
      <c r="AP410" t="s">
        <v>2791</v>
      </c>
      <c r="AQ410" t="s">
        <v>3952</v>
      </c>
      <c r="AR410" t="s">
        <v>5534</v>
      </c>
      <c r="AS410" t="s">
        <v>5535</v>
      </c>
      <c r="AT410" t="s">
        <v>5459</v>
      </c>
      <c r="AU410" t="s">
        <v>10</v>
      </c>
      <c r="AV410" t="s">
        <v>5460</v>
      </c>
      <c r="AW410" t="s">
        <v>5460</v>
      </c>
      <c r="AX410" t="s">
        <v>5461</v>
      </c>
      <c r="AY410" s="2" t="s">
        <v>5462</v>
      </c>
      <c r="AZ410" t="s">
        <v>5463</v>
      </c>
      <c r="BA410" t="s">
        <v>271</v>
      </c>
      <c r="BB410" t="s">
        <v>272</v>
      </c>
      <c r="BC410" t="s">
        <v>188</v>
      </c>
      <c r="BD410">
        <v>518057</v>
      </c>
      <c r="BE410" t="s">
        <v>5536</v>
      </c>
      <c r="BF410" t="s">
        <v>5464</v>
      </c>
      <c r="BG410" t="b">
        <v>0</v>
      </c>
      <c r="BH410" s="6" t="s">
        <v>5465</v>
      </c>
      <c r="BI410" t="s">
        <v>5466</v>
      </c>
      <c r="BJ410">
        <v>4453163191</v>
      </c>
      <c r="BK410" t="s">
        <v>162</v>
      </c>
      <c r="BL410" t="s">
        <v>161</v>
      </c>
      <c r="BM410" s="2"/>
      <c r="BO410" t="s">
        <v>89</v>
      </c>
      <c r="BP410">
        <v>3926909090</v>
      </c>
      <c r="BR410" t="s">
        <v>180</v>
      </c>
      <c r="BS410" t="s">
        <v>103</v>
      </c>
      <c r="BU410">
        <v>0</v>
      </c>
      <c r="BV410">
        <v>0</v>
      </c>
      <c r="BW410">
        <v>0</v>
      </c>
      <c r="BX410">
        <v>0</v>
      </c>
      <c r="BY410">
        <v>0</v>
      </c>
      <c r="BZ410">
        <v>0</v>
      </c>
      <c r="CA410">
        <v>0</v>
      </c>
      <c r="CF410" s="2"/>
      <c r="CH410" s="2"/>
      <c r="CJ410">
        <v>5.3142019950183098E+17</v>
      </c>
      <c r="CK410" t="s">
        <v>165</v>
      </c>
      <c r="CL410">
        <v>43807.379872685182</v>
      </c>
      <c r="CO410" t="s">
        <v>11</v>
      </c>
      <c r="CP410" t="s">
        <v>5537</v>
      </c>
      <c r="CQ410" t="s">
        <v>11</v>
      </c>
      <c r="CR410">
        <v>280.10000000000002</v>
      </c>
      <c r="CV410" t="s">
        <v>190</v>
      </c>
      <c r="CW410" t="s">
        <v>12</v>
      </c>
      <c r="CX410" t="s">
        <v>12</v>
      </c>
      <c r="CY410" t="s">
        <v>12</v>
      </c>
      <c r="DA410" t="s">
        <v>104</v>
      </c>
      <c r="DD410" t="s">
        <v>93</v>
      </c>
      <c r="DQ410" t="s">
        <v>94</v>
      </c>
      <c r="DR410" t="s">
        <v>94</v>
      </c>
      <c r="DS410" t="s">
        <v>94</v>
      </c>
      <c r="DT410" t="s">
        <v>94</v>
      </c>
      <c r="DU410" t="s">
        <v>94</v>
      </c>
      <c r="DV410" t="s">
        <v>94</v>
      </c>
      <c r="DW410" t="s">
        <v>94</v>
      </c>
      <c r="DX410" s="2" t="s">
        <v>94</v>
      </c>
      <c r="DY410" t="s">
        <v>94</v>
      </c>
      <c r="DZ410" t="s">
        <v>94</v>
      </c>
      <c r="EA410" t="s">
        <v>94</v>
      </c>
      <c r="EB410" t="s">
        <v>94</v>
      </c>
      <c r="EC410" t="s">
        <v>94</v>
      </c>
      <c r="ED410" t="s">
        <v>94</v>
      </c>
      <c r="EE410" t="s">
        <v>89</v>
      </c>
      <c r="EF410" t="s">
        <v>425</v>
      </c>
      <c r="EG410" t="s">
        <v>105</v>
      </c>
      <c r="EJ410" t="s">
        <v>166</v>
      </c>
      <c r="EK410" t="b">
        <v>0</v>
      </c>
      <c r="EL410" t="b">
        <v>0</v>
      </c>
      <c r="EM410" t="b">
        <v>0</v>
      </c>
    </row>
    <row r="411" spans="3:143" ht="15">
      <c r="C411" s="82">
        <v>424</v>
      </c>
      <c r="D411" s="5"/>
      <c r="E411" s="4">
        <v>1</v>
      </c>
      <c r="F411" s="5">
        <v>0.32</v>
      </c>
      <c r="G411" s="5" t="s">
        <v>5538</v>
      </c>
      <c r="H411" s="4" t="s">
        <v>5539</v>
      </c>
      <c r="I411" s="81" t="s">
        <v>164</v>
      </c>
      <c r="J411" s="21"/>
      <c r="K411" s="22" t="s">
        <v>5467</v>
      </c>
      <c r="L411" s="84" t="s">
        <v>5404</v>
      </c>
      <c r="M411" s="23" t="s">
        <v>164</v>
      </c>
      <c r="N411" s="23">
        <v>43817</v>
      </c>
      <c r="O411" s="24" t="s">
        <v>102</v>
      </c>
      <c r="P411" s="24" t="s">
        <v>179</v>
      </c>
      <c r="Q411" s="24">
        <v>1</v>
      </c>
      <c r="R411" s="24">
        <v>0.32</v>
      </c>
      <c r="S411" t="s">
        <v>528</v>
      </c>
      <c r="T411">
        <v>22</v>
      </c>
      <c r="U411" s="2" t="s">
        <v>163</v>
      </c>
      <c r="V411">
        <v>43817.841354166667</v>
      </c>
      <c r="W411" s="2" t="s">
        <v>444</v>
      </c>
      <c r="X411">
        <v>43819.598773148151</v>
      </c>
      <c r="AB411" t="s">
        <v>9</v>
      </c>
      <c r="AC411" t="s">
        <v>1124</v>
      </c>
      <c r="AD411" t="s">
        <v>191</v>
      </c>
      <c r="AE411">
        <v>2027853</v>
      </c>
      <c r="AF411">
        <v>2027853</v>
      </c>
      <c r="AG411" t="s">
        <v>183</v>
      </c>
      <c r="AH411" t="s">
        <v>5468</v>
      </c>
      <c r="AI411" t="s">
        <v>5468</v>
      </c>
      <c r="AJ411" t="s">
        <v>1127</v>
      </c>
      <c r="AK411" t="s">
        <v>1128</v>
      </c>
      <c r="AL411" t="s">
        <v>5469</v>
      </c>
      <c r="AO411" t="s">
        <v>5470</v>
      </c>
      <c r="AP411" t="s">
        <v>1131</v>
      </c>
      <c r="AR411" t="s">
        <v>5540</v>
      </c>
      <c r="AS411" t="s">
        <v>5471</v>
      </c>
      <c r="AT411" t="s">
        <v>5472</v>
      </c>
      <c r="AU411" t="s">
        <v>10</v>
      </c>
      <c r="AV411" t="s">
        <v>5473</v>
      </c>
      <c r="AW411" t="s">
        <v>5473</v>
      </c>
      <c r="AX411" t="s">
        <v>5474</v>
      </c>
      <c r="AY411" s="2" t="s">
        <v>5475</v>
      </c>
      <c r="AZ411" t="s">
        <v>1083</v>
      </c>
      <c r="BA411" t="s">
        <v>726</v>
      </c>
      <c r="BB411" t="s">
        <v>192</v>
      </c>
      <c r="BC411" t="s">
        <v>188</v>
      </c>
      <c r="BD411">
        <v>523800</v>
      </c>
      <c r="BE411" t="s">
        <v>5541</v>
      </c>
      <c r="BF411" t="s">
        <v>5476</v>
      </c>
      <c r="BG411" t="b">
        <v>0</v>
      </c>
      <c r="BH411" s="6" t="s">
        <v>5477</v>
      </c>
      <c r="BI411" t="s">
        <v>5478</v>
      </c>
      <c r="BJ411">
        <v>4453163191</v>
      </c>
      <c r="BK411" t="s">
        <v>162</v>
      </c>
      <c r="BL411" t="s">
        <v>161</v>
      </c>
      <c r="BM411" s="2"/>
      <c r="BO411" t="s">
        <v>89</v>
      </c>
      <c r="BP411">
        <v>32041700</v>
      </c>
      <c r="BR411" t="s">
        <v>180</v>
      </c>
      <c r="BS411" t="s">
        <v>103</v>
      </c>
      <c r="BU411">
        <v>0</v>
      </c>
      <c r="BV411">
        <v>0</v>
      </c>
      <c r="BW411">
        <v>0</v>
      </c>
      <c r="BX411">
        <v>0</v>
      </c>
      <c r="BY411">
        <v>0</v>
      </c>
      <c r="BZ411">
        <v>0</v>
      </c>
      <c r="CA411">
        <v>0</v>
      </c>
      <c r="CF411" s="2"/>
      <c r="CH411" s="2"/>
      <c r="CJ411">
        <v>5.3142019950189901E+17</v>
      </c>
      <c r="CK411" t="s">
        <v>2648</v>
      </c>
      <c r="CL411">
        <v>43817.3747337963</v>
      </c>
      <c r="CO411" t="s">
        <v>11</v>
      </c>
      <c r="CP411" t="s">
        <v>5542</v>
      </c>
      <c r="CQ411" t="s">
        <v>11</v>
      </c>
      <c r="CR411">
        <v>169.65</v>
      </c>
      <c r="CV411" t="s">
        <v>190</v>
      </c>
      <c r="CW411" t="s">
        <v>12</v>
      </c>
      <c r="CX411" t="s">
        <v>12</v>
      </c>
      <c r="CY411" t="s">
        <v>12</v>
      </c>
      <c r="DA411" t="s">
        <v>104</v>
      </c>
      <c r="DD411" t="s">
        <v>93</v>
      </c>
      <c r="DQ411" t="s">
        <v>94</v>
      </c>
      <c r="DR411" t="s">
        <v>94</v>
      </c>
      <c r="DS411" t="s">
        <v>94</v>
      </c>
      <c r="DT411" t="s">
        <v>94</v>
      </c>
      <c r="DU411" t="s">
        <v>94</v>
      </c>
      <c r="DV411" t="s">
        <v>94</v>
      </c>
      <c r="DW411" t="s">
        <v>94</v>
      </c>
      <c r="DX411" s="2" t="s">
        <v>94</v>
      </c>
      <c r="DY411" t="s">
        <v>94</v>
      </c>
      <c r="DZ411" t="s">
        <v>94</v>
      </c>
      <c r="EA411" t="s">
        <v>94</v>
      </c>
      <c r="EB411" t="s">
        <v>94</v>
      </c>
      <c r="EC411" t="s">
        <v>94</v>
      </c>
      <c r="ED411" t="s">
        <v>94</v>
      </c>
      <c r="EE411" t="s">
        <v>89</v>
      </c>
      <c r="EF411" t="s">
        <v>425</v>
      </c>
      <c r="EG411" t="s">
        <v>105</v>
      </c>
      <c r="EJ411" t="s">
        <v>166</v>
      </c>
      <c r="EK411" t="b">
        <v>0</v>
      </c>
      <c r="EL411" t="b">
        <v>0</v>
      </c>
      <c r="EM411" t="b">
        <v>0</v>
      </c>
    </row>
    <row r="412" spans="3:143" ht="15">
      <c r="C412" s="82">
        <v>52</v>
      </c>
      <c r="D412" s="5"/>
      <c r="E412" s="4">
        <v>2</v>
      </c>
      <c r="F412" s="5">
        <v>31.76</v>
      </c>
      <c r="G412" s="5" t="s">
        <v>5543</v>
      </c>
      <c r="H412" s="4" t="s">
        <v>5544</v>
      </c>
      <c r="I412" s="81" t="s">
        <v>920</v>
      </c>
      <c r="J412" s="21"/>
      <c r="K412" s="22" t="s">
        <v>5479</v>
      </c>
      <c r="L412" s="84" t="s">
        <v>5480</v>
      </c>
      <c r="M412" s="23" t="s">
        <v>920</v>
      </c>
      <c r="N412" s="23">
        <v>43819</v>
      </c>
      <c r="O412" s="24" t="s">
        <v>102</v>
      </c>
      <c r="P412" s="24" t="s">
        <v>181</v>
      </c>
      <c r="Q412" s="24">
        <v>2</v>
      </c>
      <c r="R412" s="24">
        <v>31.76</v>
      </c>
      <c r="S412" t="s">
        <v>11</v>
      </c>
      <c r="T412">
        <v>1588</v>
      </c>
      <c r="U412" s="2" t="s">
        <v>163</v>
      </c>
      <c r="V412">
        <v>43819.913842592592</v>
      </c>
      <c r="W412" s="2" t="s">
        <v>444</v>
      </c>
      <c r="X412">
        <v>43819.923634259256</v>
      </c>
      <c r="AB412" t="s">
        <v>9</v>
      </c>
      <c r="AC412" t="s">
        <v>354</v>
      </c>
      <c r="AD412" t="s">
        <v>191</v>
      </c>
      <c r="AE412">
        <v>8836</v>
      </c>
      <c r="AF412">
        <v>8836</v>
      </c>
      <c r="AG412" t="s">
        <v>183</v>
      </c>
      <c r="AH412" t="s">
        <v>5481</v>
      </c>
      <c r="AI412" t="s">
        <v>5481</v>
      </c>
      <c r="AJ412" t="s">
        <v>356</v>
      </c>
      <c r="AK412" t="s">
        <v>357</v>
      </c>
      <c r="AL412" t="s">
        <v>5482</v>
      </c>
      <c r="AM412" t="s">
        <v>5483</v>
      </c>
      <c r="AN412" t="s">
        <v>5484</v>
      </c>
      <c r="AO412" t="s">
        <v>5485</v>
      </c>
      <c r="AP412" t="s">
        <v>361</v>
      </c>
      <c r="AQ412" t="s">
        <v>362</v>
      </c>
      <c r="AR412" t="s">
        <v>5545</v>
      </c>
      <c r="AS412" t="s">
        <v>5546</v>
      </c>
      <c r="AT412" t="s">
        <v>5486</v>
      </c>
      <c r="AU412" t="s">
        <v>10</v>
      </c>
      <c r="AV412" t="s">
        <v>5487</v>
      </c>
      <c r="AW412" t="s">
        <v>5487</v>
      </c>
      <c r="AX412" t="s">
        <v>5488</v>
      </c>
      <c r="AY412" s="2" t="s">
        <v>5489</v>
      </c>
      <c r="AZ412" t="s">
        <v>5490</v>
      </c>
      <c r="BA412" t="s">
        <v>371</v>
      </c>
      <c r="BB412" t="s">
        <v>192</v>
      </c>
      <c r="BC412" t="s">
        <v>188</v>
      </c>
      <c r="BD412">
        <v>523630</v>
      </c>
      <c r="BE412" t="s">
        <v>5491</v>
      </c>
      <c r="BF412" t="s">
        <v>5492</v>
      </c>
      <c r="BG412" t="b">
        <v>0</v>
      </c>
      <c r="BH412" s="6" t="s">
        <v>1018</v>
      </c>
      <c r="BI412" t="s">
        <v>5493</v>
      </c>
      <c r="BJ412">
        <v>4453163191</v>
      </c>
      <c r="BK412" t="s">
        <v>162</v>
      </c>
      <c r="BL412" t="s">
        <v>161</v>
      </c>
      <c r="BM412" s="2"/>
      <c r="BO412" t="s">
        <v>89</v>
      </c>
      <c r="BP412">
        <v>3907999990</v>
      </c>
      <c r="BR412" t="s">
        <v>189</v>
      </c>
      <c r="BS412" t="s">
        <v>103</v>
      </c>
      <c r="BU412">
        <v>103.22</v>
      </c>
      <c r="BV412">
        <v>219.86</v>
      </c>
      <c r="BW412">
        <v>0</v>
      </c>
      <c r="BX412">
        <v>0</v>
      </c>
      <c r="BY412">
        <v>0</v>
      </c>
      <c r="BZ412">
        <v>0</v>
      </c>
      <c r="CA412">
        <v>323.08</v>
      </c>
      <c r="CF412" s="2"/>
      <c r="CH412" s="2"/>
      <c r="CJ412">
        <v>5.3142019950192102E+17</v>
      </c>
      <c r="CK412" t="s">
        <v>2648</v>
      </c>
      <c r="CL412">
        <v>43819.372743055559</v>
      </c>
      <c r="CO412" t="s">
        <v>11</v>
      </c>
      <c r="CP412" t="s">
        <v>5547</v>
      </c>
      <c r="CQ412" t="s">
        <v>11</v>
      </c>
      <c r="CR412">
        <v>1588</v>
      </c>
      <c r="CV412" t="s">
        <v>190</v>
      </c>
      <c r="CW412" t="s">
        <v>12</v>
      </c>
      <c r="CX412" t="s">
        <v>12</v>
      </c>
      <c r="CY412" t="s">
        <v>12</v>
      </c>
      <c r="DA412" t="s">
        <v>104</v>
      </c>
      <c r="DD412" t="s">
        <v>93</v>
      </c>
      <c r="DQ412" t="s">
        <v>94</v>
      </c>
      <c r="DR412" t="s">
        <v>94</v>
      </c>
      <c r="DS412" t="s">
        <v>94</v>
      </c>
      <c r="DT412" t="s">
        <v>94</v>
      </c>
      <c r="DU412" t="s">
        <v>94</v>
      </c>
      <c r="DV412" t="s">
        <v>94</v>
      </c>
      <c r="DW412" t="s">
        <v>94</v>
      </c>
      <c r="DX412" s="2" t="s">
        <v>94</v>
      </c>
      <c r="DY412" t="s">
        <v>94</v>
      </c>
      <c r="DZ412" t="s">
        <v>94</v>
      </c>
      <c r="EA412" t="s">
        <v>94</v>
      </c>
      <c r="EB412" t="s">
        <v>94</v>
      </c>
      <c r="EC412" t="s">
        <v>94</v>
      </c>
      <c r="ED412" t="s">
        <v>94</v>
      </c>
      <c r="EE412" t="s">
        <v>89</v>
      </c>
      <c r="EF412" t="s">
        <v>425</v>
      </c>
      <c r="EG412" t="s">
        <v>105</v>
      </c>
      <c r="EJ412" t="s">
        <v>166</v>
      </c>
      <c r="EK412" t="b">
        <v>0</v>
      </c>
      <c r="EL412" t="b">
        <v>0</v>
      </c>
      <c r="EM412" t="b">
        <v>0</v>
      </c>
    </row>
    <row r="413" spans="3:143" ht="15">
      <c r="C413" s="82">
        <v>424</v>
      </c>
      <c r="D413" s="5"/>
      <c r="E413" s="4">
        <v>1</v>
      </c>
      <c r="F413" s="5">
        <v>0.7</v>
      </c>
      <c r="G413" s="5" t="s">
        <v>5548</v>
      </c>
      <c r="H413" s="4" t="s">
        <v>5549</v>
      </c>
      <c r="I413" s="81" t="s">
        <v>817</v>
      </c>
      <c r="J413" s="21"/>
      <c r="K413" s="22" t="s">
        <v>5494</v>
      </c>
      <c r="L413" s="84" t="s">
        <v>5495</v>
      </c>
      <c r="M413" s="23" t="s">
        <v>817</v>
      </c>
      <c r="N413" s="23">
        <v>43821</v>
      </c>
      <c r="O413" s="24" t="s">
        <v>102</v>
      </c>
      <c r="P413" s="24" t="s">
        <v>181</v>
      </c>
      <c r="Q413" s="24">
        <v>1</v>
      </c>
      <c r="R413" s="24">
        <v>0.7</v>
      </c>
      <c r="S413" t="s">
        <v>528</v>
      </c>
      <c r="T413">
        <v>63.22</v>
      </c>
      <c r="U413" s="2" t="s">
        <v>163</v>
      </c>
      <c r="V413">
        <v>43821.811261574076</v>
      </c>
      <c r="W413" s="2" t="s">
        <v>444</v>
      </c>
      <c r="X413">
        <v>43821.845902777779</v>
      </c>
      <c r="AB413" t="s">
        <v>9</v>
      </c>
      <c r="AC413" t="s">
        <v>4414</v>
      </c>
      <c r="AD413" t="s">
        <v>191</v>
      </c>
      <c r="AE413">
        <v>70170063</v>
      </c>
      <c r="AF413">
        <v>70170063</v>
      </c>
      <c r="AG413" t="s">
        <v>183</v>
      </c>
      <c r="AH413" t="s">
        <v>5496</v>
      </c>
      <c r="AI413" t="s">
        <v>5496</v>
      </c>
      <c r="AJ413" t="s">
        <v>776</v>
      </c>
      <c r="AK413" t="s">
        <v>777</v>
      </c>
      <c r="AL413" t="s">
        <v>5497</v>
      </c>
      <c r="AO413" t="s">
        <v>5498</v>
      </c>
      <c r="AP413" t="s">
        <v>4418</v>
      </c>
      <c r="AQ413" t="s">
        <v>4419</v>
      </c>
      <c r="AR413" t="s">
        <v>5550</v>
      </c>
      <c r="AS413" t="s">
        <v>5551</v>
      </c>
      <c r="AT413" t="s">
        <v>5499</v>
      </c>
      <c r="AU413" t="s">
        <v>10</v>
      </c>
      <c r="AV413" t="s">
        <v>5500</v>
      </c>
      <c r="AW413" t="s">
        <v>5500</v>
      </c>
      <c r="AX413" t="s">
        <v>5501</v>
      </c>
      <c r="AY413" s="2" t="s">
        <v>5502</v>
      </c>
      <c r="AZ413" t="s">
        <v>5503</v>
      </c>
      <c r="BA413" t="s">
        <v>371</v>
      </c>
      <c r="BB413" t="s">
        <v>192</v>
      </c>
      <c r="BC413" t="s">
        <v>188</v>
      </c>
      <c r="BD413">
        <v>523850</v>
      </c>
      <c r="BE413" t="s">
        <v>5552</v>
      </c>
      <c r="BF413" t="s">
        <v>5504</v>
      </c>
      <c r="BG413" t="b">
        <v>0</v>
      </c>
      <c r="BH413" s="6" t="s">
        <v>5505</v>
      </c>
      <c r="BI413" t="s">
        <v>5506</v>
      </c>
      <c r="BJ413">
        <v>4453163191</v>
      </c>
      <c r="BK413" t="s">
        <v>162</v>
      </c>
      <c r="BL413" t="s">
        <v>161</v>
      </c>
      <c r="BM413" s="2"/>
      <c r="BO413" t="s">
        <v>89</v>
      </c>
      <c r="BP413">
        <v>7318159001</v>
      </c>
      <c r="BR413" t="s">
        <v>180</v>
      </c>
      <c r="BS413" t="s">
        <v>103</v>
      </c>
      <c r="BU413">
        <v>0</v>
      </c>
      <c r="BV413">
        <v>68.45</v>
      </c>
      <c r="BW413">
        <v>0</v>
      </c>
      <c r="BX413">
        <v>0</v>
      </c>
      <c r="BY413">
        <v>0</v>
      </c>
      <c r="BZ413">
        <v>0</v>
      </c>
      <c r="CA413">
        <v>68.45</v>
      </c>
      <c r="CF413" s="2"/>
      <c r="CH413" s="2"/>
      <c r="CJ413">
        <v>5.3142019950192902E+17</v>
      </c>
      <c r="CK413" t="s">
        <v>445</v>
      </c>
      <c r="CL413">
        <v>43821.403414351851</v>
      </c>
      <c r="CO413" t="s">
        <v>11</v>
      </c>
      <c r="CP413" t="s">
        <v>5553</v>
      </c>
      <c r="CQ413" t="s">
        <v>11</v>
      </c>
      <c r="CR413">
        <v>487.51</v>
      </c>
      <c r="CV413" t="s">
        <v>190</v>
      </c>
      <c r="CW413" t="s">
        <v>12</v>
      </c>
      <c r="CX413" t="s">
        <v>12</v>
      </c>
      <c r="CY413" t="s">
        <v>12</v>
      </c>
      <c r="DA413" t="s">
        <v>104</v>
      </c>
      <c r="DD413" t="s">
        <v>93</v>
      </c>
      <c r="DQ413" t="s">
        <v>94</v>
      </c>
      <c r="DR413" t="s">
        <v>94</v>
      </c>
      <c r="DS413" t="s">
        <v>94</v>
      </c>
      <c r="DT413" t="s">
        <v>94</v>
      </c>
      <c r="DU413" t="s">
        <v>94</v>
      </c>
      <c r="DV413" t="s">
        <v>94</v>
      </c>
      <c r="DW413" t="s">
        <v>94</v>
      </c>
      <c r="DX413" s="2" t="s">
        <v>94</v>
      </c>
      <c r="DY413" t="s">
        <v>94</v>
      </c>
      <c r="DZ413" t="s">
        <v>94</v>
      </c>
      <c r="EA413" t="s">
        <v>94</v>
      </c>
      <c r="EB413" t="s">
        <v>94</v>
      </c>
      <c r="EC413" t="s">
        <v>94</v>
      </c>
      <c r="ED413" t="s">
        <v>94</v>
      </c>
      <c r="EE413" t="s">
        <v>89</v>
      </c>
      <c r="EF413" t="s">
        <v>425</v>
      </c>
      <c r="EG413" t="s">
        <v>105</v>
      </c>
      <c r="EJ413" t="s">
        <v>166</v>
      </c>
      <c r="EK413" t="b">
        <v>0</v>
      </c>
      <c r="EL413" t="b">
        <v>0</v>
      </c>
      <c r="EM413" t="b">
        <v>0</v>
      </c>
    </row>
    <row r="414" spans="3:143" ht="15">
      <c r="C414" s="82">
        <v>353</v>
      </c>
      <c r="D414" s="5"/>
      <c r="E414" s="4">
        <v>1</v>
      </c>
      <c r="F414" s="5">
        <v>3.6</v>
      </c>
      <c r="G414" s="5" t="s">
        <v>5554</v>
      </c>
      <c r="H414" s="4" t="s">
        <v>5555</v>
      </c>
      <c r="I414" s="81" t="s">
        <v>920</v>
      </c>
      <c r="J414" s="21"/>
      <c r="K414" s="22" t="s">
        <v>5507</v>
      </c>
      <c r="L414" s="84" t="s">
        <v>5508</v>
      </c>
      <c r="M414" s="23" t="s">
        <v>905</v>
      </c>
      <c r="N414" s="23">
        <v>43818</v>
      </c>
      <c r="O414" s="24" t="s">
        <v>102</v>
      </c>
      <c r="P414" s="24" t="s">
        <v>179</v>
      </c>
      <c r="Q414" s="24">
        <v>1</v>
      </c>
      <c r="R414" s="24">
        <v>3.6</v>
      </c>
      <c r="S414" t="s">
        <v>372</v>
      </c>
      <c r="T414">
        <v>35</v>
      </c>
      <c r="U414" s="2" t="s">
        <v>163</v>
      </c>
      <c r="V414">
        <v>43818.867858796293</v>
      </c>
      <c r="W414" s="2" t="s">
        <v>444</v>
      </c>
      <c r="X414">
        <v>43820.389027777775</v>
      </c>
      <c r="AB414" t="s">
        <v>9</v>
      </c>
      <c r="AC414" t="s">
        <v>3504</v>
      </c>
      <c r="AD414" t="s">
        <v>200</v>
      </c>
      <c r="AE414">
        <v>1090000</v>
      </c>
      <c r="AF414">
        <v>1090000</v>
      </c>
      <c r="AG414" t="s">
        <v>183</v>
      </c>
      <c r="AH414" t="s">
        <v>5509</v>
      </c>
      <c r="AI414" t="s">
        <v>5509</v>
      </c>
      <c r="AJ414" t="s">
        <v>184</v>
      </c>
      <c r="AK414" t="s">
        <v>185</v>
      </c>
      <c r="AL414" t="s">
        <v>5510</v>
      </c>
      <c r="AM414" t="s">
        <v>5511</v>
      </c>
      <c r="AO414" t="s">
        <v>5512</v>
      </c>
      <c r="AP414" t="s">
        <v>3509</v>
      </c>
      <c r="AQ414" t="s">
        <v>5513</v>
      </c>
      <c r="AR414" t="s">
        <v>5514</v>
      </c>
      <c r="AS414" t="s">
        <v>5515</v>
      </c>
      <c r="AT414" t="s">
        <v>1013</v>
      </c>
      <c r="AU414" t="s">
        <v>10</v>
      </c>
      <c r="AV414" t="s">
        <v>5516</v>
      </c>
      <c r="AW414" t="s">
        <v>5517</v>
      </c>
      <c r="AX414" t="s">
        <v>5518</v>
      </c>
      <c r="AY414" s="2" t="s">
        <v>5519</v>
      </c>
      <c r="BA414" t="s">
        <v>4004</v>
      </c>
      <c r="BB414" t="s">
        <v>560</v>
      </c>
      <c r="BC414" t="s">
        <v>188</v>
      </c>
      <c r="BD414">
        <v>528225</v>
      </c>
      <c r="BE414" t="s">
        <v>5556</v>
      </c>
      <c r="BF414" t="s">
        <v>5517</v>
      </c>
      <c r="BG414" t="b">
        <v>0</v>
      </c>
      <c r="BH414" s="6" t="s">
        <v>5520</v>
      </c>
      <c r="BI414" t="s">
        <v>5521</v>
      </c>
      <c r="BJ414">
        <v>4453163191</v>
      </c>
      <c r="BK414" t="s">
        <v>162</v>
      </c>
      <c r="BL414" t="s">
        <v>161</v>
      </c>
      <c r="BM414" s="2"/>
      <c r="BO414" t="s">
        <v>89</v>
      </c>
      <c r="BP414">
        <v>94054090</v>
      </c>
      <c r="BR414" t="s">
        <v>180</v>
      </c>
      <c r="BS414" t="s">
        <v>103</v>
      </c>
      <c r="BU414">
        <v>0</v>
      </c>
      <c r="BV414">
        <v>0</v>
      </c>
      <c r="BW414">
        <v>0</v>
      </c>
      <c r="BX414">
        <v>0</v>
      </c>
      <c r="BY414">
        <v>0</v>
      </c>
      <c r="BZ414">
        <v>0</v>
      </c>
      <c r="CA414">
        <v>0</v>
      </c>
      <c r="CF414" s="2"/>
      <c r="CH414" s="2"/>
      <c r="CJ414">
        <v>5.3142019950191098E+17</v>
      </c>
      <c r="CK414" t="s">
        <v>2648</v>
      </c>
      <c r="CL414">
        <v>43818.379328703704</v>
      </c>
      <c r="CO414" t="s">
        <v>11</v>
      </c>
      <c r="CP414" t="s">
        <v>5557</v>
      </c>
      <c r="CQ414" t="s">
        <v>11</v>
      </c>
      <c r="CR414">
        <v>314.94</v>
      </c>
      <c r="CV414" t="s">
        <v>190</v>
      </c>
      <c r="CW414" t="s">
        <v>12</v>
      </c>
      <c r="CX414" t="s">
        <v>12</v>
      </c>
      <c r="CY414" t="s">
        <v>12</v>
      </c>
      <c r="DA414" t="s">
        <v>104</v>
      </c>
      <c r="DD414" t="s">
        <v>93</v>
      </c>
      <c r="DQ414" t="s">
        <v>94</v>
      </c>
      <c r="DR414" t="s">
        <v>94</v>
      </c>
      <c r="DS414" t="s">
        <v>94</v>
      </c>
      <c r="DT414" t="s">
        <v>94</v>
      </c>
      <c r="DU414" t="s">
        <v>94</v>
      </c>
      <c r="DV414" t="s">
        <v>94</v>
      </c>
      <c r="DW414" t="s">
        <v>94</v>
      </c>
      <c r="DX414" s="2" t="s">
        <v>94</v>
      </c>
      <c r="DY414" t="s">
        <v>94</v>
      </c>
      <c r="DZ414" t="s">
        <v>94</v>
      </c>
      <c r="EA414" t="s">
        <v>94</v>
      </c>
      <c r="EB414" t="s">
        <v>94</v>
      </c>
      <c r="EC414" t="s">
        <v>94</v>
      </c>
      <c r="ED414" t="s">
        <v>94</v>
      </c>
      <c r="EE414" t="s">
        <v>89</v>
      </c>
      <c r="EF414" t="s">
        <v>425</v>
      </c>
      <c r="EG414" t="s">
        <v>105</v>
      </c>
      <c r="EJ414" t="s">
        <v>166</v>
      </c>
      <c r="EK414" t="b">
        <v>0</v>
      </c>
      <c r="EL414" t="b">
        <v>0</v>
      </c>
      <c r="EM414" t="b">
        <v>0</v>
      </c>
    </row>
    <row r="415" spans="3:143">
      <c r="C415" s="4">
        <v>525</v>
      </c>
      <c r="D415" s="4"/>
      <c r="E415" s="4">
        <v>1</v>
      </c>
      <c r="F415" s="4">
        <v>0.2</v>
      </c>
      <c r="G415" s="5" t="s">
        <v>5554</v>
      </c>
      <c r="H415" s="4" t="s">
        <v>5558</v>
      </c>
      <c r="I415" s="4" t="s">
        <v>920</v>
      </c>
      <c r="J415" s="5"/>
      <c r="K415" s="22" t="s">
        <v>5522</v>
      </c>
      <c r="L415" s="84" t="s">
        <v>5508</v>
      </c>
      <c r="M415" s="23" t="s">
        <v>905</v>
      </c>
      <c r="N415" s="23">
        <v>43818</v>
      </c>
      <c r="O415" s="24" t="s">
        <v>102</v>
      </c>
      <c r="P415" s="24" t="s">
        <v>179</v>
      </c>
      <c r="Q415" s="24">
        <v>1</v>
      </c>
      <c r="R415" s="24">
        <v>0.2</v>
      </c>
      <c r="S415" t="s">
        <v>11</v>
      </c>
      <c r="T415">
        <v>200</v>
      </c>
      <c r="U415" s="2" t="s">
        <v>163</v>
      </c>
      <c r="V415">
        <v>43818.867858796293</v>
      </c>
      <c r="W415" s="2" t="s">
        <v>444</v>
      </c>
      <c r="X415">
        <v>43820.389027777775</v>
      </c>
      <c r="AB415" t="s">
        <v>9</v>
      </c>
      <c r="AC415" t="s">
        <v>1230</v>
      </c>
      <c r="AD415" t="s">
        <v>182</v>
      </c>
      <c r="AE415">
        <v>70780</v>
      </c>
      <c r="AF415">
        <v>70780</v>
      </c>
      <c r="AG415" t="s">
        <v>183</v>
      </c>
      <c r="AH415" t="s">
        <v>5523</v>
      </c>
      <c r="AI415" t="s">
        <v>5523</v>
      </c>
      <c r="AJ415" t="s">
        <v>1232</v>
      </c>
      <c r="AK415" t="s">
        <v>1233</v>
      </c>
      <c r="AL415" t="s">
        <v>5524</v>
      </c>
      <c r="AM415" t="s">
        <v>5559</v>
      </c>
      <c r="AN415" t="s">
        <v>5525</v>
      </c>
      <c r="AO415" t="s">
        <v>1236</v>
      </c>
      <c r="AP415" t="s">
        <v>1233</v>
      </c>
      <c r="AR415" t="s">
        <v>5560</v>
      </c>
      <c r="AS415" t="s">
        <v>5561</v>
      </c>
      <c r="AT415" t="s">
        <v>5526</v>
      </c>
      <c r="AU415" t="s">
        <v>10</v>
      </c>
      <c r="AV415" t="s">
        <v>5527</v>
      </c>
      <c r="AW415" t="s">
        <v>5527</v>
      </c>
      <c r="AX415" t="s">
        <v>5528</v>
      </c>
      <c r="AY415" t="s">
        <v>5529</v>
      </c>
      <c r="BA415" t="s">
        <v>194</v>
      </c>
      <c r="BB415" t="s">
        <v>272</v>
      </c>
      <c r="BC415" t="s">
        <v>188</v>
      </c>
      <c r="BD415">
        <v>518000</v>
      </c>
      <c r="BE415" t="s">
        <v>5562</v>
      </c>
      <c r="BF415" t="s">
        <v>5530</v>
      </c>
      <c r="BG415" t="b">
        <v>0</v>
      </c>
      <c r="BH415" s="6" t="s">
        <v>5531</v>
      </c>
      <c r="BI415" t="s">
        <v>5532</v>
      </c>
      <c r="BJ415">
        <v>4453163191</v>
      </c>
      <c r="BK415" t="s">
        <v>162</v>
      </c>
      <c r="BL415" t="s">
        <v>161</v>
      </c>
      <c r="BM415" s="2"/>
      <c r="BO415" t="s">
        <v>89</v>
      </c>
      <c r="BP415">
        <v>83024200</v>
      </c>
      <c r="BR415" t="s">
        <v>180</v>
      </c>
      <c r="BS415" t="s">
        <v>103</v>
      </c>
      <c r="BU415">
        <v>0</v>
      </c>
      <c r="BV415">
        <v>0</v>
      </c>
      <c r="BW415">
        <v>0</v>
      </c>
      <c r="BX415">
        <v>0</v>
      </c>
      <c r="BY415">
        <v>0</v>
      </c>
      <c r="BZ415">
        <v>0</v>
      </c>
      <c r="CA415">
        <v>0</v>
      </c>
      <c r="CF415" s="2"/>
      <c r="CH415" s="2"/>
      <c r="CJ415">
        <v>5.3142019950191098E+17</v>
      </c>
      <c r="CK415" t="s">
        <v>2648</v>
      </c>
      <c r="CL415">
        <v>43818.379791666666</v>
      </c>
      <c r="CO415" t="s">
        <v>11</v>
      </c>
      <c r="CP415" t="s">
        <v>3074</v>
      </c>
      <c r="CQ415" t="s">
        <v>11</v>
      </c>
      <c r="CR415">
        <v>200</v>
      </c>
      <c r="CV415" t="s">
        <v>190</v>
      </c>
      <c r="CW415" t="s">
        <v>12</v>
      </c>
      <c r="CX415" t="s">
        <v>12</v>
      </c>
      <c r="CY415" t="s">
        <v>12</v>
      </c>
      <c r="DA415" t="s">
        <v>104</v>
      </c>
      <c r="DD415" t="s">
        <v>93</v>
      </c>
      <c r="DQ415" t="s">
        <v>94</v>
      </c>
      <c r="DR415" t="s">
        <v>94</v>
      </c>
      <c r="DS415" t="s">
        <v>94</v>
      </c>
      <c r="DT415" t="s">
        <v>94</v>
      </c>
      <c r="DU415" t="s">
        <v>94</v>
      </c>
      <c r="DV415" t="s">
        <v>94</v>
      </c>
      <c r="DW415" t="s">
        <v>94</v>
      </c>
      <c r="DX415" s="2" t="s">
        <v>94</v>
      </c>
      <c r="DY415" t="s">
        <v>94</v>
      </c>
      <c r="DZ415" t="s">
        <v>94</v>
      </c>
      <c r="EA415" t="s">
        <v>94</v>
      </c>
      <c r="EB415" t="s">
        <v>94</v>
      </c>
      <c r="EC415" t="s">
        <v>94</v>
      </c>
      <c r="ED415" t="s">
        <v>94</v>
      </c>
      <c r="EE415" t="s">
        <v>89</v>
      </c>
      <c r="EF415" t="s">
        <v>425</v>
      </c>
      <c r="EG415" t="s">
        <v>105</v>
      </c>
      <c r="EJ415" t="s">
        <v>166</v>
      </c>
      <c r="EK415" t="b">
        <v>0</v>
      </c>
      <c r="EL415" t="b">
        <v>0</v>
      </c>
      <c r="EM415" t="b">
        <v>0</v>
      </c>
    </row>
    <row r="416" spans="3:143" ht="15">
      <c r="C416" s="82">
        <v>23</v>
      </c>
      <c r="D416" s="5"/>
      <c r="E416" s="4">
        <v>1</v>
      </c>
      <c r="F416" s="5">
        <v>0.2</v>
      </c>
      <c r="G416" s="5" t="s">
        <v>5593</v>
      </c>
      <c r="H416" s="4" t="s">
        <v>5594</v>
      </c>
      <c r="I416" s="81" t="s">
        <v>920</v>
      </c>
      <c r="J416" s="21"/>
      <c r="K416" s="22" t="s">
        <v>5563</v>
      </c>
      <c r="L416" s="84" t="s">
        <v>5508</v>
      </c>
      <c r="M416" s="23" t="s">
        <v>905</v>
      </c>
      <c r="N416" s="23">
        <v>43818</v>
      </c>
      <c r="O416" s="24" t="s">
        <v>102</v>
      </c>
      <c r="P416" s="24" t="s">
        <v>179</v>
      </c>
      <c r="Q416" s="24">
        <v>1</v>
      </c>
      <c r="R416" s="24">
        <v>0.2</v>
      </c>
      <c r="S416" t="s">
        <v>528</v>
      </c>
      <c r="T416">
        <v>20</v>
      </c>
      <c r="U416" s="2" t="s">
        <v>163</v>
      </c>
      <c r="V416">
        <v>43818.86787037037</v>
      </c>
      <c r="W416" s="2" t="s">
        <v>444</v>
      </c>
      <c r="X416">
        <v>43820.389027777775</v>
      </c>
      <c r="AB416" t="s">
        <v>9</v>
      </c>
      <c r="AC416" t="s">
        <v>5564</v>
      </c>
      <c r="AD416" t="s">
        <v>182</v>
      </c>
      <c r="AE416">
        <v>8982592</v>
      </c>
      <c r="AF416">
        <v>8982592</v>
      </c>
      <c r="AG416" t="s">
        <v>183</v>
      </c>
      <c r="AH416" t="s">
        <v>5565</v>
      </c>
      <c r="AI416" t="s">
        <v>5565</v>
      </c>
      <c r="AJ416" t="s">
        <v>508</v>
      </c>
      <c r="AK416" t="s">
        <v>509</v>
      </c>
      <c r="AL416" t="s">
        <v>5566</v>
      </c>
      <c r="AM416" t="s">
        <v>5567</v>
      </c>
      <c r="AO416" t="s">
        <v>5568</v>
      </c>
      <c r="AP416" t="s">
        <v>5569</v>
      </c>
      <c r="AR416">
        <v>76270</v>
      </c>
      <c r="AS416">
        <v>232974200</v>
      </c>
      <c r="AT416" t="s">
        <v>5570</v>
      </c>
      <c r="AU416" t="s">
        <v>10</v>
      </c>
      <c r="AV416" t="s">
        <v>5571</v>
      </c>
      <c r="AW416" t="s">
        <v>5571</v>
      </c>
      <c r="AX416" t="s">
        <v>5572</v>
      </c>
      <c r="AY416" s="2" t="s">
        <v>5573</v>
      </c>
      <c r="AZ416" t="s">
        <v>5574</v>
      </c>
      <c r="BA416" t="s">
        <v>1002</v>
      </c>
      <c r="BB416" t="s">
        <v>187</v>
      </c>
      <c r="BC416" t="s">
        <v>188</v>
      </c>
      <c r="BD416">
        <v>518173</v>
      </c>
      <c r="BE416">
        <v>-86075526966318</v>
      </c>
      <c r="BF416" t="s">
        <v>5575</v>
      </c>
      <c r="BG416" t="b">
        <v>0</v>
      </c>
      <c r="BH416" s="6" t="s">
        <v>5271</v>
      </c>
      <c r="BI416" t="s">
        <v>5576</v>
      </c>
      <c r="BJ416">
        <v>4453163191</v>
      </c>
      <c r="BK416" t="s">
        <v>162</v>
      </c>
      <c r="BL416" t="s">
        <v>161</v>
      </c>
      <c r="BM416" s="2"/>
      <c r="BO416" t="s">
        <v>89</v>
      </c>
      <c r="BP416">
        <v>8501109990</v>
      </c>
      <c r="BR416" t="s">
        <v>180</v>
      </c>
      <c r="BS416" t="s">
        <v>103</v>
      </c>
      <c r="BU416">
        <v>0</v>
      </c>
      <c r="BV416">
        <v>0</v>
      </c>
      <c r="BW416">
        <v>0</v>
      </c>
      <c r="BX416">
        <v>0</v>
      </c>
      <c r="BY416">
        <v>0</v>
      </c>
      <c r="BZ416">
        <v>0</v>
      </c>
      <c r="CA416">
        <v>0</v>
      </c>
      <c r="CF416" s="2"/>
      <c r="CH416" s="2"/>
      <c r="CJ416">
        <v>5.3142019950191098E+17</v>
      </c>
      <c r="CK416" t="s">
        <v>2648</v>
      </c>
      <c r="CL416">
        <v>43818.377013888887</v>
      </c>
      <c r="CO416" t="s">
        <v>11</v>
      </c>
      <c r="CP416">
        <v>154.22999999999999</v>
      </c>
      <c r="CQ416" t="s">
        <v>11</v>
      </c>
      <c r="CR416">
        <v>154.22999999999999</v>
      </c>
      <c r="CV416" t="s">
        <v>190</v>
      </c>
      <c r="CW416" t="s">
        <v>12</v>
      </c>
      <c r="CX416" t="s">
        <v>12</v>
      </c>
      <c r="CY416" t="s">
        <v>12</v>
      </c>
      <c r="DA416" t="s">
        <v>104</v>
      </c>
      <c r="DD416" t="s">
        <v>93</v>
      </c>
      <c r="DQ416" t="s">
        <v>94</v>
      </c>
      <c r="DR416" t="s">
        <v>94</v>
      </c>
      <c r="DS416" t="s">
        <v>94</v>
      </c>
      <c r="DT416" t="s">
        <v>94</v>
      </c>
      <c r="DU416" t="s">
        <v>94</v>
      </c>
      <c r="DV416" t="s">
        <v>94</v>
      </c>
      <c r="DW416" t="s">
        <v>94</v>
      </c>
      <c r="DX416" s="2" t="s">
        <v>94</v>
      </c>
      <c r="DY416" t="s">
        <v>94</v>
      </c>
      <c r="DZ416" t="s">
        <v>94</v>
      </c>
      <c r="EA416" t="s">
        <v>94</v>
      </c>
      <c r="EB416" t="s">
        <v>94</v>
      </c>
      <c r="EC416" t="s">
        <v>94</v>
      </c>
      <c r="ED416" t="s">
        <v>94</v>
      </c>
      <c r="EE416" t="s">
        <v>89</v>
      </c>
      <c r="EF416" t="s">
        <v>425</v>
      </c>
      <c r="EG416" t="s">
        <v>105</v>
      </c>
      <c r="EJ416" t="s">
        <v>166</v>
      </c>
      <c r="EK416" t="b">
        <v>0</v>
      </c>
      <c r="EL416" t="b">
        <v>0</v>
      </c>
      <c r="EM416" t="b">
        <v>0</v>
      </c>
    </row>
    <row r="417" spans="3:143" ht="15">
      <c r="C417" s="82">
        <v>1223</v>
      </c>
      <c r="D417" s="5"/>
      <c r="E417" s="4">
        <v>1</v>
      </c>
      <c r="F417" s="5">
        <v>8.0399999999999991</v>
      </c>
      <c r="G417" s="5" t="s">
        <v>5595</v>
      </c>
      <c r="H417" s="4" t="s">
        <v>5596</v>
      </c>
      <c r="I417" s="81" t="s">
        <v>920</v>
      </c>
      <c r="J417" s="21"/>
      <c r="K417" s="22" t="s">
        <v>5577</v>
      </c>
      <c r="L417" s="84" t="s">
        <v>5480</v>
      </c>
      <c r="M417" s="23" t="s">
        <v>920</v>
      </c>
      <c r="N417" s="23">
        <v>43819</v>
      </c>
      <c r="O417" s="24" t="s">
        <v>102</v>
      </c>
      <c r="P417" s="24" t="s">
        <v>181</v>
      </c>
      <c r="Q417" s="24">
        <v>1</v>
      </c>
      <c r="R417" s="24">
        <v>8.0399999999999991</v>
      </c>
      <c r="S417" t="s">
        <v>5578</v>
      </c>
      <c r="T417">
        <v>90</v>
      </c>
      <c r="U417" s="2" t="s">
        <v>163</v>
      </c>
      <c r="V417">
        <v>43819.913703703707</v>
      </c>
      <c r="W417" s="2" t="s">
        <v>444</v>
      </c>
      <c r="X417">
        <v>43821.503437500003</v>
      </c>
      <c r="AB417" t="s">
        <v>9</v>
      </c>
      <c r="AC417" t="s">
        <v>5579</v>
      </c>
      <c r="AD417" t="s">
        <v>191</v>
      </c>
      <c r="AE417">
        <v>311774</v>
      </c>
      <c r="AF417">
        <v>311774</v>
      </c>
      <c r="AG417" t="s">
        <v>183</v>
      </c>
      <c r="AH417" t="s">
        <v>5580</v>
      </c>
      <c r="AI417" t="s">
        <v>5580</v>
      </c>
      <c r="AJ417" t="s">
        <v>5581</v>
      </c>
      <c r="AK417" t="s">
        <v>5582</v>
      </c>
      <c r="AL417" t="s">
        <v>5583</v>
      </c>
      <c r="AO417" t="s">
        <v>5584</v>
      </c>
      <c r="AP417" t="s">
        <v>5585</v>
      </c>
      <c r="AR417">
        <v>2104</v>
      </c>
      <c r="AS417">
        <v>92830097</v>
      </c>
      <c r="AT417" t="s">
        <v>5586</v>
      </c>
      <c r="AU417" t="s">
        <v>10</v>
      </c>
      <c r="AV417" t="s">
        <v>5587</v>
      </c>
      <c r="AW417" t="s">
        <v>5587</v>
      </c>
      <c r="AX417" t="s">
        <v>5588</v>
      </c>
      <c r="AY417" s="2" t="s">
        <v>5589</v>
      </c>
      <c r="AZ417" t="s">
        <v>1083</v>
      </c>
      <c r="BA417" t="s">
        <v>726</v>
      </c>
      <c r="BB417" t="s">
        <v>192</v>
      </c>
      <c r="BC417" t="s">
        <v>188</v>
      </c>
      <c r="BD417">
        <v>523221</v>
      </c>
      <c r="BE417">
        <v>7698688181588</v>
      </c>
      <c r="BF417" t="s">
        <v>5590</v>
      </c>
      <c r="BG417" t="b">
        <v>0</v>
      </c>
      <c r="BH417" s="6" t="s">
        <v>5591</v>
      </c>
      <c r="BI417" t="s">
        <v>5592</v>
      </c>
      <c r="BJ417">
        <v>4453163191</v>
      </c>
      <c r="BK417" t="s">
        <v>162</v>
      </c>
      <c r="BL417" t="s">
        <v>161</v>
      </c>
      <c r="BM417" s="2"/>
      <c r="BO417" t="s">
        <v>89</v>
      </c>
      <c r="BP417">
        <v>3921909090</v>
      </c>
      <c r="BR417" t="s">
        <v>180</v>
      </c>
      <c r="BS417" t="s">
        <v>103</v>
      </c>
      <c r="BU417">
        <v>0</v>
      </c>
      <c r="BV417">
        <v>55.28</v>
      </c>
      <c r="BW417">
        <v>0</v>
      </c>
      <c r="BX417">
        <v>0</v>
      </c>
      <c r="BY417">
        <v>0</v>
      </c>
      <c r="BZ417">
        <v>0</v>
      </c>
      <c r="CA417">
        <v>55.28</v>
      </c>
      <c r="CF417" s="2"/>
      <c r="CH417" s="2"/>
      <c r="CJ417">
        <v>5.3142019950192102E+17</v>
      </c>
      <c r="CK417" t="s">
        <v>2648</v>
      </c>
      <c r="CL417">
        <v>43819.559907407405</v>
      </c>
      <c r="CO417" t="s">
        <v>11</v>
      </c>
      <c r="CP417">
        <v>399.26</v>
      </c>
      <c r="CQ417" t="s">
        <v>11</v>
      </c>
      <c r="CR417">
        <v>399.26</v>
      </c>
      <c r="CV417" t="s">
        <v>190</v>
      </c>
      <c r="CW417" t="s">
        <v>12</v>
      </c>
      <c r="CX417" t="s">
        <v>12</v>
      </c>
      <c r="CY417" t="s">
        <v>12</v>
      </c>
      <c r="DA417" t="s">
        <v>104</v>
      </c>
      <c r="DD417" t="s">
        <v>93</v>
      </c>
      <c r="DQ417" t="s">
        <v>94</v>
      </c>
      <c r="DR417" t="s">
        <v>94</v>
      </c>
      <c r="DS417" t="s">
        <v>94</v>
      </c>
      <c r="DT417" t="s">
        <v>94</v>
      </c>
      <c r="DU417" t="s">
        <v>94</v>
      </c>
      <c r="DV417" t="s">
        <v>94</v>
      </c>
      <c r="DW417" t="s">
        <v>94</v>
      </c>
      <c r="DX417" s="2" t="s">
        <v>94</v>
      </c>
      <c r="DY417" t="s">
        <v>94</v>
      </c>
      <c r="DZ417" t="s">
        <v>94</v>
      </c>
      <c r="EA417" t="s">
        <v>94</v>
      </c>
      <c r="EB417" t="s">
        <v>94</v>
      </c>
      <c r="EC417" t="s">
        <v>94</v>
      </c>
      <c r="ED417" t="s">
        <v>94</v>
      </c>
      <c r="EE417" t="s">
        <v>89</v>
      </c>
      <c r="EF417" t="s">
        <v>425</v>
      </c>
      <c r="EG417" t="s">
        <v>105</v>
      </c>
      <c r="EJ417" t="s">
        <v>166</v>
      </c>
      <c r="EK417" t="b">
        <v>0</v>
      </c>
      <c r="EL417" t="b">
        <v>0</v>
      </c>
      <c r="EM417" t="b">
        <v>0</v>
      </c>
    </row>
    <row r="418" spans="3:143" ht="15">
      <c r="C418" s="82">
        <v>1223</v>
      </c>
      <c r="D418" s="5"/>
      <c r="E418" s="4">
        <v>1</v>
      </c>
      <c r="F418" s="5">
        <v>8.0399999999999991</v>
      </c>
      <c r="G418" s="5" t="s">
        <v>5597</v>
      </c>
      <c r="H418" s="4" t="s">
        <v>5596</v>
      </c>
      <c r="I418" s="81" t="s">
        <v>920</v>
      </c>
      <c r="J418" s="21"/>
      <c r="K418" s="22" t="s">
        <v>5577</v>
      </c>
      <c r="L418" s="84" t="s">
        <v>5480</v>
      </c>
      <c r="M418" s="23" t="s">
        <v>920</v>
      </c>
      <c r="N418" s="23">
        <v>43819</v>
      </c>
      <c r="O418" s="24" t="s">
        <v>102</v>
      </c>
      <c r="P418" s="24" t="s">
        <v>181</v>
      </c>
      <c r="Q418" s="24">
        <v>1</v>
      </c>
      <c r="R418" s="24">
        <v>8.0399999999999991</v>
      </c>
      <c r="S418" t="s">
        <v>5578</v>
      </c>
      <c r="T418">
        <v>90</v>
      </c>
      <c r="U418" s="2" t="s">
        <v>163</v>
      </c>
      <c r="V418">
        <v>43819.913703703707</v>
      </c>
      <c r="W418" s="2" t="s">
        <v>444</v>
      </c>
      <c r="X418">
        <v>43821.503437500003</v>
      </c>
      <c r="AB418" t="s">
        <v>9</v>
      </c>
      <c r="AC418" t="s">
        <v>5579</v>
      </c>
      <c r="AD418" t="s">
        <v>191</v>
      </c>
      <c r="AE418">
        <v>311774</v>
      </c>
      <c r="AF418">
        <v>311774</v>
      </c>
      <c r="AG418" t="s">
        <v>183</v>
      </c>
      <c r="AH418" t="s">
        <v>5580</v>
      </c>
      <c r="AI418" t="s">
        <v>5580</v>
      </c>
      <c r="AJ418" t="s">
        <v>5581</v>
      </c>
      <c r="AK418" t="s">
        <v>5582</v>
      </c>
      <c r="AL418" t="s">
        <v>5583</v>
      </c>
      <c r="AO418" t="s">
        <v>5584</v>
      </c>
      <c r="AP418" t="s">
        <v>5585</v>
      </c>
      <c r="AR418">
        <v>2104</v>
      </c>
      <c r="AS418">
        <v>92830097</v>
      </c>
      <c r="AT418" t="s">
        <v>5586</v>
      </c>
      <c r="AU418" t="s">
        <v>10</v>
      </c>
      <c r="AV418" t="s">
        <v>5587</v>
      </c>
      <c r="AW418" t="s">
        <v>5587</v>
      </c>
      <c r="AX418" t="s">
        <v>5588</v>
      </c>
      <c r="AY418" s="2" t="s">
        <v>5589</v>
      </c>
      <c r="AZ418" t="s">
        <v>1083</v>
      </c>
      <c r="BA418" t="s">
        <v>726</v>
      </c>
      <c r="BB418" t="s">
        <v>192</v>
      </c>
      <c r="BC418" t="s">
        <v>188</v>
      </c>
      <c r="BD418">
        <v>523221</v>
      </c>
      <c r="BE418">
        <v>7698688181588</v>
      </c>
      <c r="BF418" t="s">
        <v>5590</v>
      </c>
      <c r="BG418" t="b">
        <v>0</v>
      </c>
      <c r="BH418" s="6" t="s">
        <v>5591</v>
      </c>
      <c r="BI418" t="s">
        <v>5592</v>
      </c>
      <c r="BJ418">
        <v>4453163191</v>
      </c>
      <c r="BK418" t="s">
        <v>162</v>
      </c>
      <c r="BL418" t="s">
        <v>161</v>
      </c>
      <c r="BM418" s="2"/>
      <c r="BO418" t="s">
        <v>89</v>
      </c>
      <c r="BP418">
        <v>3921909090</v>
      </c>
      <c r="BR418" t="s">
        <v>180</v>
      </c>
      <c r="BS418" t="s">
        <v>103</v>
      </c>
      <c r="BU418">
        <v>0</v>
      </c>
      <c r="BV418">
        <v>55.28</v>
      </c>
      <c r="BW418">
        <v>0</v>
      </c>
      <c r="BX418">
        <v>0</v>
      </c>
      <c r="BY418">
        <v>0</v>
      </c>
      <c r="BZ418">
        <v>0</v>
      </c>
      <c r="CA418">
        <v>55.28</v>
      </c>
      <c r="CF418" s="2"/>
      <c r="CH418" s="2"/>
      <c r="CJ418">
        <v>5.3142019950192102E+17</v>
      </c>
      <c r="CK418" t="s">
        <v>2648</v>
      </c>
      <c r="CL418">
        <v>43819.559907407405</v>
      </c>
      <c r="CO418" t="s">
        <v>11</v>
      </c>
      <c r="CP418">
        <v>399.26</v>
      </c>
      <c r="CQ418" t="s">
        <v>11</v>
      </c>
      <c r="CR418">
        <v>399.26</v>
      </c>
      <c r="CV418" t="s">
        <v>190</v>
      </c>
      <c r="CW418" t="s">
        <v>12</v>
      </c>
      <c r="CX418" t="s">
        <v>12</v>
      </c>
      <c r="CY418" t="s">
        <v>12</v>
      </c>
      <c r="DA418" t="s">
        <v>104</v>
      </c>
      <c r="DD418" t="s">
        <v>93</v>
      </c>
      <c r="DQ418" t="s">
        <v>94</v>
      </c>
      <c r="DR418" t="s">
        <v>94</v>
      </c>
      <c r="DS418" t="s">
        <v>94</v>
      </c>
      <c r="DT418" t="s">
        <v>94</v>
      </c>
      <c r="DU418" t="s">
        <v>94</v>
      </c>
      <c r="DV418" t="s">
        <v>94</v>
      </c>
      <c r="DW418" t="s">
        <v>94</v>
      </c>
      <c r="DX418" s="2" t="s">
        <v>94</v>
      </c>
      <c r="DY418" t="s">
        <v>94</v>
      </c>
      <c r="DZ418" t="s">
        <v>94</v>
      </c>
      <c r="EA418" t="s">
        <v>94</v>
      </c>
      <c r="EB418" t="s">
        <v>94</v>
      </c>
      <c r="EC418" t="s">
        <v>94</v>
      </c>
      <c r="ED418" t="s">
        <v>94</v>
      </c>
      <c r="EE418" t="s">
        <v>89</v>
      </c>
      <c r="EF418" t="s">
        <v>425</v>
      </c>
      <c r="EG418" t="s">
        <v>105</v>
      </c>
      <c r="EJ418" t="s">
        <v>166</v>
      </c>
      <c r="EK418" t="b">
        <v>0</v>
      </c>
      <c r="EL418" t="b">
        <v>0</v>
      </c>
      <c r="EM418" t="b">
        <v>0</v>
      </c>
    </row>
    <row r="419" spans="3:143" ht="15">
      <c r="C419" s="82">
        <v>2132</v>
      </c>
      <c r="D419" s="5"/>
      <c r="E419" s="4">
        <v>1</v>
      </c>
      <c r="F419" s="5">
        <v>0.2</v>
      </c>
      <c r="G419" s="5" t="s">
        <v>5598</v>
      </c>
      <c r="H419" s="4" t="s">
        <v>5594</v>
      </c>
      <c r="I419" s="81" t="s">
        <v>920</v>
      </c>
      <c r="J419" s="21"/>
      <c r="K419" s="22" t="s">
        <v>5563</v>
      </c>
      <c r="L419" s="84" t="s">
        <v>5508</v>
      </c>
      <c r="M419" s="23" t="s">
        <v>905</v>
      </c>
      <c r="N419" s="23">
        <v>43818</v>
      </c>
      <c r="O419" s="24" t="s">
        <v>102</v>
      </c>
      <c r="P419" s="24" t="s">
        <v>179</v>
      </c>
      <c r="Q419" s="24">
        <v>1</v>
      </c>
      <c r="R419" s="24">
        <v>0.2</v>
      </c>
      <c r="S419" t="s">
        <v>528</v>
      </c>
      <c r="T419">
        <v>20</v>
      </c>
      <c r="U419" s="2" t="s">
        <v>163</v>
      </c>
      <c r="V419">
        <v>43818.86787037037</v>
      </c>
      <c r="W419" s="2" t="s">
        <v>444</v>
      </c>
      <c r="X419">
        <v>43820.389027777775</v>
      </c>
      <c r="AB419" t="s">
        <v>9</v>
      </c>
      <c r="AC419" t="s">
        <v>5564</v>
      </c>
      <c r="AD419" t="s">
        <v>182</v>
      </c>
      <c r="AE419">
        <v>8982592</v>
      </c>
      <c r="AF419">
        <v>8982592</v>
      </c>
      <c r="AG419" t="s">
        <v>183</v>
      </c>
      <c r="AH419" t="s">
        <v>5565</v>
      </c>
      <c r="AI419" t="s">
        <v>5565</v>
      </c>
      <c r="AJ419" t="s">
        <v>508</v>
      </c>
      <c r="AK419" t="s">
        <v>509</v>
      </c>
      <c r="AL419" t="s">
        <v>5566</v>
      </c>
      <c r="AM419" t="s">
        <v>5567</v>
      </c>
      <c r="AO419" t="s">
        <v>5568</v>
      </c>
      <c r="AP419" t="s">
        <v>5569</v>
      </c>
      <c r="AR419">
        <v>76270</v>
      </c>
      <c r="AS419">
        <v>232974200</v>
      </c>
      <c r="AT419" t="s">
        <v>5570</v>
      </c>
      <c r="AU419" t="s">
        <v>10</v>
      </c>
      <c r="AV419" t="s">
        <v>5571</v>
      </c>
      <c r="AW419" t="s">
        <v>5571</v>
      </c>
      <c r="AX419" t="s">
        <v>5572</v>
      </c>
      <c r="AY419" s="2" t="s">
        <v>5573</v>
      </c>
      <c r="AZ419" t="s">
        <v>5574</v>
      </c>
      <c r="BA419" t="s">
        <v>1002</v>
      </c>
      <c r="BB419" t="s">
        <v>187</v>
      </c>
      <c r="BC419" t="s">
        <v>188</v>
      </c>
      <c r="BD419">
        <v>518173</v>
      </c>
      <c r="BE419">
        <v>-86075526966318</v>
      </c>
      <c r="BF419" t="s">
        <v>5575</v>
      </c>
      <c r="BG419" t="b">
        <v>0</v>
      </c>
      <c r="BH419" s="6" t="s">
        <v>5271</v>
      </c>
      <c r="BI419" t="s">
        <v>5576</v>
      </c>
      <c r="BJ419">
        <v>4453163191</v>
      </c>
      <c r="BK419" t="s">
        <v>162</v>
      </c>
      <c r="BL419" t="s">
        <v>161</v>
      </c>
      <c r="BM419" s="2"/>
      <c r="BO419" t="s">
        <v>89</v>
      </c>
      <c r="BP419">
        <v>8501109990</v>
      </c>
      <c r="BR419" t="s">
        <v>180</v>
      </c>
      <c r="BS419" t="s">
        <v>103</v>
      </c>
      <c r="BU419">
        <v>0</v>
      </c>
      <c r="BV419">
        <v>0</v>
      </c>
      <c r="BW419">
        <v>0</v>
      </c>
      <c r="BX419">
        <v>0</v>
      </c>
      <c r="BY419">
        <v>0</v>
      </c>
      <c r="BZ419">
        <v>0</v>
      </c>
      <c r="CA419">
        <v>0</v>
      </c>
      <c r="CF419" s="2"/>
      <c r="CH419" s="2"/>
      <c r="CJ419">
        <v>5.3142019950191098E+17</v>
      </c>
      <c r="CK419" t="s">
        <v>2648</v>
      </c>
      <c r="CL419">
        <v>43818.377013888887</v>
      </c>
      <c r="CO419" t="s">
        <v>11</v>
      </c>
      <c r="CP419">
        <v>154.22999999999999</v>
      </c>
      <c r="CQ419" t="s">
        <v>11</v>
      </c>
      <c r="CR419">
        <v>154.22999999999999</v>
      </c>
      <c r="CV419" t="s">
        <v>190</v>
      </c>
      <c r="CW419" t="s">
        <v>12</v>
      </c>
      <c r="CX419" t="s">
        <v>12</v>
      </c>
      <c r="CY419" t="s">
        <v>12</v>
      </c>
      <c r="DA419" t="s">
        <v>104</v>
      </c>
      <c r="DD419" t="s">
        <v>93</v>
      </c>
      <c r="DQ419" t="s">
        <v>94</v>
      </c>
      <c r="DR419" t="s">
        <v>94</v>
      </c>
      <c r="DS419" t="s">
        <v>94</v>
      </c>
      <c r="DT419" t="s">
        <v>94</v>
      </c>
      <c r="DU419" t="s">
        <v>94</v>
      </c>
      <c r="DV419" t="s">
        <v>94</v>
      </c>
      <c r="DW419" t="s">
        <v>94</v>
      </c>
      <c r="DX419" s="2" t="s">
        <v>94</v>
      </c>
      <c r="DY419" t="s">
        <v>94</v>
      </c>
      <c r="DZ419" t="s">
        <v>94</v>
      </c>
      <c r="EA419" t="s">
        <v>94</v>
      </c>
      <c r="EB419" t="s">
        <v>94</v>
      </c>
      <c r="EC419" t="s">
        <v>94</v>
      </c>
      <c r="ED419" t="s">
        <v>94</v>
      </c>
      <c r="EE419" t="s">
        <v>89</v>
      </c>
      <c r="EF419" t="s">
        <v>425</v>
      </c>
      <c r="EG419" t="s">
        <v>105</v>
      </c>
      <c r="EJ419" t="s">
        <v>166</v>
      </c>
      <c r="EK419" t="b">
        <v>0</v>
      </c>
      <c r="EL419" t="b">
        <v>0</v>
      </c>
      <c r="EM419" t="b">
        <v>0</v>
      </c>
    </row>
    <row r="420" spans="3:143" ht="15">
      <c r="C420" s="82">
        <v>123</v>
      </c>
      <c r="D420" s="5">
        <v>8.5</v>
      </c>
      <c r="E420" s="4">
        <v>1</v>
      </c>
      <c r="F420" s="5">
        <v>8.5</v>
      </c>
      <c r="G420" s="5" t="s">
        <v>5700</v>
      </c>
      <c r="H420" s="4" t="s">
        <v>5701</v>
      </c>
      <c r="I420" s="81" t="s">
        <v>466</v>
      </c>
      <c r="J420" s="21"/>
      <c r="K420" s="22" t="s">
        <v>5623</v>
      </c>
      <c r="L420" s="84" t="s">
        <v>5624</v>
      </c>
      <c r="M420" s="23" t="s">
        <v>466</v>
      </c>
      <c r="N420" s="23">
        <v>43821</v>
      </c>
      <c r="O420" s="24" t="s">
        <v>102</v>
      </c>
      <c r="P420" s="24" t="s">
        <v>480</v>
      </c>
      <c r="Q420" s="24">
        <v>1</v>
      </c>
      <c r="R420" s="24">
        <v>4</v>
      </c>
      <c r="S420" t="s">
        <v>528</v>
      </c>
      <c r="T420">
        <v>1052.9100000000001</v>
      </c>
      <c r="U420" s="2"/>
      <c r="W420" s="2"/>
      <c r="AB420" t="s">
        <v>9</v>
      </c>
      <c r="AC420" t="s">
        <v>5625</v>
      </c>
      <c r="AD420" t="s">
        <v>182</v>
      </c>
      <c r="AE420">
        <v>103549</v>
      </c>
      <c r="AF420">
        <v>103549</v>
      </c>
      <c r="AG420" t="s">
        <v>5702</v>
      </c>
      <c r="AH420" t="s">
        <v>5626</v>
      </c>
      <c r="AI420" t="s">
        <v>5626</v>
      </c>
      <c r="AJ420" t="s">
        <v>508</v>
      </c>
      <c r="AK420" t="s">
        <v>509</v>
      </c>
      <c r="AL420" t="s">
        <v>5627</v>
      </c>
      <c r="AM420" t="s">
        <v>5628</v>
      </c>
      <c r="AO420" t="s">
        <v>5629</v>
      </c>
      <c r="AP420" t="s">
        <v>5630</v>
      </c>
      <c r="AR420" t="s">
        <v>5703</v>
      </c>
      <c r="AS420">
        <v>478190806</v>
      </c>
      <c r="AT420" t="s">
        <v>5631</v>
      </c>
      <c r="AU420" t="s">
        <v>10</v>
      </c>
      <c r="AV420" t="s">
        <v>5632</v>
      </c>
      <c r="AW420" t="s">
        <v>5632</v>
      </c>
      <c r="AX420" t="s">
        <v>5633</v>
      </c>
      <c r="AY420" s="2" t="s">
        <v>5634</v>
      </c>
      <c r="AZ420" t="s">
        <v>5635</v>
      </c>
      <c r="BA420" t="s">
        <v>2525</v>
      </c>
      <c r="BB420" t="s">
        <v>272</v>
      </c>
      <c r="BC420" t="s">
        <v>188</v>
      </c>
      <c r="BD420">
        <v>518031</v>
      </c>
      <c r="BE420" t="s">
        <v>5636</v>
      </c>
      <c r="BF420" t="s">
        <v>5637</v>
      </c>
      <c r="BG420" t="b">
        <v>0</v>
      </c>
      <c r="BH420" s="6" t="s">
        <v>3887</v>
      </c>
      <c r="BI420" t="s">
        <v>5638</v>
      </c>
      <c r="BJ420">
        <v>4453163191</v>
      </c>
      <c r="BK420" t="s">
        <v>162</v>
      </c>
      <c r="BL420" t="s">
        <v>161</v>
      </c>
      <c r="BM420" s="2"/>
      <c r="BN420">
        <v>9.1440300795418803E+17</v>
      </c>
      <c r="BR420" t="s">
        <v>189</v>
      </c>
      <c r="BU420">
        <v>0</v>
      </c>
      <c r="BV420">
        <v>0</v>
      </c>
      <c r="BW420">
        <v>0</v>
      </c>
      <c r="BX420">
        <v>0</v>
      </c>
      <c r="BY420">
        <v>0</v>
      </c>
      <c r="BZ420">
        <v>0</v>
      </c>
      <c r="CA420">
        <v>0</v>
      </c>
      <c r="CF420" s="2"/>
      <c r="CH420" s="2"/>
      <c r="CK420" t="s">
        <v>165</v>
      </c>
      <c r="CL420">
        <v>43821.380381944444</v>
      </c>
      <c r="CO420" t="s">
        <v>11</v>
      </c>
      <c r="CP420" t="s">
        <v>5704</v>
      </c>
      <c r="CQ420" t="s">
        <v>11</v>
      </c>
      <c r="CR420">
        <v>8119.3</v>
      </c>
      <c r="CV420" t="s">
        <v>525</v>
      </c>
      <c r="CW420" t="s">
        <v>12</v>
      </c>
      <c r="CX420" t="s">
        <v>12</v>
      </c>
      <c r="CY420" t="s">
        <v>12</v>
      </c>
      <c r="DA420" t="s">
        <v>104</v>
      </c>
      <c r="DD420" t="s">
        <v>93</v>
      </c>
      <c r="DQ420" t="s">
        <v>94</v>
      </c>
      <c r="DR420" t="s">
        <v>94</v>
      </c>
      <c r="DS420" t="s">
        <v>94</v>
      </c>
      <c r="DT420" t="s">
        <v>94</v>
      </c>
      <c r="DU420" t="s">
        <v>94</v>
      </c>
      <c r="DV420" t="s">
        <v>94</v>
      </c>
      <c r="DW420" t="s">
        <v>94</v>
      </c>
      <c r="DX420" s="2" t="s">
        <v>94</v>
      </c>
      <c r="DY420" t="s">
        <v>94</v>
      </c>
      <c r="DZ420" t="s">
        <v>94</v>
      </c>
      <c r="EA420" t="s">
        <v>94</v>
      </c>
      <c r="EB420" t="s">
        <v>94</v>
      </c>
      <c r="EC420" t="s">
        <v>94</v>
      </c>
      <c r="ED420" t="s">
        <v>94</v>
      </c>
      <c r="EE420" t="s">
        <v>89</v>
      </c>
      <c r="EF420" t="s">
        <v>425</v>
      </c>
      <c r="EG420" t="s">
        <v>105</v>
      </c>
      <c r="EJ420" t="s">
        <v>166</v>
      </c>
      <c r="EK420" t="b">
        <v>0</v>
      </c>
      <c r="EL420" t="b">
        <v>0</v>
      </c>
      <c r="EM420" t="b">
        <v>0</v>
      </c>
    </row>
    <row r="421" spans="3:143" ht="15">
      <c r="C421" s="82">
        <v>1313</v>
      </c>
      <c r="D421" s="5"/>
      <c r="E421" s="4">
        <v>1</v>
      </c>
      <c r="F421" s="5">
        <v>5.2</v>
      </c>
      <c r="G421" s="5" t="s">
        <v>5705</v>
      </c>
      <c r="H421" s="4" t="s">
        <v>5706</v>
      </c>
      <c r="I421" s="81" t="s">
        <v>920</v>
      </c>
      <c r="J421" s="21"/>
      <c r="K421" s="22" t="s">
        <v>5610</v>
      </c>
      <c r="L421" s="84" t="s">
        <v>5508</v>
      </c>
      <c r="M421" s="23" t="s">
        <v>905</v>
      </c>
      <c r="N421" s="23">
        <v>43818</v>
      </c>
      <c r="O421" s="24" t="s">
        <v>102</v>
      </c>
      <c r="P421" s="24" t="s">
        <v>179</v>
      </c>
      <c r="Q421" s="24">
        <v>1</v>
      </c>
      <c r="R421" s="24">
        <v>5.2</v>
      </c>
      <c r="S421" t="s">
        <v>528</v>
      </c>
      <c r="T421">
        <v>30</v>
      </c>
      <c r="U421" s="2" t="s">
        <v>163</v>
      </c>
      <c r="V421">
        <v>43818.86791666667</v>
      </c>
      <c r="W421" s="2" t="s">
        <v>444</v>
      </c>
      <c r="X421">
        <v>43820.389027777775</v>
      </c>
      <c r="AB421" t="s">
        <v>9</v>
      </c>
      <c r="AC421" t="s">
        <v>481</v>
      </c>
      <c r="AD421" t="s">
        <v>819</v>
      </c>
      <c r="AE421">
        <v>134254</v>
      </c>
      <c r="AF421">
        <v>134254</v>
      </c>
      <c r="AG421" t="s">
        <v>183</v>
      </c>
      <c r="AH421" t="s">
        <v>5611</v>
      </c>
      <c r="AI421" t="s">
        <v>5611</v>
      </c>
      <c r="AJ421" t="s">
        <v>484</v>
      </c>
      <c r="AK421" t="s">
        <v>485</v>
      </c>
      <c r="AL421" t="s">
        <v>5612</v>
      </c>
      <c r="AO421" t="s">
        <v>5613</v>
      </c>
      <c r="AP421" t="s">
        <v>488</v>
      </c>
      <c r="AQ421" t="s">
        <v>1906</v>
      </c>
      <c r="AR421" t="s">
        <v>5614</v>
      </c>
      <c r="AS421">
        <v>418636536</v>
      </c>
      <c r="AT421" t="s">
        <v>5615</v>
      </c>
      <c r="AU421" t="s">
        <v>10</v>
      </c>
      <c r="AV421" t="s">
        <v>5616</v>
      </c>
      <c r="AW421" t="s">
        <v>5616</v>
      </c>
      <c r="AX421" t="s">
        <v>5617</v>
      </c>
      <c r="AY421" s="2" t="s">
        <v>5618</v>
      </c>
      <c r="AZ421" t="s">
        <v>5619</v>
      </c>
      <c r="BA421" t="s">
        <v>831</v>
      </c>
      <c r="BB421" t="s">
        <v>832</v>
      </c>
      <c r="BC421" t="s">
        <v>188</v>
      </c>
      <c r="BD421">
        <v>519001</v>
      </c>
      <c r="BE421">
        <v>-8618023086863</v>
      </c>
      <c r="BF421" t="s">
        <v>5620</v>
      </c>
      <c r="BG421" t="b">
        <v>0</v>
      </c>
      <c r="BH421" s="6" t="s">
        <v>5621</v>
      </c>
      <c r="BI421" t="s">
        <v>5622</v>
      </c>
      <c r="BJ421">
        <v>4453163191</v>
      </c>
      <c r="BK421" t="s">
        <v>162</v>
      </c>
      <c r="BL421" t="s">
        <v>161</v>
      </c>
      <c r="BM421" s="2"/>
      <c r="BO421" t="s">
        <v>89</v>
      </c>
      <c r="BP421">
        <v>70139900</v>
      </c>
      <c r="BR421" t="s">
        <v>180</v>
      </c>
      <c r="BS421" t="s">
        <v>103</v>
      </c>
      <c r="BU421">
        <v>0</v>
      </c>
      <c r="BV421">
        <v>0</v>
      </c>
      <c r="BW421">
        <v>0</v>
      </c>
      <c r="BX421">
        <v>0</v>
      </c>
      <c r="BY421">
        <v>0</v>
      </c>
      <c r="BZ421">
        <v>0</v>
      </c>
      <c r="CA421">
        <v>0</v>
      </c>
      <c r="CF421" s="2"/>
      <c r="CH421" s="2"/>
      <c r="CJ421">
        <v>5.3142019950191098E+17</v>
      </c>
      <c r="CK421" t="s">
        <v>2648</v>
      </c>
      <c r="CL421">
        <v>43818.377106481479</v>
      </c>
      <c r="CO421" t="s">
        <v>11</v>
      </c>
      <c r="CP421" t="s">
        <v>5417</v>
      </c>
      <c r="CQ421" t="s">
        <v>11</v>
      </c>
      <c r="CR421">
        <v>231.34</v>
      </c>
      <c r="CV421" t="s">
        <v>190</v>
      </c>
      <c r="CW421" t="s">
        <v>12</v>
      </c>
      <c r="CX421" t="s">
        <v>12</v>
      </c>
      <c r="CY421" t="s">
        <v>12</v>
      </c>
      <c r="DA421" t="s">
        <v>104</v>
      </c>
      <c r="DD421" t="s">
        <v>93</v>
      </c>
      <c r="DQ421" t="s">
        <v>94</v>
      </c>
      <c r="DR421" t="s">
        <v>94</v>
      </c>
      <c r="DS421" t="s">
        <v>94</v>
      </c>
      <c r="DT421" t="s">
        <v>94</v>
      </c>
      <c r="DU421" t="s">
        <v>94</v>
      </c>
      <c r="DV421" t="s">
        <v>94</v>
      </c>
      <c r="DW421" t="s">
        <v>94</v>
      </c>
      <c r="DX421" s="2" t="s">
        <v>94</v>
      </c>
      <c r="DY421" t="s">
        <v>94</v>
      </c>
      <c r="DZ421" t="s">
        <v>94</v>
      </c>
      <c r="EA421" t="s">
        <v>94</v>
      </c>
      <c r="EB421" t="s">
        <v>94</v>
      </c>
      <c r="EC421" t="s">
        <v>94</v>
      </c>
      <c r="ED421" t="s">
        <v>94</v>
      </c>
      <c r="EE421" t="s">
        <v>89</v>
      </c>
      <c r="EF421" t="s">
        <v>425</v>
      </c>
      <c r="EG421" t="s">
        <v>105</v>
      </c>
      <c r="EJ421" t="s">
        <v>166</v>
      </c>
      <c r="EK421" t="b">
        <v>0</v>
      </c>
      <c r="EL421" t="b">
        <v>0</v>
      </c>
      <c r="EM421" t="b">
        <v>0</v>
      </c>
    </row>
    <row r="422" spans="3:143" ht="15">
      <c r="C422" s="82">
        <v>3</v>
      </c>
      <c r="D422" s="5"/>
      <c r="E422" s="4">
        <v>2</v>
      </c>
      <c r="F422" s="5">
        <v>41.7</v>
      </c>
      <c r="G422" s="5" t="s">
        <v>5707</v>
      </c>
      <c r="H422" s="4" t="s">
        <v>5708</v>
      </c>
      <c r="I422" s="81" t="s">
        <v>920</v>
      </c>
      <c r="J422" s="21"/>
      <c r="K422" s="22" t="s">
        <v>5639</v>
      </c>
      <c r="L422" s="84" t="s">
        <v>5480</v>
      </c>
      <c r="M422" s="23" t="s">
        <v>920</v>
      </c>
      <c r="N422" s="23">
        <v>43819</v>
      </c>
      <c r="O422" s="24" t="s">
        <v>102</v>
      </c>
      <c r="P422" s="24" t="s">
        <v>181</v>
      </c>
      <c r="Q422" s="24">
        <v>2</v>
      </c>
      <c r="R422" s="24">
        <v>41.7</v>
      </c>
      <c r="S422" t="s">
        <v>11</v>
      </c>
      <c r="T422">
        <v>1900</v>
      </c>
      <c r="U422" s="2" t="s">
        <v>163</v>
      </c>
      <c r="V422">
        <v>43819.922291666669</v>
      </c>
      <c r="W422" s="2" t="s">
        <v>444</v>
      </c>
      <c r="X422">
        <v>43819.925023148149</v>
      </c>
      <c r="AB422" t="s">
        <v>9</v>
      </c>
      <c r="AC422" t="s">
        <v>5640</v>
      </c>
      <c r="AD422" t="s">
        <v>756</v>
      </c>
      <c r="AE422">
        <v>754878</v>
      </c>
      <c r="AF422">
        <v>754878</v>
      </c>
      <c r="AG422" t="s">
        <v>183</v>
      </c>
      <c r="AH422" t="s">
        <v>5641</v>
      </c>
      <c r="AI422" t="s">
        <v>5641</v>
      </c>
      <c r="AJ422" t="s">
        <v>2322</v>
      </c>
      <c r="AK422" t="s">
        <v>2323</v>
      </c>
      <c r="AL422" t="s">
        <v>5642</v>
      </c>
      <c r="AM422" t="s">
        <v>5643</v>
      </c>
      <c r="AN422" t="s">
        <v>5644</v>
      </c>
      <c r="AO422" t="s">
        <v>5645</v>
      </c>
      <c r="AP422" t="s">
        <v>5646</v>
      </c>
      <c r="AQ422" t="s">
        <v>5647</v>
      </c>
      <c r="AR422" t="s">
        <v>5709</v>
      </c>
      <c r="AS422">
        <v>-902626430001</v>
      </c>
      <c r="AT422" t="s">
        <v>5648</v>
      </c>
      <c r="AU422" t="s">
        <v>10</v>
      </c>
      <c r="AV422" t="s">
        <v>5649</v>
      </c>
      <c r="AW422" t="s">
        <v>5649</v>
      </c>
      <c r="AX422" t="s">
        <v>5650</v>
      </c>
      <c r="AY422" s="2" t="s">
        <v>5651</v>
      </c>
      <c r="BA422" t="s">
        <v>5652</v>
      </c>
      <c r="BB422" t="s">
        <v>766</v>
      </c>
      <c r="BC422" t="s">
        <v>765</v>
      </c>
      <c r="BD422">
        <v>402760</v>
      </c>
      <c r="BE422">
        <v>-8618996005862</v>
      </c>
      <c r="BF422" t="s">
        <v>5653</v>
      </c>
      <c r="BG422" t="b">
        <v>0</v>
      </c>
      <c r="BH422" s="6" t="s">
        <v>5654</v>
      </c>
      <c r="BI422" t="s">
        <v>5655</v>
      </c>
      <c r="BJ422">
        <v>4453163191</v>
      </c>
      <c r="BK422" t="s">
        <v>162</v>
      </c>
      <c r="BL422" t="s">
        <v>161</v>
      </c>
      <c r="BM422" s="2"/>
      <c r="BO422" t="s">
        <v>89</v>
      </c>
      <c r="BP422">
        <v>3907999990</v>
      </c>
      <c r="BR422" t="s">
        <v>180</v>
      </c>
      <c r="BS422" t="s">
        <v>103</v>
      </c>
      <c r="BU422">
        <v>123.5</v>
      </c>
      <c r="BV422">
        <v>263.06</v>
      </c>
      <c r="BW422">
        <v>0</v>
      </c>
      <c r="BX422">
        <v>0</v>
      </c>
      <c r="BY422">
        <v>0</v>
      </c>
      <c r="BZ422">
        <v>0</v>
      </c>
      <c r="CA422">
        <v>386.56</v>
      </c>
      <c r="CF422" s="2"/>
      <c r="CH422" s="2"/>
      <c r="CJ422">
        <v>5.3142019950192102E+17</v>
      </c>
      <c r="CK422" t="s">
        <v>2648</v>
      </c>
      <c r="CL422">
        <v>43819.559988425928</v>
      </c>
      <c r="CO422" t="s">
        <v>11</v>
      </c>
      <c r="CP422" t="s">
        <v>5710</v>
      </c>
      <c r="CQ422" t="s">
        <v>11</v>
      </c>
      <c r="CR422">
        <v>1900</v>
      </c>
      <c r="CV422" t="s">
        <v>190</v>
      </c>
      <c r="CW422" t="s">
        <v>12</v>
      </c>
      <c r="CX422" t="s">
        <v>12</v>
      </c>
      <c r="CY422" t="s">
        <v>12</v>
      </c>
      <c r="DA422" t="s">
        <v>104</v>
      </c>
      <c r="DD422" t="s">
        <v>93</v>
      </c>
      <c r="DQ422" t="s">
        <v>94</v>
      </c>
      <c r="DR422" t="s">
        <v>94</v>
      </c>
      <c r="DS422" t="s">
        <v>94</v>
      </c>
      <c r="DT422" t="s">
        <v>94</v>
      </c>
      <c r="DU422" t="s">
        <v>94</v>
      </c>
      <c r="DV422" t="s">
        <v>94</v>
      </c>
      <c r="DW422" t="s">
        <v>94</v>
      </c>
      <c r="DX422" s="2" t="s">
        <v>94</v>
      </c>
      <c r="DY422" t="s">
        <v>94</v>
      </c>
      <c r="DZ422" t="s">
        <v>94</v>
      </c>
      <c r="EA422" t="s">
        <v>94</v>
      </c>
      <c r="EB422" t="s">
        <v>94</v>
      </c>
      <c r="EC422" t="s">
        <v>94</v>
      </c>
      <c r="ED422" t="s">
        <v>94</v>
      </c>
      <c r="EE422" t="s">
        <v>89</v>
      </c>
      <c r="EF422" t="s">
        <v>425</v>
      </c>
      <c r="EG422" t="s">
        <v>105</v>
      </c>
      <c r="EJ422" t="s">
        <v>166</v>
      </c>
      <c r="EK422" t="b">
        <v>0</v>
      </c>
      <c r="EL422" t="b">
        <v>0</v>
      </c>
      <c r="EM422" t="b">
        <v>0</v>
      </c>
    </row>
    <row r="423" spans="3:143">
      <c r="C423" s="4">
        <v>3</v>
      </c>
      <c r="D423" s="4"/>
      <c r="E423" s="4">
        <v>1</v>
      </c>
      <c r="F423" s="4">
        <v>1.3</v>
      </c>
      <c r="G423" s="5" t="s">
        <v>5707</v>
      </c>
      <c r="H423" s="4" t="s">
        <v>5711</v>
      </c>
      <c r="I423" s="4" t="s">
        <v>920</v>
      </c>
      <c r="J423" s="5"/>
      <c r="K423" s="22" t="s">
        <v>5699</v>
      </c>
      <c r="L423" s="84" t="s">
        <v>5480</v>
      </c>
      <c r="M423" s="23" t="s">
        <v>920</v>
      </c>
      <c r="N423" s="23">
        <v>43819</v>
      </c>
      <c r="O423" s="24" t="s">
        <v>102</v>
      </c>
      <c r="P423" s="24" t="s">
        <v>179</v>
      </c>
      <c r="Q423" s="24">
        <v>1</v>
      </c>
      <c r="R423" s="24">
        <v>1.3</v>
      </c>
      <c r="S423" t="s">
        <v>372</v>
      </c>
      <c r="T423">
        <v>26.99</v>
      </c>
      <c r="U423" s="2" t="s">
        <v>163</v>
      </c>
      <c r="V423">
        <v>43819.913923611108</v>
      </c>
      <c r="W423" s="2" t="s">
        <v>444</v>
      </c>
      <c r="X423">
        <v>43819.923634259256</v>
      </c>
      <c r="AB423" t="s">
        <v>9</v>
      </c>
      <c r="AC423" t="s">
        <v>5668</v>
      </c>
      <c r="AD423" t="s">
        <v>182</v>
      </c>
      <c r="AE423">
        <v>1587119</v>
      </c>
      <c r="AF423">
        <v>1587119</v>
      </c>
      <c r="AG423" t="s">
        <v>183</v>
      </c>
      <c r="AH423" t="s">
        <v>5669</v>
      </c>
      <c r="AI423" t="s">
        <v>5669</v>
      </c>
      <c r="AJ423" t="s">
        <v>184</v>
      </c>
      <c r="AK423" t="s">
        <v>185</v>
      </c>
      <c r="AL423" t="s">
        <v>5670</v>
      </c>
      <c r="AM423" t="s">
        <v>5671</v>
      </c>
      <c r="AN423" t="s">
        <v>5672</v>
      </c>
      <c r="AO423" t="s">
        <v>5673</v>
      </c>
      <c r="AP423" t="s">
        <v>5674</v>
      </c>
      <c r="AQ423" t="s">
        <v>5675</v>
      </c>
      <c r="AR423" t="s">
        <v>5676</v>
      </c>
      <c r="AS423">
        <v>1865844314</v>
      </c>
      <c r="AT423" t="s">
        <v>5677</v>
      </c>
      <c r="AU423" t="s">
        <v>10</v>
      </c>
      <c r="AV423" t="s">
        <v>5678</v>
      </c>
      <c r="AW423" t="s">
        <v>5678</v>
      </c>
      <c r="AX423" t="s">
        <v>5679</v>
      </c>
      <c r="AY423" t="s">
        <v>5680</v>
      </c>
      <c r="AZ423" t="s">
        <v>5681</v>
      </c>
      <c r="BA423" t="s">
        <v>186</v>
      </c>
      <c r="BB423" t="s">
        <v>187</v>
      </c>
      <c r="BC423" t="s">
        <v>188</v>
      </c>
      <c r="BD423">
        <v>518103</v>
      </c>
      <c r="BE423">
        <v>8618320935401</v>
      </c>
      <c r="BF423" t="s">
        <v>5682</v>
      </c>
      <c r="BG423" t="b">
        <v>0</v>
      </c>
      <c r="BH423" s="6" t="s">
        <v>5683</v>
      </c>
      <c r="BI423" t="s">
        <v>5684</v>
      </c>
      <c r="BJ423">
        <v>4453163191</v>
      </c>
      <c r="BK423" t="s">
        <v>162</v>
      </c>
      <c r="BL423" t="s">
        <v>161</v>
      </c>
      <c r="BM423" s="2"/>
      <c r="BO423" t="s">
        <v>89</v>
      </c>
      <c r="BP423">
        <v>3907999990</v>
      </c>
      <c r="BR423" t="s">
        <v>180</v>
      </c>
      <c r="BS423" t="s">
        <v>103</v>
      </c>
      <c r="BU423">
        <v>0</v>
      </c>
      <c r="BV423">
        <v>0</v>
      </c>
      <c r="BW423">
        <v>0</v>
      </c>
      <c r="BX423">
        <v>0</v>
      </c>
      <c r="BY423">
        <v>0</v>
      </c>
      <c r="BZ423">
        <v>0</v>
      </c>
      <c r="CA423">
        <v>0</v>
      </c>
      <c r="CF423" s="2"/>
      <c r="CH423" s="2"/>
      <c r="CJ423">
        <v>5.3142019950192102E+17</v>
      </c>
      <c r="CK423" t="s">
        <v>2648</v>
      </c>
      <c r="CL423">
        <v>43819.37400462963</v>
      </c>
      <c r="CO423" t="s">
        <v>11</v>
      </c>
      <c r="CP423" t="s">
        <v>5712</v>
      </c>
      <c r="CQ423" t="s">
        <v>11</v>
      </c>
      <c r="CR423">
        <v>242.87</v>
      </c>
      <c r="CV423" t="s">
        <v>190</v>
      </c>
      <c r="CW423" t="s">
        <v>12</v>
      </c>
      <c r="CX423" t="s">
        <v>12</v>
      </c>
      <c r="CY423" t="s">
        <v>12</v>
      </c>
      <c r="DA423" t="s">
        <v>104</v>
      </c>
      <c r="DD423" t="s">
        <v>93</v>
      </c>
      <c r="DQ423" t="s">
        <v>94</v>
      </c>
      <c r="DR423" t="s">
        <v>94</v>
      </c>
      <c r="DS423" t="s">
        <v>94</v>
      </c>
      <c r="DT423" t="s">
        <v>94</v>
      </c>
      <c r="DU423" t="s">
        <v>94</v>
      </c>
      <c r="DV423" t="s">
        <v>94</v>
      </c>
      <c r="DW423" t="s">
        <v>94</v>
      </c>
      <c r="DX423" s="2" t="s">
        <v>94</v>
      </c>
      <c r="DY423" t="s">
        <v>94</v>
      </c>
      <c r="DZ423" t="s">
        <v>94</v>
      </c>
      <c r="EA423" t="s">
        <v>94</v>
      </c>
      <c r="EB423" t="s">
        <v>94</v>
      </c>
      <c r="EC423" t="s">
        <v>94</v>
      </c>
      <c r="ED423" t="s">
        <v>94</v>
      </c>
      <c r="EE423" t="s">
        <v>89</v>
      </c>
      <c r="EF423" t="s">
        <v>425</v>
      </c>
      <c r="EG423" t="s">
        <v>105</v>
      </c>
      <c r="EJ423" t="s">
        <v>166</v>
      </c>
      <c r="EK423" t="b">
        <v>0</v>
      </c>
      <c r="EL423" t="b">
        <v>0</v>
      </c>
      <c r="EM423" t="b">
        <v>0</v>
      </c>
    </row>
    <row r="424" spans="3:143">
      <c r="C424" s="4">
        <v>3</v>
      </c>
      <c r="D424" s="5"/>
      <c r="E424" s="5">
        <v>1</v>
      </c>
      <c r="F424" s="4">
        <v>6.9</v>
      </c>
      <c r="G424" s="5" t="s">
        <v>5707</v>
      </c>
      <c r="H424" s="4" t="s">
        <v>5713</v>
      </c>
      <c r="I424" s="4" t="s">
        <v>920</v>
      </c>
      <c r="J424" s="4"/>
      <c r="K424" s="22" t="s">
        <v>5685</v>
      </c>
      <c r="L424" s="84" t="s">
        <v>5480</v>
      </c>
      <c r="M424" s="23" t="s">
        <v>920</v>
      </c>
      <c r="N424" s="23">
        <v>43819</v>
      </c>
      <c r="O424" s="24" t="s">
        <v>102</v>
      </c>
      <c r="P424" s="24" t="s">
        <v>179</v>
      </c>
      <c r="Q424" s="24">
        <v>1</v>
      </c>
      <c r="R424" s="24">
        <v>6.9</v>
      </c>
      <c r="S424" t="s">
        <v>11</v>
      </c>
      <c r="T424">
        <v>350</v>
      </c>
      <c r="U424" s="2" t="s">
        <v>163</v>
      </c>
      <c r="V424">
        <v>43819.913993055554</v>
      </c>
      <c r="W424" s="2" t="s">
        <v>427</v>
      </c>
      <c r="X424">
        <v>43819.923634259256</v>
      </c>
      <c r="AB424" t="s">
        <v>9</v>
      </c>
      <c r="AC424" t="s">
        <v>5686</v>
      </c>
      <c r="AD424" t="s">
        <v>482</v>
      </c>
      <c r="AE424">
        <v>939720</v>
      </c>
      <c r="AF424">
        <v>939720</v>
      </c>
      <c r="AG424" t="s">
        <v>183</v>
      </c>
      <c r="AH424" t="s">
        <v>5687</v>
      </c>
      <c r="AI424" t="s">
        <v>5687</v>
      </c>
      <c r="AJ424" t="s">
        <v>601</v>
      </c>
      <c r="AK424" t="s">
        <v>602</v>
      </c>
      <c r="AL424" t="s">
        <v>5688</v>
      </c>
      <c r="AO424" t="s">
        <v>5689</v>
      </c>
      <c r="AP424" t="s">
        <v>5690</v>
      </c>
      <c r="AQ424" t="s">
        <v>5689</v>
      </c>
      <c r="AR424" t="s">
        <v>5714</v>
      </c>
      <c r="AS424">
        <v>0</v>
      </c>
      <c r="AT424" t="s">
        <v>5691</v>
      </c>
      <c r="AU424" t="s">
        <v>10</v>
      </c>
      <c r="AV424" t="s">
        <v>5692</v>
      </c>
      <c r="AW424" t="s">
        <v>5692</v>
      </c>
      <c r="AX424" t="s">
        <v>5693</v>
      </c>
      <c r="AY424" t="s">
        <v>5694</v>
      </c>
      <c r="BA424" t="s">
        <v>5695</v>
      </c>
      <c r="BB424" t="s">
        <v>626</v>
      </c>
      <c r="BC424" t="s">
        <v>5695</v>
      </c>
      <c r="BD424">
        <v>410003</v>
      </c>
      <c r="BE424">
        <v>15116456919</v>
      </c>
      <c r="BF424" t="s">
        <v>5696</v>
      </c>
      <c r="BG424" t="b">
        <v>0</v>
      </c>
      <c r="BH424" s="6" t="s">
        <v>5697</v>
      </c>
      <c r="BI424" t="s">
        <v>5698</v>
      </c>
      <c r="BJ424">
        <v>4453163191</v>
      </c>
      <c r="BK424" t="s">
        <v>162</v>
      </c>
      <c r="BL424" t="s">
        <v>161</v>
      </c>
      <c r="BM424" s="2"/>
      <c r="BO424" t="s">
        <v>89</v>
      </c>
      <c r="BP424">
        <v>3824999990</v>
      </c>
      <c r="BR424" t="s">
        <v>180</v>
      </c>
      <c r="BS424" t="s">
        <v>103</v>
      </c>
      <c r="BU424">
        <v>0</v>
      </c>
      <c r="BV424">
        <v>0</v>
      </c>
      <c r="BW424">
        <v>0</v>
      </c>
      <c r="BX424">
        <v>0</v>
      </c>
      <c r="BY424">
        <v>0</v>
      </c>
      <c r="BZ424">
        <v>0</v>
      </c>
      <c r="CA424">
        <v>0</v>
      </c>
      <c r="CB424" t="s">
        <v>444</v>
      </c>
      <c r="CF424" s="2"/>
      <c r="CH424" s="2"/>
      <c r="CJ424">
        <v>5.3142019950192102E+17</v>
      </c>
      <c r="CK424" t="s">
        <v>2648</v>
      </c>
      <c r="CL424">
        <v>43819.374108796299</v>
      </c>
      <c r="CO424" t="s">
        <v>11</v>
      </c>
      <c r="CP424" t="s">
        <v>5715</v>
      </c>
      <c r="CQ424" t="s">
        <v>11</v>
      </c>
      <c r="CR424">
        <v>350</v>
      </c>
      <c r="CV424" t="s">
        <v>190</v>
      </c>
      <c r="CW424" t="s">
        <v>12</v>
      </c>
      <c r="CX424" t="s">
        <v>12</v>
      </c>
      <c r="CY424" t="s">
        <v>12</v>
      </c>
      <c r="DA424" t="s">
        <v>104</v>
      </c>
      <c r="DD424" t="s">
        <v>93</v>
      </c>
      <c r="DQ424" t="s">
        <v>94</v>
      </c>
      <c r="DR424" t="s">
        <v>94</v>
      </c>
      <c r="DS424" t="s">
        <v>94</v>
      </c>
      <c r="DT424" t="s">
        <v>94</v>
      </c>
      <c r="DU424" t="s">
        <v>94</v>
      </c>
      <c r="DV424" t="s">
        <v>94</v>
      </c>
      <c r="DW424" t="s">
        <v>94</v>
      </c>
      <c r="DX424" s="2" t="s">
        <v>94</v>
      </c>
      <c r="DY424" t="s">
        <v>94</v>
      </c>
      <c r="DZ424" t="s">
        <v>94</v>
      </c>
      <c r="EA424" t="s">
        <v>94</v>
      </c>
      <c r="EB424" t="s">
        <v>94</v>
      </c>
      <c r="EC424" t="s">
        <v>94</v>
      </c>
      <c r="ED424" t="s">
        <v>94</v>
      </c>
      <c r="EE424" t="s">
        <v>89</v>
      </c>
      <c r="EF424" t="s">
        <v>425</v>
      </c>
      <c r="EG424" t="s">
        <v>105</v>
      </c>
      <c r="EJ424" t="s">
        <v>166</v>
      </c>
      <c r="EK424" t="b">
        <v>0</v>
      </c>
      <c r="EL424" t="b">
        <v>0</v>
      </c>
      <c r="EM424" t="b">
        <v>0</v>
      </c>
    </row>
    <row r="425" spans="3:143" ht="15">
      <c r="C425" s="82">
        <v>3</v>
      </c>
      <c r="D425" s="5"/>
      <c r="E425" s="4">
        <v>2</v>
      </c>
      <c r="F425" s="5">
        <v>41.7</v>
      </c>
      <c r="G425" s="5" t="s">
        <v>5716</v>
      </c>
      <c r="H425" s="4" t="s">
        <v>5708</v>
      </c>
      <c r="I425" s="81" t="s">
        <v>920</v>
      </c>
      <c r="J425" s="21"/>
      <c r="K425" s="22" t="s">
        <v>5639</v>
      </c>
      <c r="L425" s="84" t="s">
        <v>5480</v>
      </c>
      <c r="M425" s="23" t="s">
        <v>920</v>
      </c>
      <c r="N425" s="23">
        <v>43819</v>
      </c>
      <c r="O425" s="24" t="s">
        <v>102</v>
      </c>
      <c r="P425" s="24" t="s">
        <v>181</v>
      </c>
      <c r="Q425" s="24">
        <v>2</v>
      </c>
      <c r="R425" s="24">
        <v>41.7</v>
      </c>
      <c r="S425" t="s">
        <v>11</v>
      </c>
      <c r="T425">
        <v>1900</v>
      </c>
      <c r="U425" s="2" t="s">
        <v>163</v>
      </c>
      <c r="V425">
        <v>43819.922291666669</v>
      </c>
      <c r="W425" s="2" t="s">
        <v>444</v>
      </c>
      <c r="X425">
        <v>43819.925023148149</v>
      </c>
      <c r="AB425" t="s">
        <v>9</v>
      </c>
      <c r="AC425" t="s">
        <v>5640</v>
      </c>
      <c r="AD425" t="s">
        <v>756</v>
      </c>
      <c r="AE425">
        <v>754878</v>
      </c>
      <c r="AF425">
        <v>754878</v>
      </c>
      <c r="AG425" t="s">
        <v>183</v>
      </c>
      <c r="AH425" t="s">
        <v>5641</v>
      </c>
      <c r="AI425" t="s">
        <v>5641</v>
      </c>
      <c r="AJ425" t="s">
        <v>2322</v>
      </c>
      <c r="AK425" t="s">
        <v>2323</v>
      </c>
      <c r="AL425" t="s">
        <v>5642</v>
      </c>
      <c r="AM425" t="s">
        <v>5643</v>
      </c>
      <c r="AN425" t="s">
        <v>5644</v>
      </c>
      <c r="AO425" t="s">
        <v>5645</v>
      </c>
      <c r="AP425" t="s">
        <v>5646</v>
      </c>
      <c r="AQ425" t="s">
        <v>5647</v>
      </c>
      <c r="AR425" t="s">
        <v>5709</v>
      </c>
      <c r="AS425">
        <v>-902626430001</v>
      </c>
      <c r="AT425" t="s">
        <v>5648</v>
      </c>
      <c r="AU425" t="s">
        <v>10</v>
      </c>
      <c r="AV425" t="s">
        <v>5649</v>
      </c>
      <c r="AW425" t="s">
        <v>5649</v>
      </c>
      <c r="AX425" t="s">
        <v>5650</v>
      </c>
      <c r="AY425" s="2" t="s">
        <v>5651</v>
      </c>
      <c r="BA425" t="s">
        <v>5652</v>
      </c>
      <c r="BB425" t="s">
        <v>766</v>
      </c>
      <c r="BC425" t="s">
        <v>765</v>
      </c>
      <c r="BD425">
        <v>402760</v>
      </c>
      <c r="BE425">
        <v>-8618996005862</v>
      </c>
      <c r="BF425" t="s">
        <v>5653</v>
      </c>
      <c r="BG425" t="b">
        <v>0</v>
      </c>
      <c r="BH425" s="6" t="s">
        <v>5654</v>
      </c>
      <c r="BI425" t="s">
        <v>5655</v>
      </c>
      <c r="BJ425">
        <v>4453163191</v>
      </c>
      <c r="BK425" t="s">
        <v>162</v>
      </c>
      <c r="BL425" t="s">
        <v>161</v>
      </c>
      <c r="BM425" s="2"/>
      <c r="BO425" t="s">
        <v>89</v>
      </c>
      <c r="BP425">
        <v>3907999990</v>
      </c>
      <c r="BR425" t="s">
        <v>180</v>
      </c>
      <c r="BS425" t="s">
        <v>103</v>
      </c>
      <c r="BU425">
        <v>123.5</v>
      </c>
      <c r="BV425">
        <v>263.06</v>
      </c>
      <c r="BW425">
        <v>0</v>
      </c>
      <c r="BX425">
        <v>0</v>
      </c>
      <c r="BY425">
        <v>0</v>
      </c>
      <c r="BZ425">
        <v>0</v>
      </c>
      <c r="CA425">
        <v>386.56</v>
      </c>
      <c r="CF425" s="2"/>
      <c r="CH425" s="2"/>
      <c r="CJ425">
        <v>5.3142019950192102E+17</v>
      </c>
      <c r="CK425" t="s">
        <v>2648</v>
      </c>
      <c r="CL425">
        <v>43819.559988425928</v>
      </c>
      <c r="CO425" t="s">
        <v>11</v>
      </c>
      <c r="CP425" t="s">
        <v>5710</v>
      </c>
      <c r="CQ425" t="s">
        <v>11</v>
      </c>
      <c r="CR425">
        <v>1900</v>
      </c>
      <c r="CV425" t="s">
        <v>190</v>
      </c>
      <c r="CW425" t="s">
        <v>12</v>
      </c>
      <c r="CX425" t="s">
        <v>12</v>
      </c>
      <c r="CY425" t="s">
        <v>12</v>
      </c>
      <c r="DA425" t="s">
        <v>104</v>
      </c>
      <c r="DD425" t="s">
        <v>93</v>
      </c>
      <c r="DQ425" t="s">
        <v>94</v>
      </c>
      <c r="DR425" t="s">
        <v>94</v>
      </c>
      <c r="DS425" t="s">
        <v>94</v>
      </c>
      <c r="DT425" t="s">
        <v>94</v>
      </c>
      <c r="DU425" t="s">
        <v>94</v>
      </c>
      <c r="DV425" t="s">
        <v>94</v>
      </c>
      <c r="DW425" t="s">
        <v>94</v>
      </c>
      <c r="DX425" s="2" t="s">
        <v>94</v>
      </c>
      <c r="DY425" t="s">
        <v>94</v>
      </c>
      <c r="DZ425" t="s">
        <v>94</v>
      </c>
      <c r="EA425" t="s">
        <v>94</v>
      </c>
      <c r="EB425" t="s">
        <v>94</v>
      </c>
      <c r="EC425" t="s">
        <v>94</v>
      </c>
      <c r="ED425" t="s">
        <v>94</v>
      </c>
      <c r="EE425" t="s">
        <v>89</v>
      </c>
      <c r="EF425" t="s">
        <v>425</v>
      </c>
      <c r="EG425" t="s">
        <v>105</v>
      </c>
      <c r="EJ425" t="s">
        <v>166</v>
      </c>
      <c r="EK425" t="b">
        <v>0</v>
      </c>
      <c r="EL425" t="b">
        <v>0</v>
      </c>
      <c r="EM425" t="b">
        <v>0</v>
      </c>
    </row>
    <row r="426" spans="3:143">
      <c r="C426" s="4">
        <v>3</v>
      </c>
      <c r="D426" s="4"/>
      <c r="E426" s="4">
        <v>1</v>
      </c>
      <c r="F426" s="4">
        <v>1.3</v>
      </c>
      <c r="G426" s="5" t="s">
        <v>5716</v>
      </c>
      <c r="H426" s="4" t="s">
        <v>5711</v>
      </c>
      <c r="I426" s="4" t="s">
        <v>920</v>
      </c>
      <c r="J426" s="5"/>
      <c r="K426" s="22" t="s">
        <v>5699</v>
      </c>
      <c r="L426" s="84" t="s">
        <v>5480</v>
      </c>
      <c r="M426" s="23" t="s">
        <v>920</v>
      </c>
      <c r="N426" s="23">
        <v>43819</v>
      </c>
      <c r="O426" s="24" t="s">
        <v>102</v>
      </c>
      <c r="P426" s="24" t="s">
        <v>179</v>
      </c>
      <c r="Q426" s="24">
        <v>1</v>
      </c>
      <c r="R426" s="24">
        <v>1.3</v>
      </c>
      <c r="S426" t="s">
        <v>372</v>
      </c>
      <c r="T426">
        <v>26.99</v>
      </c>
      <c r="U426" s="2" t="s">
        <v>163</v>
      </c>
      <c r="V426">
        <v>43819.913923611108</v>
      </c>
      <c r="W426" s="2" t="s">
        <v>444</v>
      </c>
      <c r="X426">
        <v>43819.923634259256</v>
      </c>
      <c r="AB426" t="s">
        <v>9</v>
      </c>
      <c r="AC426" t="s">
        <v>5668</v>
      </c>
      <c r="AD426" t="s">
        <v>182</v>
      </c>
      <c r="AE426">
        <v>1587119</v>
      </c>
      <c r="AF426">
        <v>1587119</v>
      </c>
      <c r="AG426" t="s">
        <v>183</v>
      </c>
      <c r="AH426" t="s">
        <v>5669</v>
      </c>
      <c r="AI426" t="s">
        <v>5669</v>
      </c>
      <c r="AJ426" t="s">
        <v>184</v>
      </c>
      <c r="AK426" t="s">
        <v>185</v>
      </c>
      <c r="AL426" t="s">
        <v>5670</v>
      </c>
      <c r="AM426" t="s">
        <v>5671</v>
      </c>
      <c r="AN426" t="s">
        <v>5672</v>
      </c>
      <c r="AO426" t="s">
        <v>5673</v>
      </c>
      <c r="AP426" t="s">
        <v>5674</v>
      </c>
      <c r="AQ426" t="s">
        <v>5675</v>
      </c>
      <c r="AR426" t="s">
        <v>5676</v>
      </c>
      <c r="AS426">
        <v>1865844314</v>
      </c>
      <c r="AT426" t="s">
        <v>5677</v>
      </c>
      <c r="AU426" t="s">
        <v>10</v>
      </c>
      <c r="AV426" t="s">
        <v>5678</v>
      </c>
      <c r="AW426" t="s">
        <v>5678</v>
      </c>
      <c r="AX426" t="s">
        <v>5679</v>
      </c>
      <c r="AY426" t="s">
        <v>5680</v>
      </c>
      <c r="AZ426" t="s">
        <v>5681</v>
      </c>
      <c r="BA426" t="s">
        <v>186</v>
      </c>
      <c r="BB426" t="s">
        <v>187</v>
      </c>
      <c r="BC426" t="s">
        <v>188</v>
      </c>
      <c r="BD426">
        <v>518103</v>
      </c>
      <c r="BE426">
        <v>8618320935401</v>
      </c>
      <c r="BF426" t="s">
        <v>5682</v>
      </c>
      <c r="BG426" t="b">
        <v>0</v>
      </c>
      <c r="BH426" s="6" t="s">
        <v>5683</v>
      </c>
      <c r="BI426" t="s">
        <v>5684</v>
      </c>
      <c r="BJ426">
        <v>4453163191</v>
      </c>
      <c r="BK426" t="s">
        <v>162</v>
      </c>
      <c r="BL426" t="s">
        <v>161</v>
      </c>
      <c r="BM426" s="2"/>
      <c r="BO426" t="s">
        <v>89</v>
      </c>
      <c r="BP426">
        <v>3907999990</v>
      </c>
      <c r="BR426" t="s">
        <v>180</v>
      </c>
      <c r="BS426" t="s">
        <v>103</v>
      </c>
      <c r="BU426">
        <v>0</v>
      </c>
      <c r="BV426">
        <v>0</v>
      </c>
      <c r="BW426">
        <v>0</v>
      </c>
      <c r="BX426">
        <v>0</v>
      </c>
      <c r="BY426">
        <v>0</v>
      </c>
      <c r="BZ426">
        <v>0</v>
      </c>
      <c r="CA426">
        <v>0</v>
      </c>
      <c r="CF426" s="2"/>
      <c r="CH426" s="2"/>
      <c r="CJ426">
        <v>5.3142019950192102E+17</v>
      </c>
      <c r="CK426" t="s">
        <v>2648</v>
      </c>
      <c r="CL426">
        <v>43819.37400462963</v>
      </c>
      <c r="CO426" t="s">
        <v>11</v>
      </c>
      <c r="CP426" t="s">
        <v>5712</v>
      </c>
      <c r="CQ426" t="s">
        <v>11</v>
      </c>
      <c r="CR426">
        <v>242.87</v>
      </c>
      <c r="CV426" t="s">
        <v>190</v>
      </c>
      <c r="CW426" t="s">
        <v>12</v>
      </c>
      <c r="CX426" t="s">
        <v>12</v>
      </c>
      <c r="CY426" t="s">
        <v>12</v>
      </c>
      <c r="DA426" t="s">
        <v>104</v>
      </c>
      <c r="DD426" t="s">
        <v>93</v>
      </c>
      <c r="DQ426" t="s">
        <v>94</v>
      </c>
      <c r="DR426" t="s">
        <v>94</v>
      </c>
      <c r="DS426" t="s">
        <v>94</v>
      </c>
      <c r="DT426" t="s">
        <v>94</v>
      </c>
      <c r="DU426" t="s">
        <v>94</v>
      </c>
      <c r="DV426" t="s">
        <v>94</v>
      </c>
      <c r="DW426" t="s">
        <v>94</v>
      </c>
      <c r="DX426" s="2" t="s">
        <v>94</v>
      </c>
      <c r="DY426" t="s">
        <v>94</v>
      </c>
      <c r="DZ426" t="s">
        <v>94</v>
      </c>
      <c r="EA426" t="s">
        <v>94</v>
      </c>
      <c r="EB426" t="s">
        <v>94</v>
      </c>
      <c r="EC426" t="s">
        <v>94</v>
      </c>
      <c r="ED426" t="s">
        <v>94</v>
      </c>
      <c r="EE426" t="s">
        <v>89</v>
      </c>
      <c r="EF426" t="s">
        <v>425</v>
      </c>
      <c r="EG426" t="s">
        <v>105</v>
      </c>
      <c r="EJ426" t="s">
        <v>166</v>
      </c>
      <c r="EK426" t="b">
        <v>0</v>
      </c>
      <c r="EL426" t="b">
        <v>0</v>
      </c>
      <c r="EM426" t="b">
        <v>0</v>
      </c>
    </row>
    <row r="427" spans="3:143">
      <c r="C427" s="4">
        <v>3</v>
      </c>
      <c r="D427" s="5"/>
      <c r="E427" s="5">
        <v>1</v>
      </c>
      <c r="F427" s="4">
        <v>6.9</v>
      </c>
      <c r="G427" s="5" t="s">
        <v>5716</v>
      </c>
      <c r="H427" s="4" t="s">
        <v>5713</v>
      </c>
      <c r="I427" s="4" t="s">
        <v>920</v>
      </c>
      <c r="J427" s="4"/>
      <c r="K427" s="22" t="s">
        <v>5685</v>
      </c>
      <c r="L427" s="84" t="s">
        <v>5480</v>
      </c>
      <c r="M427" s="23" t="s">
        <v>920</v>
      </c>
      <c r="N427" s="23">
        <v>43819</v>
      </c>
      <c r="O427" s="24" t="s">
        <v>102</v>
      </c>
      <c r="P427" s="24" t="s">
        <v>179</v>
      </c>
      <c r="Q427" s="24">
        <v>1</v>
      </c>
      <c r="R427" s="24">
        <v>6.9</v>
      </c>
      <c r="S427" t="s">
        <v>11</v>
      </c>
      <c r="T427">
        <v>350</v>
      </c>
      <c r="U427" s="2" t="s">
        <v>163</v>
      </c>
      <c r="V427">
        <v>43819.913993055554</v>
      </c>
      <c r="W427" s="2" t="s">
        <v>427</v>
      </c>
      <c r="X427">
        <v>43819.923634259256</v>
      </c>
      <c r="AB427" t="s">
        <v>9</v>
      </c>
      <c r="AC427" t="s">
        <v>5686</v>
      </c>
      <c r="AD427" t="s">
        <v>482</v>
      </c>
      <c r="AE427">
        <v>939720</v>
      </c>
      <c r="AF427">
        <v>939720</v>
      </c>
      <c r="AG427" t="s">
        <v>183</v>
      </c>
      <c r="AH427" t="s">
        <v>5687</v>
      </c>
      <c r="AI427" t="s">
        <v>5687</v>
      </c>
      <c r="AJ427" t="s">
        <v>601</v>
      </c>
      <c r="AK427" t="s">
        <v>602</v>
      </c>
      <c r="AL427" t="s">
        <v>5688</v>
      </c>
      <c r="AO427" t="s">
        <v>5689</v>
      </c>
      <c r="AP427" t="s">
        <v>5690</v>
      </c>
      <c r="AQ427" t="s">
        <v>5689</v>
      </c>
      <c r="AR427" t="s">
        <v>5714</v>
      </c>
      <c r="AS427">
        <v>0</v>
      </c>
      <c r="AT427" t="s">
        <v>5691</v>
      </c>
      <c r="AU427" t="s">
        <v>10</v>
      </c>
      <c r="AV427" t="s">
        <v>5692</v>
      </c>
      <c r="AW427" t="s">
        <v>5692</v>
      </c>
      <c r="AX427" t="s">
        <v>5693</v>
      </c>
      <c r="AY427" t="s">
        <v>5694</v>
      </c>
      <c r="BA427" t="s">
        <v>5695</v>
      </c>
      <c r="BB427" t="s">
        <v>626</v>
      </c>
      <c r="BC427" t="s">
        <v>5695</v>
      </c>
      <c r="BD427">
        <v>410003</v>
      </c>
      <c r="BE427">
        <v>15116456919</v>
      </c>
      <c r="BF427" t="s">
        <v>5696</v>
      </c>
      <c r="BG427" t="b">
        <v>0</v>
      </c>
      <c r="BH427" s="6" t="s">
        <v>5697</v>
      </c>
      <c r="BI427" t="s">
        <v>5698</v>
      </c>
      <c r="BJ427">
        <v>4453163191</v>
      </c>
      <c r="BK427" t="s">
        <v>162</v>
      </c>
      <c r="BL427" t="s">
        <v>161</v>
      </c>
      <c r="BM427" s="2"/>
      <c r="BO427" t="s">
        <v>89</v>
      </c>
      <c r="BP427">
        <v>3824999990</v>
      </c>
      <c r="BR427" t="s">
        <v>180</v>
      </c>
      <c r="BS427" t="s">
        <v>103</v>
      </c>
      <c r="BU427">
        <v>0</v>
      </c>
      <c r="BV427">
        <v>0</v>
      </c>
      <c r="BW427">
        <v>0</v>
      </c>
      <c r="BX427">
        <v>0</v>
      </c>
      <c r="BY427">
        <v>0</v>
      </c>
      <c r="BZ427">
        <v>0</v>
      </c>
      <c r="CA427">
        <v>0</v>
      </c>
      <c r="CB427" t="s">
        <v>444</v>
      </c>
      <c r="CF427" s="2"/>
      <c r="CH427" s="2"/>
      <c r="CJ427">
        <v>5.3142019950192102E+17</v>
      </c>
      <c r="CK427" t="s">
        <v>2648</v>
      </c>
      <c r="CL427">
        <v>43819.374108796299</v>
      </c>
      <c r="CO427" t="s">
        <v>11</v>
      </c>
      <c r="CP427" t="s">
        <v>5715</v>
      </c>
      <c r="CQ427" t="s">
        <v>11</v>
      </c>
      <c r="CR427">
        <v>350</v>
      </c>
      <c r="CV427" t="s">
        <v>190</v>
      </c>
      <c r="CW427" t="s">
        <v>12</v>
      </c>
      <c r="CX427" t="s">
        <v>12</v>
      </c>
      <c r="CY427" t="s">
        <v>12</v>
      </c>
      <c r="DA427" t="s">
        <v>104</v>
      </c>
      <c r="DD427" t="s">
        <v>93</v>
      </c>
      <c r="DQ427" t="s">
        <v>94</v>
      </c>
      <c r="DR427" t="s">
        <v>94</v>
      </c>
      <c r="DS427" t="s">
        <v>94</v>
      </c>
      <c r="DT427" t="s">
        <v>94</v>
      </c>
      <c r="DU427" t="s">
        <v>94</v>
      </c>
      <c r="DV427" t="s">
        <v>94</v>
      </c>
      <c r="DW427" t="s">
        <v>94</v>
      </c>
      <c r="DX427" s="2" t="s">
        <v>94</v>
      </c>
      <c r="DY427" t="s">
        <v>94</v>
      </c>
      <c r="DZ427" t="s">
        <v>94</v>
      </c>
      <c r="EA427" t="s">
        <v>94</v>
      </c>
      <c r="EB427" t="s">
        <v>94</v>
      </c>
      <c r="EC427" t="s">
        <v>94</v>
      </c>
      <c r="ED427" t="s">
        <v>94</v>
      </c>
      <c r="EE427" t="s">
        <v>89</v>
      </c>
      <c r="EF427" t="s">
        <v>425</v>
      </c>
      <c r="EG427" t="s">
        <v>105</v>
      </c>
      <c r="EJ427" t="s">
        <v>166</v>
      </c>
      <c r="EK427" t="b">
        <v>0</v>
      </c>
      <c r="EL427" t="b">
        <v>0</v>
      </c>
      <c r="EM427" t="b">
        <v>0</v>
      </c>
    </row>
    <row r="428" spans="3:143" ht="15">
      <c r="C428" s="82">
        <v>131</v>
      </c>
      <c r="D428" s="5"/>
      <c r="E428" s="4">
        <v>1</v>
      </c>
      <c r="F428" s="5">
        <v>0.1</v>
      </c>
      <c r="G428" s="5" t="s">
        <v>5717</v>
      </c>
      <c r="H428" s="4" t="s">
        <v>5718</v>
      </c>
      <c r="I428" s="81" t="s">
        <v>817</v>
      </c>
      <c r="J428" s="21"/>
      <c r="K428" s="22" t="s">
        <v>5599</v>
      </c>
      <c r="L428" s="84" t="s">
        <v>4968</v>
      </c>
      <c r="M428" s="23" t="s">
        <v>817</v>
      </c>
      <c r="N428" s="23">
        <v>43807</v>
      </c>
      <c r="O428" s="24" t="s">
        <v>102</v>
      </c>
      <c r="P428" s="24" t="s">
        <v>179</v>
      </c>
      <c r="Q428" s="24">
        <v>1</v>
      </c>
      <c r="R428" s="24">
        <v>0.1</v>
      </c>
      <c r="S428" t="s">
        <v>528</v>
      </c>
      <c r="T428">
        <v>15</v>
      </c>
      <c r="U428" s="2" t="s">
        <v>163</v>
      </c>
      <c r="V428">
        <v>43807.824444444443</v>
      </c>
      <c r="W428" s="2" t="s">
        <v>444</v>
      </c>
      <c r="X428">
        <v>43809.438668981478</v>
      </c>
      <c r="AB428" t="s">
        <v>9</v>
      </c>
      <c r="AC428" t="s">
        <v>2981</v>
      </c>
      <c r="AD428" t="s">
        <v>182</v>
      </c>
      <c r="AE428">
        <v>91285</v>
      </c>
      <c r="AF428">
        <v>91285</v>
      </c>
      <c r="AG428" t="s">
        <v>183</v>
      </c>
      <c r="AH428" t="s">
        <v>5600</v>
      </c>
      <c r="AI428" t="s">
        <v>5600</v>
      </c>
      <c r="AJ428" t="s">
        <v>2983</v>
      </c>
      <c r="AK428" t="s">
        <v>2984</v>
      </c>
      <c r="AL428" t="s">
        <v>5601</v>
      </c>
      <c r="AO428" t="s">
        <v>2986</v>
      </c>
      <c r="AP428" t="s">
        <v>2987</v>
      </c>
      <c r="AR428" t="s">
        <v>5719</v>
      </c>
      <c r="AS428">
        <v>-36202910544</v>
      </c>
      <c r="AT428" t="s">
        <v>5602</v>
      </c>
      <c r="AU428" t="s">
        <v>10</v>
      </c>
      <c r="AV428" t="s">
        <v>5603</v>
      </c>
      <c r="AW428" t="s">
        <v>5603</v>
      </c>
      <c r="AX428" t="s">
        <v>5604</v>
      </c>
      <c r="AY428" s="2" t="s">
        <v>5605</v>
      </c>
      <c r="AZ428" t="s">
        <v>5606</v>
      </c>
      <c r="BA428" t="s">
        <v>186</v>
      </c>
      <c r="BB428" t="s">
        <v>187</v>
      </c>
      <c r="BC428" t="s">
        <v>188</v>
      </c>
      <c r="BD428">
        <v>518108</v>
      </c>
      <c r="BE428">
        <v>-86075527202712</v>
      </c>
      <c r="BF428" t="s">
        <v>5607</v>
      </c>
      <c r="BG428" t="b">
        <v>0</v>
      </c>
      <c r="BH428" s="6" t="s">
        <v>5608</v>
      </c>
      <c r="BI428" t="s">
        <v>5609</v>
      </c>
      <c r="BJ428">
        <v>4453163191</v>
      </c>
      <c r="BK428" t="s">
        <v>162</v>
      </c>
      <c r="BL428" t="s">
        <v>161</v>
      </c>
      <c r="BM428" s="2"/>
      <c r="BO428" t="s">
        <v>89</v>
      </c>
      <c r="BP428">
        <v>3926909090</v>
      </c>
      <c r="BR428" t="s">
        <v>189</v>
      </c>
      <c r="BS428" t="s">
        <v>103</v>
      </c>
      <c r="BU428">
        <v>0</v>
      </c>
      <c r="BV428">
        <v>0</v>
      </c>
      <c r="BW428">
        <v>0</v>
      </c>
      <c r="BX428">
        <v>0</v>
      </c>
      <c r="BY428">
        <v>0</v>
      </c>
      <c r="BZ428">
        <v>0</v>
      </c>
      <c r="CA428">
        <v>0</v>
      </c>
      <c r="CF428" s="2"/>
      <c r="CH428" s="2"/>
      <c r="CJ428">
        <v>5.3142019950183098E+17</v>
      </c>
      <c r="CK428" t="s">
        <v>165</v>
      </c>
      <c r="CL428">
        <v>43807.379594907405</v>
      </c>
      <c r="CO428" t="s">
        <v>11</v>
      </c>
      <c r="CP428">
        <v>115.67</v>
      </c>
      <c r="CQ428" t="s">
        <v>11</v>
      </c>
      <c r="CR428">
        <v>115.67</v>
      </c>
      <c r="CV428" t="s">
        <v>190</v>
      </c>
      <c r="CW428" t="s">
        <v>12</v>
      </c>
      <c r="CX428" t="s">
        <v>12</v>
      </c>
      <c r="CY428" t="s">
        <v>12</v>
      </c>
      <c r="DA428" t="s">
        <v>104</v>
      </c>
      <c r="DD428" t="s">
        <v>93</v>
      </c>
      <c r="DQ428" t="s">
        <v>94</v>
      </c>
      <c r="DR428" t="s">
        <v>94</v>
      </c>
      <c r="DS428" t="s">
        <v>94</v>
      </c>
      <c r="DT428" t="s">
        <v>94</v>
      </c>
      <c r="DU428" t="s">
        <v>94</v>
      </c>
      <c r="DV428" t="s">
        <v>94</v>
      </c>
      <c r="DW428" t="s">
        <v>94</v>
      </c>
      <c r="DX428" s="2" t="s">
        <v>94</v>
      </c>
      <c r="DY428" t="s">
        <v>94</v>
      </c>
      <c r="DZ428" t="s">
        <v>94</v>
      </c>
      <c r="EA428" t="s">
        <v>94</v>
      </c>
      <c r="EB428" t="s">
        <v>94</v>
      </c>
      <c r="EC428" t="s">
        <v>94</v>
      </c>
      <c r="ED428" t="s">
        <v>94</v>
      </c>
      <c r="EE428" t="s">
        <v>89</v>
      </c>
      <c r="EF428" t="s">
        <v>425</v>
      </c>
      <c r="EG428" t="s">
        <v>105</v>
      </c>
      <c r="EJ428" t="s">
        <v>166</v>
      </c>
      <c r="EK428" t="b">
        <v>0</v>
      </c>
      <c r="EL428" t="b">
        <v>0</v>
      </c>
      <c r="EM428" t="b">
        <v>0</v>
      </c>
    </row>
    <row r="429" spans="3:143" ht="15">
      <c r="C429" s="82">
        <v>131</v>
      </c>
      <c r="D429" s="5"/>
      <c r="E429" s="4">
        <v>1</v>
      </c>
      <c r="F429" s="5">
        <v>0.84</v>
      </c>
      <c r="G429" s="5" t="s">
        <v>5720</v>
      </c>
      <c r="H429" s="4" t="s">
        <v>5721</v>
      </c>
      <c r="I429" s="81" t="s">
        <v>920</v>
      </c>
      <c r="J429" s="21"/>
      <c r="K429" s="22">
        <v>196473362</v>
      </c>
      <c r="L429" s="84" t="s">
        <v>5278</v>
      </c>
      <c r="M429" s="23" t="s">
        <v>905</v>
      </c>
      <c r="N429" s="23">
        <v>43813</v>
      </c>
      <c r="O429" s="24" t="s">
        <v>102</v>
      </c>
      <c r="P429" s="24" t="s">
        <v>179</v>
      </c>
      <c r="Q429" s="24">
        <v>1</v>
      </c>
      <c r="R429" s="24">
        <v>0.84</v>
      </c>
      <c r="S429" t="s">
        <v>319</v>
      </c>
      <c r="T429">
        <v>30</v>
      </c>
      <c r="U429" s="2" t="s">
        <v>163</v>
      </c>
      <c r="V429">
        <v>43813.842453703706</v>
      </c>
      <c r="W429" s="2" t="s">
        <v>444</v>
      </c>
      <c r="X429">
        <v>43815.647916666669</v>
      </c>
      <c r="AB429" t="s">
        <v>9</v>
      </c>
      <c r="AC429" t="s">
        <v>1326</v>
      </c>
      <c r="AD429" t="s">
        <v>200</v>
      </c>
      <c r="AE429">
        <v>47164</v>
      </c>
      <c r="AF429">
        <v>47164</v>
      </c>
      <c r="AG429" t="s">
        <v>183</v>
      </c>
      <c r="AH429" t="s">
        <v>5657</v>
      </c>
      <c r="AI429" t="s">
        <v>5657</v>
      </c>
      <c r="AJ429" t="s">
        <v>1072</v>
      </c>
      <c r="AK429" t="s">
        <v>1073</v>
      </c>
      <c r="AL429" t="s">
        <v>5658</v>
      </c>
      <c r="AO429" t="s">
        <v>5659</v>
      </c>
      <c r="AP429" t="s">
        <v>1331</v>
      </c>
      <c r="AR429" t="s">
        <v>5660</v>
      </c>
      <c r="AS429">
        <v>84427700</v>
      </c>
      <c r="AT429" t="s">
        <v>5661</v>
      </c>
      <c r="AU429" t="s">
        <v>10</v>
      </c>
      <c r="AV429" t="s">
        <v>5662</v>
      </c>
      <c r="AW429" t="s">
        <v>5662</v>
      </c>
      <c r="AX429" t="s">
        <v>5663</v>
      </c>
      <c r="AY429" s="2" t="s">
        <v>5664</v>
      </c>
      <c r="BA429" t="s">
        <v>656</v>
      </c>
      <c r="BB429" t="s">
        <v>657</v>
      </c>
      <c r="BC429" t="s">
        <v>188</v>
      </c>
      <c r="BD429">
        <v>526060</v>
      </c>
      <c r="BE429">
        <v>8675827571765</v>
      </c>
      <c r="BF429" t="s">
        <v>5665</v>
      </c>
      <c r="BG429" t="b">
        <v>0</v>
      </c>
      <c r="BH429" s="6" t="s">
        <v>5666</v>
      </c>
      <c r="BI429" t="s">
        <v>5667</v>
      </c>
      <c r="BJ429">
        <v>4453163191</v>
      </c>
      <c r="BK429" t="s">
        <v>162</v>
      </c>
      <c r="BL429" t="s">
        <v>161</v>
      </c>
      <c r="BM429" s="2"/>
      <c r="BO429" t="s">
        <v>89</v>
      </c>
      <c r="BP429">
        <v>42029200</v>
      </c>
      <c r="BR429" t="s">
        <v>180</v>
      </c>
      <c r="BS429" t="s">
        <v>103</v>
      </c>
      <c r="BU429">
        <v>0</v>
      </c>
      <c r="BV429">
        <v>0</v>
      </c>
      <c r="BW429">
        <v>0</v>
      </c>
      <c r="BX429">
        <v>0</v>
      </c>
      <c r="BY429">
        <v>0</v>
      </c>
      <c r="BZ429">
        <v>0</v>
      </c>
      <c r="CA429">
        <v>0</v>
      </c>
      <c r="CF429" s="2"/>
      <c r="CH429" s="2"/>
      <c r="CJ429">
        <v>5.3142019950187699E+17</v>
      </c>
      <c r="CK429" t="s">
        <v>2648</v>
      </c>
      <c r="CL429">
        <v>43813.378125000003</v>
      </c>
      <c r="CO429" t="s">
        <v>11</v>
      </c>
      <c r="CP429">
        <v>210.08</v>
      </c>
      <c r="CQ429" t="s">
        <v>11</v>
      </c>
      <c r="CR429">
        <v>210.08</v>
      </c>
      <c r="CV429" t="s">
        <v>190</v>
      </c>
      <c r="CW429" t="s">
        <v>12</v>
      </c>
      <c r="CX429" t="s">
        <v>12</v>
      </c>
      <c r="CY429" t="s">
        <v>12</v>
      </c>
      <c r="DA429" t="s">
        <v>104</v>
      </c>
      <c r="DD429" t="s">
        <v>93</v>
      </c>
      <c r="DQ429" t="s">
        <v>94</v>
      </c>
      <c r="DR429" t="s">
        <v>94</v>
      </c>
      <c r="DS429" t="s">
        <v>94</v>
      </c>
      <c r="DT429" t="s">
        <v>94</v>
      </c>
      <c r="DU429" t="s">
        <v>94</v>
      </c>
      <c r="DV429" t="s">
        <v>94</v>
      </c>
      <c r="DW429" t="s">
        <v>94</v>
      </c>
      <c r="DX429" s="2" t="s">
        <v>94</v>
      </c>
      <c r="DY429" t="s">
        <v>94</v>
      </c>
      <c r="DZ429" t="s">
        <v>94</v>
      </c>
      <c r="EA429" t="s">
        <v>94</v>
      </c>
      <c r="EB429" t="s">
        <v>94</v>
      </c>
      <c r="EC429" t="s">
        <v>94</v>
      </c>
      <c r="ED429" t="s">
        <v>94</v>
      </c>
      <c r="EE429" t="s">
        <v>89</v>
      </c>
      <c r="EF429" t="s">
        <v>425</v>
      </c>
      <c r="EG429" t="s">
        <v>105</v>
      </c>
      <c r="EJ429" t="s">
        <v>166</v>
      </c>
      <c r="EK429" t="b">
        <v>0</v>
      </c>
      <c r="EL429" t="b">
        <v>0</v>
      </c>
      <c r="EM429" t="b">
        <v>0</v>
      </c>
    </row>
    <row r="430" spans="3:143" ht="15">
      <c r="C430" s="82">
        <v>13</v>
      </c>
      <c r="D430" s="5"/>
      <c r="E430" s="4">
        <v>1</v>
      </c>
      <c r="F430" s="5">
        <v>38</v>
      </c>
      <c r="G430" s="5" t="s">
        <v>5752</v>
      </c>
      <c r="H430" s="4" t="s">
        <v>5544</v>
      </c>
      <c r="I430" s="81" t="s">
        <v>817</v>
      </c>
      <c r="J430" s="21"/>
      <c r="K430" s="22" t="s">
        <v>5722</v>
      </c>
      <c r="L430" s="84" t="s">
        <v>5495</v>
      </c>
      <c r="M430" s="23" t="s">
        <v>817</v>
      </c>
      <c r="N430" s="23">
        <v>43821</v>
      </c>
      <c r="O430" s="24" t="s">
        <v>102</v>
      </c>
      <c r="P430" s="24" t="s">
        <v>181</v>
      </c>
      <c r="Q430" s="24">
        <v>1</v>
      </c>
      <c r="R430" s="24">
        <v>38</v>
      </c>
      <c r="S430" t="s">
        <v>11</v>
      </c>
      <c r="T430">
        <v>1597</v>
      </c>
      <c r="U430" s="2" t="s">
        <v>163</v>
      </c>
      <c r="V430">
        <v>43821.811574074076</v>
      </c>
      <c r="W430" s="2" t="s">
        <v>444</v>
      </c>
      <c r="X430">
        <v>43821.830995370372</v>
      </c>
      <c r="AB430" t="s">
        <v>9</v>
      </c>
      <c r="AC430" t="s">
        <v>5723</v>
      </c>
      <c r="AD430" t="s">
        <v>182</v>
      </c>
      <c r="AE430">
        <v>1090843</v>
      </c>
      <c r="AF430">
        <v>1090843</v>
      </c>
      <c r="AG430" t="s">
        <v>183</v>
      </c>
      <c r="AH430" t="s">
        <v>5724</v>
      </c>
      <c r="AI430" t="s">
        <v>5724</v>
      </c>
      <c r="AJ430" t="s">
        <v>601</v>
      </c>
      <c r="AK430" t="s">
        <v>602</v>
      </c>
      <c r="AL430" t="s">
        <v>5725</v>
      </c>
      <c r="AO430" t="s">
        <v>5726</v>
      </c>
      <c r="AP430" t="s">
        <v>5727</v>
      </c>
      <c r="AQ430" t="s">
        <v>1293</v>
      </c>
      <c r="AR430" t="s">
        <v>5753</v>
      </c>
      <c r="AS430">
        <v>3389474935</v>
      </c>
      <c r="AT430" t="s">
        <v>5728</v>
      </c>
      <c r="AU430" t="s">
        <v>10</v>
      </c>
      <c r="AV430" t="s">
        <v>5729</v>
      </c>
      <c r="AW430" t="s">
        <v>5729</v>
      </c>
      <c r="AX430" t="s">
        <v>5730</v>
      </c>
      <c r="AY430" s="2" t="s">
        <v>5731</v>
      </c>
      <c r="AZ430" t="s">
        <v>5732</v>
      </c>
      <c r="BA430" t="s">
        <v>186</v>
      </c>
      <c r="BB430" t="s">
        <v>187</v>
      </c>
      <c r="BC430" t="s">
        <v>188</v>
      </c>
      <c r="BD430">
        <v>518106</v>
      </c>
      <c r="BE430">
        <v>13425127796</v>
      </c>
      <c r="BF430" t="s">
        <v>5733</v>
      </c>
      <c r="BG430" t="b">
        <v>0</v>
      </c>
      <c r="BH430" s="6" t="s">
        <v>1018</v>
      </c>
      <c r="BI430" t="s">
        <v>5734</v>
      </c>
      <c r="BJ430">
        <v>4453163191</v>
      </c>
      <c r="BK430" t="s">
        <v>162</v>
      </c>
      <c r="BL430" t="s">
        <v>161</v>
      </c>
      <c r="BM430" s="2"/>
      <c r="BO430" t="s">
        <v>89</v>
      </c>
      <c r="BP430">
        <v>3907999990</v>
      </c>
      <c r="BR430" t="s">
        <v>189</v>
      </c>
      <c r="BS430" t="s">
        <v>103</v>
      </c>
      <c r="BU430">
        <v>103.8</v>
      </c>
      <c r="BV430">
        <v>221.1</v>
      </c>
      <c r="BW430">
        <v>0</v>
      </c>
      <c r="BX430">
        <v>0</v>
      </c>
      <c r="BY430">
        <v>0</v>
      </c>
      <c r="BZ430">
        <v>0</v>
      </c>
      <c r="CA430">
        <v>324.89999999999998</v>
      </c>
      <c r="CF430" s="2"/>
      <c r="CH430" s="2"/>
      <c r="CJ430">
        <v>5.3142019950192902E+17</v>
      </c>
      <c r="CK430" t="s">
        <v>445</v>
      </c>
      <c r="CL430">
        <v>43821.560868055552</v>
      </c>
      <c r="CO430" t="s">
        <v>11</v>
      </c>
      <c r="CP430">
        <v>1597</v>
      </c>
      <c r="CQ430" t="s">
        <v>11</v>
      </c>
      <c r="CR430">
        <v>1597</v>
      </c>
      <c r="CV430" t="s">
        <v>190</v>
      </c>
      <c r="CW430" t="s">
        <v>12</v>
      </c>
      <c r="CX430" t="s">
        <v>12</v>
      </c>
      <c r="CY430" t="s">
        <v>12</v>
      </c>
      <c r="DA430" t="s">
        <v>104</v>
      </c>
      <c r="DD430" t="s">
        <v>93</v>
      </c>
      <c r="DQ430" t="s">
        <v>94</v>
      </c>
      <c r="DR430" t="s">
        <v>94</v>
      </c>
      <c r="DS430" t="s">
        <v>94</v>
      </c>
      <c r="DT430" t="s">
        <v>94</v>
      </c>
      <c r="DU430" t="s">
        <v>94</v>
      </c>
      <c r="DV430" t="s">
        <v>94</v>
      </c>
      <c r="DW430" t="s">
        <v>94</v>
      </c>
      <c r="DX430" s="2" t="s">
        <v>94</v>
      </c>
      <c r="DY430" t="s">
        <v>94</v>
      </c>
      <c r="DZ430" t="s">
        <v>94</v>
      </c>
      <c r="EA430" t="s">
        <v>94</v>
      </c>
      <c r="EB430" t="s">
        <v>94</v>
      </c>
      <c r="EC430" t="s">
        <v>94</v>
      </c>
      <c r="ED430" t="s">
        <v>94</v>
      </c>
      <c r="EE430" t="s">
        <v>89</v>
      </c>
      <c r="EF430" t="s">
        <v>425</v>
      </c>
      <c r="EG430" t="s">
        <v>105</v>
      </c>
      <c r="EJ430" t="s">
        <v>166</v>
      </c>
      <c r="EK430" t="b">
        <v>0</v>
      </c>
      <c r="EL430" t="b">
        <v>0</v>
      </c>
      <c r="EM430" t="b">
        <v>0</v>
      </c>
    </row>
    <row r="431" spans="3:143" ht="15">
      <c r="C431" s="82">
        <v>23</v>
      </c>
      <c r="D431" s="5"/>
      <c r="E431" s="4">
        <v>1</v>
      </c>
      <c r="F431" s="5">
        <v>0.92</v>
      </c>
      <c r="G431" s="5" t="s">
        <v>5754</v>
      </c>
      <c r="H431" s="4" t="s">
        <v>5755</v>
      </c>
      <c r="I431" s="81" t="s">
        <v>164</v>
      </c>
      <c r="J431" s="21"/>
      <c r="K431" s="22" t="s">
        <v>5735</v>
      </c>
      <c r="L431" s="84" t="s">
        <v>5404</v>
      </c>
      <c r="M431" s="23" t="s">
        <v>164</v>
      </c>
      <c r="N431" s="23">
        <v>43817</v>
      </c>
      <c r="O431" s="24" t="s">
        <v>102</v>
      </c>
      <c r="P431" s="24" t="s">
        <v>181</v>
      </c>
      <c r="Q431" s="24">
        <v>1</v>
      </c>
      <c r="R431" s="24">
        <v>0.92</v>
      </c>
      <c r="S431" t="s">
        <v>528</v>
      </c>
      <c r="T431">
        <v>54</v>
      </c>
      <c r="U431" s="2" t="s">
        <v>163</v>
      </c>
      <c r="V431">
        <v>43817.841469907406</v>
      </c>
      <c r="W431" s="2" t="s">
        <v>444</v>
      </c>
      <c r="X431">
        <v>43817.939895833333</v>
      </c>
      <c r="AB431" t="s">
        <v>9</v>
      </c>
      <c r="AC431" t="s">
        <v>5736</v>
      </c>
      <c r="AD431" t="s">
        <v>209</v>
      </c>
      <c r="AE431">
        <v>102320</v>
      </c>
      <c r="AF431">
        <v>102320</v>
      </c>
      <c r="AG431" t="s">
        <v>183</v>
      </c>
      <c r="AH431" t="s">
        <v>5737</v>
      </c>
      <c r="AI431" t="s">
        <v>5737</v>
      </c>
      <c r="AJ431" t="s">
        <v>508</v>
      </c>
      <c r="AK431" t="s">
        <v>509</v>
      </c>
      <c r="AL431" t="s">
        <v>5738</v>
      </c>
      <c r="AM431" t="s">
        <v>5739</v>
      </c>
      <c r="AO431" t="s">
        <v>5740</v>
      </c>
      <c r="AP431" t="s">
        <v>5741</v>
      </c>
      <c r="AR431" t="s">
        <v>5756</v>
      </c>
      <c r="AS431">
        <v>149900000</v>
      </c>
      <c r="AT431" t="s">
        <v>5742</v>
      </c>
      <c r="AU431" t="s">
        <v>10</v>
      </c>
      <c r="AV431" t="s">
        <v>5743</v>
      </c>
      <c r="AW431" t="s">
        <v>5743</v>
      </c>
      <c r="AX431" t="s">
        <v>5744</v>
      </c>
      <c r="AY431" s="2" t="s">
        <v>5745</v>
      </c>
      <c r="AZ431" t="s">
        <v>5746</v>
      </c>
      <c r="BA431" t="s">
        <v>5747</v>
      </c>
      <c r="BB431" t="s">
        <v>5748</v>
      </c>
      <c r="BC431" t="s">
        <v>2510</v>
      </c>
      <c r="BD431">
        <v>330001</v>
      </c>
      <c r="BE431">
        <v>-7083093</v>
      </c>
      <c r="BF431" t="s">
        <v>5749</v>
      </c>
      <c r="BG431" t="b">
        <v>0</v>
      </c>
      <c r="BH431" s="6" t="s">
        <v>5750</v>
      </c>
      <c r="BI431" t="s">
        <v>5751</v>
      </c>
      <c r="BJ431">
        <v>4453163191</v>
      </c>
      <c r="BK431" t="s">
        <v>162</v>
      </c>
      <c r="BL431" t="s">
        <v>161</v>
      </c>
      <c r="BM431" s="2"/>
      <c r="BO431" t="s">
        <v>89</v>
      </c>
      <c r="BP431">
        <v>6109100091</v>
      </c>
      <c r="BR431" t="s">
        <v>180</v>
      </c>
      <c r="BS431" t="s">
        <v>103</v>
      </c>
      <c r="BU431">
        <v>0</v>
      </c>
      <c r="BV431">
        <v>57.39</v>
      </c>
      <c r="BW431">
        <v>0</v>
      </c>
      <c r="BX431">
        <v>0</v>
      </c>
      <c r="BY431">
        <v>0</v>
      </c>
      <c r="BZ431">
        <v>0</v>
      </c>
      <c r="CA431">
        <v>57.39</v>
      </c>
      <c r="CF431" s="2"/>
      <c r="CH431" s="2"/>
      <c r="CJ431">
        <v>5.3142019950189901E+17</v>
      </c>
      <c r="CK431" t="s">
        <v>2648</v>
      </c>
      <c r="CL431">
        <v>43817.375381944446</v>
      </c>
      <c r="CO431" t="s">
        <v>11</v>
      </c>
      <c r="CP431">
        <v>416.41</v>
      </c>
      <c r="CQ431" t="s">
        <v>11</v>
      </c>
      <c r="CR431">
        <v>416.41</v>
      </c>
      <c r="CV431" t="s">
        <v>190</v>
      </c>
      <c r="CW431" t="s">
        <v>12</v>
      </c>
      <c r="CX431" t="s">
        <v>12</v>
      </c>
      <c r="CY431" t="s">
        <v>12</v>
      </c>
      <c r="DA431" t="s">
        <v>104</v>
      </c>
      <c r="DD431" t="s">
        <v>93</v>
      </c>
      <c r="DQ431" t="s">
        <v>94</v>
      </c>
      <c r="DR431" t="s">
        <v>94</v>
      </c>
      <c r="DS431" t="s">
        <v>94</v>
      </c>
      <c r="DT431" t="s">
        <v>94</v>
      </c>
      <c r="DU431" t="s">
        <v>94</v>
      </c>
      <c r="DV431" t="s">
        <v>94</v>
      </c>
      <c r="DW431" t="s">
        <v>94</v>
      </c>
      <c r="DX431" s="2" t="s">
        <v>94</v>
      </c>
      <c r="DY431" t="s">
        <v>94</v>
      </c>
      <c r="DZ431" t="s">
        <v>94</v>
      </c>
      <c r="EA431" t="s">
        <v>94</v>
      </c>
      <c r="EB431" t="s">
        <v>94</v>
      </c>
      <c r="EC431" t="s">
        <v>94</v>
      </c>
      <c r="ED431" t="s">
        <v>94</v>
      </c>
      <c r="EE431" t="s">
        <v>89</v>
      </c>
      <c r="EF431" t="s">
        <v>425</v>
      </c>
      <c r="EG431" t="s">
        <v>105</v>
      </c>
      <c r="EJ431" t="s">
        <v>166</v>
      </c>
      <c r="EK431" t="b">
        <v>0</v>
      </c>
      <c r="EL431" t="b">
        <v>0</v>
      </c>
      <c r="EM431" t="b">
        <v>0</v>
      </c>
    </row>
    <row r="432" spans="3:143" ht="15">
      <c r="C432" s="82">
        <v>13</v>
      </c>
      <c r="D432" s="5"/>
      <c r="E432" s="4">
        <v>1</v>
      </c>
      <c r="F432" s="5">
        <v>0.84</v>
      </c>
      <c r="G432" s="5" t="s">
        <v>5757</v>
      </c>
      <c r="H432" s="4" t="s">
        <v>5721</v>
      </c>
      <c r="I432" s="81" t="s">
        <v>920</v>
      </c>
      <c r="J432" s="21"/>
      <c r="K432" s="22" t="s">
        <v>5656</v>
      </c>
      <c r="L432" s="84" t="s">
        <v>5278</v>
      </c>
      <c r="M432" s="23" t="s">
        <v>905</v>
      </c>
      <c r="N432" s="23">
        <v>43813</v>
      </c>
      <c r="O432" s="24" t="s">
        <v>102</v>
      </c>
      <c r="P432" s="24" t="s">
        <v>179</v>
      </c>
      <c r="Q432" s="24">
        <v>1</v>
      </c>
      <c r="R432" s="24">
        <v>0.84</v>
      </c>
      <c r="S432" t="s">
        <v>319</v>
      </c>
      <c r="T432">
        <v>30</v>
      </c>
      <c r="U432" s="2" t="s">
        <v>163</v>
      </c>
      <c r="V432">
        <v>43813.842453703706</v>
      </c>
      <c r="W432" s="2" t="s">
        <v>444</v>
      </c>
      <c r="X432">
        <v>43815.647916666669</v>
      </c>
      <c r="AB432" t="s">
        <v>9</v>
      </c>
      <c r="AC432" t="s">
        <v>1326</v>
      </c>
      <c r="AD432" t="s">
        <v>200</v>
      </c>
      <c r="AE432">
        <v>47164</v>
      </c>
      <c r="AF432">
        <v>47164</v>
      </c>
      <c r="AG432" t="s">
        <v>183</v>
      </c>
      <c r="AH432" t="s">
        <v>5657</v>
      </c>
      <c r="AI432" t="s">
        <v>5657</v>
      </c>
      <c r="AJ432" t="s">
        <v>1072</v>
      </c>
      <c r="AK432" t="s">
        <v>1073</v>
      </c>
      <c r="AL432" t="s">
        <v>5658</v>
      </c>
      <c r="AO432" t="s">
        <v>5659</v>
      </c>
      <c r="AP432" t="s">
        <v>1331</v>
      </c>
      <c r="AR432" t="s">
        <v>5660</v>
      </c>
      <c r="AS432">
        <v>84427700</v>
      </c>
      <c r="AT432" t="s">
        <v>5661</v>
      </c>
      <c r="AU432" t="s">
        <v>10</v>
      </c>
      <c r="AV432" t="s">
        <v>5662</v>
      </c>
      <c r="AW432" t="s">
        <v>5662</v>
      </c>
      <c r="AX432" t="s">
        <v>5663</v>
      </c>
      <c r="AY432" s="2" t="s">
        <v>5664</v>
      </c>
      <c r="BA432" t="s">
        <v>656</v>
      </c>
      <c r="BB432" t="s">
        <v>657</v>
      </c>
      <c r="BC432" t="s">
        <v>188</v>
      </c>
      <c r="BD432">
        <v>526060</v>
      </c>
      <c r="BE432">
        <v>8675827571765</v>
      </c>
      <c r="BF432" t="s">
        <v>5665</v>
      </c>
      <c r="BG432" t="b">
        <v>0</v>
      </c>
      <c r="BH432" s="6" t="s">
        <v>5666</v>
      </c>
      <c r="BI432" t="s">
        <v>5667</v>
      </c>
      <c r="BJ432">
        <v>4453163191</v>
      </c>
      <c r="BK432" t="s">
        <v>162</v>
      </c>
      <c r="BL432" t="s">
        <v>161</v>
      </c>
      <c r="BM432" s="2"/>
      <c r="BO432" t="s">
        <v>89</v>
      </c>
      <c r="BP432">
        <v>42029200</v>
      </c>
      <c r="BR432" t="s">
        <v>180</v>
      </c>
      <c r="BS432" t="s">
        <v>103</v>
      </c>
      <c r="BU432">
        <v>0</v>
      </c>
      <c r="BV432">
        <v>0</v>
      </c>
      <c r="BW432">
        <v>0</v>
      </c>
      <c r="BX432">
        <v>0</v>
      </c>
      <c r="BY432">
        <v>0</v>
      </c>
      <c r="BZ432">
        <v>0</v>
      </c>
      <c r="CA432">
        <v>0</v>
      </c>
      <c r="CF432" s="2"/>
      <c r="CH432" s="2"/>
      <c r="CJ432">
        <v>5.3142019950187699E+17</v>
      </c>
      <c r="CK432" t="s">
        <v>2648</v>
      </c>
      <c r="CL432">
        <v>43813.378125000003</v>
      </c>
      <c r="CO432" t="s">
        <v>11</v>
      </c>
      <c r="CP432">
        <v>210.08</v>
      </c>
      <c r="CQ432" t="s">
        <v>11</v>
      </c>
      <c r="CR432">
        <v>210.08</v>
      </c>
      <c r="CV432" t="s">
        <v>190</v>
      </c>
      <c r="CW432" t="s">
        <v>12</v>
      </c>
      <c r="CX432" t="s">
        <v>12</v>
      </c>
      <c r="CY432" t="s">
        <v>12</v>
      </c>
      <c r="DA432" t="s">
        <v>104</v>
      </c>
      <c r="DD432" t="s">
        <v>93</v>
      </c>
      <c r="DQ432" t="s">
        <v>94</v>
      </c>
      <c r="DR432" t="s">
        <v>94</v>
      </c>
      <c r="DS432" t="s">
        <v>94</v>
      </c>
      <c r="DT432" t="s">
        <v>94</v>
      </c>
      <c r="DU432" t="s">
        <v>94</v>
      </c>
      <c r="DV432" t="s">
        <v>94</v>
      </c>
      <c r="DW432" t="s">
        <v>94</v>
      </c>
      <c r="DX432" s="2" t="s">
        <v>94</v>
      </c>
      <c r="DY432" t="s">
        <v>94</v>
      </c>
      <c r="DZ432" t="s">
        <v>94</v>
      </c>
      <c r="EA432" t="s">
        <v>94</v>
      </c>
      <c r="EB432" t="s">
        <v>94</v>
      </c>
      <c r="EC432" t="s">
        <v>94</v>
      </c>
      <c r="ED432" t="s">
        <v>94</v>
      </c>
      <c r="EE432" t="s">
        <v>89</v>
      </c>
      <c r="EF432" t="s">
        <v>425</v>
      </c>
      <c r="EG432" t="s">
        <v>105</v>
      </c>
      <c r="EJ432" t="s">
        <v>166</v>
      </c>
      <c r="EK432" t="b">
        <v>0</v>
      </c>
      <c r="EL432" t="b">
        <v>0</v>
      </c>
      <c r="EM432" t="b">
        <v>0</v>
      </c>
    </row>
    <row r="433" spans="3:143" ht="15">
      <c r="C433" s="82">
        <v>3</v>
      </c>
      <c r="D433" s="5"/>
      <c r="E433" s="4">
        <v>1</v>
      </c>
      <c r="F433" s="5">
        <v>6.9</v>
      </c>
      <c r="G433" s="5" t="s">
        <v>5824</v>
      </c>
      <c r="H433" s="4" t="s">
        <v>5825</v>
      </c>
      <c r="I433" s="81" t="s">
        <v>920</v>
      </c>
      <c r="J433" s="21"/>
      <c r="K433" s="22" t="s">
        <v>5807</v>
      </c>
      <c r="L433" s="84" t="s">
        <v>4644</v>
      </c>
      <c r="M433" s="23" t="s">
        <v>920</v>
      </c>
      <c r="N433" s="23">
        <v>43799</v>
      </c>
      <c r="O433" s="24" t="s">
        <v>102</v>
      </c>
      <c r="P433" s="24" t="s">
        <v>181</v>
      </c>
      <c r="Q433" s="24">
        <v>1</v>
      </c>
      <c r="R433" s="24">
        <v>6.9</v>
      </c>
      <c r="S433" t="s">
        <v>319</v>
      </c>
      <c r="T433">
        <v>54</v>
      </c>
      <c r="U433" s="2" t="s">
        <v>163</v>
      </c>
      <c r="V433">
        <v>43799.852384259262</v>
      </c>
      <c r="W433" s="2" t="s">
        <v>444</v>
      </c>
      <c r="X433">
        <v>43799.867719907408</v>
      </c>
      <c r="AB433" t="s">
        <v>9</v>
      </c>
      <c r="AC433" t="s">
        <v>5758</v>
      </c>
      <c r="AD433" t="s">
        <v>182</v>
      </c>
      <c r="AE433">
        <v>24617</v>
      </c>
      <c r="AF433">
        <v>24617</v>
      </c>
      <c r="AG433" t="s">
        <v>183</v>
      </c>
      <c r="AH433" t="s">
        <v>5759</v>
      </c>
      <c r="AI433" t="s">
        <v>5759</v>
      </c>
      <c r="AJ433" t="s">
        <v>795</v>
      </c>
      <c r="AK433" t="s">
        <v>796</v>
      </c>
      <c r="AL433" t="s">
        <v>5760</v>
      </c>
      <c r="AO433" t="s">
        <v>5761</v>
      </c>
      <c r="AP433" t="s">
        <v>5762</v>
      </c>
      <c r="AQ433" t="s">
        <v>5763</v>
      </c>
      <c r="AR433" t="s">
        <v>5826</v>
      </c>
      <c r="AS433" t="s">
        <v>5827</v>
      </c>
      <c r="AT433" t="s">
        <v>5764</v>
      </c>
      <c r="AU433" t="s">
        <v>10</v>
      </c>
      <c r="AV433" t="s">
        <v>5765</v>
      </c>
      <c r="AW433" t="s">
        <v>5765</v>
      </c>
      <c r="AX433" t="s">
        <v>5766</v>
      </c>
      <c r="AY433" s="2" t="s">
        <v>5767</v>
      </c>
      <c r="AZ433" t="s">
        <v>5768</v>
      </c>
      <c r="BA433" t="s">
        <v>186</v>
      </c>
      <c r="BB433" t="s">
        <v>187</v>
      </c>
      <c r="BC433" t="s">
        <v>188</v>
      </c>
      <c r="BD433">
        <v>518100</v>
      </c>
      <c r="BE433">
        <v>13684951989</v>
      </c>
      <c r="BF433" t="s">
        <v>5769</v>
      </c>
      <c r="BG433" t="b">
        <v>0</v>
      </c>
      <c r="BH433" s="6" t="s">
        <v>5770</v>
      </c>
      <c r="BI433" t="s">
        <v>5771</v>
      </c>
      <c r="BJ433">
        <v>4453163191</v>
      </c>
      <c r="BK433" t="s">
        <v>162</v>
      </c>
      <c r="BL433" t="s">
        <v>161</v>
      </c>
      <c r="BM433" s="2"/>
      <c r="BO433" t="s">
        <v>89</v>
      </c>
      <c r="BP433">
        <v>94054090</v>
      </c>
      <c r="BR433" t="s">
        <v>180</v>
      </c>
      <c r="BS433" t="s">
        <v>103</v>
      </c>
      <c r="BU433">
        <v>0</v>
      </c>
      <c r="BV433">
        <v>50.77</v>
      </c>
      <c r="BW433">
        <v>0</v>
      </c>
      <c r="BX433">
        <v>0</v>
      </c>
      <c r="BY433">
        <v>0</v>
      </c>
      <c r="BZ433">
        <v>0</v>
      </c>
      <c r="CA433">
        <v>50.77</v>
      </c>
      <c r="CF433" s="2"/>
      <c r="CH433" s="2"/>
      <c r="CJ433">
        <v>5.3142019950178099E+17</v>
      </c>
      <c r="CK433" t="s">
        <v>2710</v>
      </c>
      <c r="CL433">
        <v>43799.380914351852</v>
      </c>
      <c r="CO433" t="s">
        <v>11</v>
      </c>
      <c r="CP433">
        <v>378.14</v>
      </c>
      <c r="CQ433" t="s">
        <v>11</v>
      </c>
      <c r="CR433">
        <v>378.14</v>
      </c>
      <c r="CV433" t="s">
        <v>190</v>
      </c>
      <c r="CW433" t="s">
        <v>12</v>
      </c>
      <c r="CX433" t="s">
        <v>12</v>
      </c>
      <c r="CY433" t="s">
        <v>12</v>
      </c>
      <c r="DA433" t="s">
        <v>104</v>
      </c>
      <c r="DD433" t="s">
        <v>93</v>
      </c>
      <c r="DQ433" t="s">
        <v>94</v>
      </c>
      <c r="DR433" t="s">
        <v>94</v>
      </c>
      <c r="DS433" t="s">
        <v>94</v>
      </c>
      <c r="DT433" t="s">
        <v>94</v>
      </c>
      <c r="DU433" t="s">
        <v>94</v>
      </c>
      <c r="DV433" t="s">
        <v>94</v>
      </c>
      <c r="DW433" t="s">
        <v>94</v>
      </c>
      <c r="DX433" s="2" t="s">
        <v>94</v>
      </c>
      <c r="DY433" t="s">
        <v>94</v>
      </c>
      <c r="DZ433" t="s">
        <v>94</v>
      </c>
      <c r="EA433" t="s">
        <v>94</v>
      </c>
      <c r="EB433" t="s">
        <v>94</v>
      </c>
      <c r="EC433" t="s">
        <v>94</v>
      </c>
      <c r="ED433" t="s">
        <v>94</v>
      </c>
      <c r="EE433" t="s">
        <v>89</v>
      </c>
      <c r="EF433" t="s">
        <v>425</v>
      </c>
      <c r="EG433" t="s">
        <v>105</v>
      </c>
      <c r="EJ433" t="s">
        <v>166</v>
      </c>
      <c r="EK433" t="b">
        <v>0</v>
      </c>
      <c r="EL433" t="b">
        <v>0</v>
      </c>
      <c r="EM433" t="b">
        <v>0</v>
      </c>
    </row>
    <row r="434" spans="3:143" ht="15">
      <c r="C434" s="82">
        <v>3</v>
      </c>
      <c r="D434" s="5"/>
      <c r="E434" s="4">
        <v>1</v>
      </c>
      <c r="F434" s="5">
        <v>0.7</v>
      </c>
      <c r="G434" s="5" t="s">
        <v>5828</v>
      </c>
      <c r="H434" s="4" t="s">
        <v>5829</v>
      </c>
      <c r="I434" s="81" t="s">
        <v>920</v>
      </c>
      <c r="J434" s="21"/>
      <c r="K434" s="22" t="s">
        <v>5830</v>
      </c>
      <c r="L434" s="84" t="s">
        <v>5772</v>
      </c>
      <c r="M434" s="23" t="s">
        <v>920</v>
      </c>
      <c r="N434" s="23">
        <v>43820</v>
      </c>
      <c r="O434" s="24" t="s">
        <v>102</v>
      </c>
      <c r="P434" s="24" t="s">
        <v>179</v>
      </c>
      <c r="Q434" s="24">
        <v>1</v>
      </c>
      <c r="R434" s="24">
        <v>0.7</v>
      </c>
      <c r="S434" t="s">
        <v>528</v>
      </c>
      <c r="T434">
        <v>36</v>
      </c>
      <c r="U434" s="2" t="s">
        <v>163</v>
      </c>
      <c r="V434">
        <v>43820.864039351851</v>
      </c>
      <c r="W434" s="2" t="s">
        <v>444</v>
      </c>
      <c r="X434">
        <v>43823.419374999998</v>
      </c>
      <c r="AB434" t="s">
        <v>9</v>
      </c>
      <c r="AC434" t="s">
        <v>3491</v>
      </c>
      <c r="AD434" t="s">
        <v>200</v>
      </c>
      <c r="AE434">
        <v>70342932</v>
      </c>
      <c r="AF434">
        <v>70342932</v>
      </c>
      <c r="AG434" t="s">
        <v>183</v>
      </c>
      <c r="AH434" t="s">
        <v>5773</v>
      </c>
      <c r="AI434" t="s">
        <v>5773</v>
      </c>
      <c r="AJ434" t="s">
        <v>776</v>
      </c>
      <c r="AK434" t="s">
        <v>777</v>
      </c>
      <c r="AL434" t="s">
        <v>5774</v>
      </c>
      <c r="AO434" t="s">
        <v>5775</v>
      </c>
      <c r="AP434" t="s">
        <v>3495</v>
      </c>
      <c r="AQ434" t="s">
        <v>782</v>
      </c>
      <c r="AR434" t="s">
        <v>5831</v>
      </c>
      <c r="AS434" t="s">
        <v>5776</v>
      </c>
      <c r="AT434" t="s">
        <v>5777</v>
      </c>
      <c r="AU434" t="s">
        <v>10</v>
      </c>
      <c r="AV434" t="s">
        <v>5778</v>
      </c>
      <c r="AW434" t="s">
        <v>5778</v>
      </c>
      <c r="AX434" t="s">
        <v>5779</v>
      </c>
      <c r="AY434" s="2" t="s">
        <v>5780</v>
      </c>
      <c r="AZ434" t="s">
        <v>5781</v>
      </c>
      <c r="BA434" t="s">
        <v>2123</v>
      </c>
      <c r="BB434" t="s">
        <v>1864</v>
      </c>
      <c r="BC434" t="s">
        <v>188</v>
      </c>
      <c r="BD434">
        <v>528000</v>
      </c>
      <c r="BE434">
        <v>8618676535782</v>
      </c>
      <c r="BF434" t="s">
        <v>5782</v>
      </c>
      <c r="BG434" t="b">
        <v>0</v>
      </c>
      <c r="BH434" s="6" t="s">
        <v>5783</v>
      </c>
      <c r="BI434" t="s">
        <v>5784</v>
      </c>
      <c r="BJ434">
        <v>4453163191</v>
      </c>
      <c r="BK434" t="s">
        <v>162</v>
      </c>
      <c r="BL434" t="s">
        <v>161</v>
      </c>
      <c r="BM434" s="2"/>
      <c r="BO434" t="s">
        <v>89</v>
      </c>
      <c r="BP434">
        <v>94054090</v>
      </c>
      <c r="BR434" t="s">
        <v>180</v>
      </c>
      <c r="BS434" t="s">
        <v>103</v>
      </c>
      <c r="BU434">
        <v>0</v>
      </c>
      <c r="BV434">
        <v>0</v>
      </c>
      <c r="BW434">
        <v>0</v>
      </c>
      <c r="BX434">
        <v>0</v>
      </c>
      <c r="BY434">
        <v>0</v>
      </c>
      <c r="BZ434">
        <v>0</v>
      </c>
      <c r="CA434">
        <v>0</v>
      </c>
      <c r="CF434" s="2"/>
      <c r="CH434" s="2"/>
      <c r="CJ434">
        <v>5.3142019950192698E+17</v>
      </c>
      <c r="CK434" t="s">
        <v>1509</v>
      </c>
      <c r="CL434">
        <v>43820.382407407407</v>
      </c>
      <c r="CO434" t="s">
        <v>11</v>
      </c>
      <c r="CP434">
        <v>277.61</v>
      </c>
      <c r="CQ434" t="s">
        <v>11</v>
      </c>
      <c r="CR434">
        <v>277.61</v>
      </c>
      <c r="CV434" t="s">
        <v>190</v>
      </c>
      <c r="CW434" t="s">
        <v>12</v>
      </c>
      <c r="CX434" t="s">
        <v>12</v>
      </c>
      <c r="CY434" t="s">
        <v>12</v>
      </c>
      <c r="DA434" t="s">
        <v>104</v>
      </c>
      <c r="DD434" t="s">
        <v>93</v>
      </c>
      <c r="DQ434" t="s">
        <v>94</v>
      </c>
      <c r="DR434" t="s">
        <v>94</v>
      </c>
      <c r="DS434" t="s">
        <v>94</v>
      </c>
      <c r="DT434" t="s">
        <v>94</v>
      </c>
      <c r="DU434" t="s">
        <v>94</v>
      </c>
      <c r="DV434" t="s">
        <v>94</v>
      </c>
      <c r="DW434" t="s">
        <v>94</v>
      </c>
      <c r="DX434" s="2" t="s">
        <v>94</v>
      </c>
      <c r="DY434" t="s">
        <v>94</v>
      </c>
      <c r="DZ434" t="s">
        <v>94</v>
      </c>
      <c r="EA434" t="s">
        <v>94</v>
      </c>
      <c r="EB434" t="s">
        <v>94</v>
      </c>
      <c r="EC434" t="s">
        <v>94</v>
      </c>
      <c r="ED434" t="s">
        <v>94</v>
      </c>
      <c r="EE434" t="s">
        <v>89</v>
      </c>
      <c r="EF434" t="s">
        <v>425</v>
      </c>
      <c r="EG434" t="s">
        <v>105</v>
      </c>
      <c r="EJ434" t="s">
        <v>166</v>
      </c>
      <c r="EK434" t="b">
        <v>0</v>
      </c>
      <c r="EL434" t="b">
        <v>0</v>
      </c>
      <c r="EM434" t="b">
        <v>0</v>
      </c>
    </row>
    <row r="435" spans="3:143">
      <c r="C435" s="4">
        <v>3</v>
      </c>
      <c r="D435" s="4"/>
      <c r="E435" s="4">
        <v>1</v>
      </c>
      <c r="F435" s="4">
        <v>5.6</v>
      </c>
      <c r="G435" s="5" t="s">
        <v>5828</v>
      </c>
      <c r="H435" s="4" t="s">
        <v>5832</v>
      </c>
      <c r="I435" s="4" t="s">
        <v>920</v>
      </c>
      <c r="J435" s="5"/>
      <c r="K435" s="22" t="s">
        <v>5833</v>
      </c>
      <c r="L435" s="84" t="s">
        <v>5772</v>
      </c>
      <c r="M435" s="23" t="s">
        <v>920</v>
      </c>
      <c r="N435" s="23">
        <v>43820</v>
      </c>
      <c r="O435" s="24" t="s">
        <v>102</v>
      </c>
      <c r="P435" s="24" t="s">
        <v>181</v>
      </c>
      <c r="Q435" s="24">
        <v>1</v>
      </c>
      <c r="R435" s="24">
        <v>5.6</v>
      </c>
      <c r="S435" t="s">
        <v>319</v>
      </c>
      <c r="T435">
        <v>57</v>
      </c>
      <c r="U435" s="2" t="s">
        <v>163</v>
      </c>
      <c r="V435">
        <v>43820.864108796297</v>
      </c>
      <c r="W435" s="2" t="s">
        <v>444</v>
      </c>
      <c r="X435">
        <v>43823.419374999998</v>
      </c>
      <c r="AB435" t="s">
        <v>9</v>
      </c>
      <c r="AC435" t="s">
        <v>1711</v>
      </c>
      <c r="AD435" t="s">
        <v>191</v>
      </c>
      <c r="AE435">
        <v>30008398</v>
      </c>
      <c r="AF435">
        <v>30008398</v>
      </c>
      <c r="AG435" t="s">
        <v>183</v>
      </c>
      <c r="AH435" t="s">
        <v>5785</v>
      </c>
      <c r="AI435" t="s">
        <v>5785</v>
      </c>
      <c r="AJ435" t="s">
        <v>369</v>
      </c>
      <c r="AK435" t="s">
        <v>370</v>
      </c>
      <c r="AL435" t="s">
        <v>5786</v>
      </c>
      <c r="AO435" t="s">
        <v>5787</v>
      </c>
      <c r="AP435" t="s">
        <v>1715</v>
      </c>
      <c r="AQ435" t="s">
        <v>1716</v>
      </c>
      <c r="AR435" t="s">
        <v>5834</v>
      </c>
      <c r="AS435" t="s">
        <v>5835</v>
      </c>
      <c r="AT435" t="s">
        <v>5788</v>
      </c>
      <c r="AU435" t="s">
        <v>10</v>
      </c>
      <c r="AV435" t="s">
        <v>5789</v>
      </c>
      <c r="AW435" t="s">
        <v>5789</v>
      </c>
      <c r="AX435" t="s">
        <v>5790</v>
      </c>
      <c r="AY435" t="s">
        <v>5791</v>
      </c>
      <c r="BA435" t="s">
        <v>726</v>
      </c>
      <c r="BB435" t="s">
        <v>192</v>
      </c>
      <c r="BC435" t="s">
        <v>188</v>
      </c>
      <c r="BD435">
        <v>523121</v>
      </c>
      <c r="BE435">
        <v>-76927280789</v>
      </c>
      <c r="BF435" t="s">
        <v>5792</v>
      </c>
      <c r="BG435" t="b">
        <v>0</v>
      </c>
      <c r="BH435" s="6" t="s">
        <v>5793</v>
      </c>
      <c r="BI435" t="s">
        <v>5794</v>
      </c>
      <c r="BJ435">
        <v>4453163191</v>
      </c>
      <c r="BK435" t="s">
        <v>162</v>
      </c>
      <c r="BL435" t="s">
        <v>161</v>
      </c>
      <c r="BM435" s="2"/>
      <c r="BO435" t="s">
        <v>89</v>
      </c>
      <c r="BP435">
        <v>94054090</v>
      </c>
      <c r="BR435" t="s">
        <v>180</v>
      </c>
      <c r="BS435" t="s">
        <v>103</v>
      </c>
      <c r="BU435">
        <v>0</v>
      </c>
      <c r="BV435">
        <v>53.34</v>
      </c>
      <c r="BW435">
        <v>0</v>
      </c>
      <c r="BX435">
        <v>0</v>
      </c>
      <c r="BY435">
        <v>0</v>
      </c>
      <c r="BZ435">
        <v>0</v>
      </c>
      <c r="CA435">
        <v>53.34</v>
      </c>
      <c r="CF435" s="2"/>
      <c r="CH435" s="2"/>
      <c r="CJ435">
        <v>5.3142019950192698E+17</v>
      </c>
      <c r="CK435" t="s">
        <v>1509</v>
      </c>
      <c r="CL435">
        <v>43820.570717592593</v>
      </c>
      <c r="CO435" t="s">
        <v>11</v>
      </c>
      <c r="CP435">
        <v>399.15</v>
      </c>
      <c r="CQ435" t="s">
        <v>11</v>
      </c>
      <c r="CR435">
        <v>399.15</v>
      </c>
      <c r="CV435" t="s">
        <v>190</v>
      </c>
      <c r="CW435" t="s">
        <v>12</v>
      </c>
      <c r="CX435" t="s">
        <v>12</v>
      </c>
      <c r="CY435" t="s">
        <v>12</v>
      </c>
      <c r="DA435" t="s">
        <v>104</v>
      </c>
      <c r="DD435" t="s">
        <v>93</v>
      </c>
      <c r="DQ435" t="s">
        <v>94</v>
      </c>
      <c r="DR435" t="s">
        <v>94</v>
      </c>
      <c r="DS435" t="s">
        <v>94</v>
      </c>
      <c r="DT435" t="s">
        <v>94</v>
      </c>
      <c r="DU435" t="s">
        <v>94</v>
      </c>
      <c r="DV435" t="s">
        <v>94</v>
      </c>
      <c r="DW435" t="s">
        <v>94</v>
      </c>
      <c r="DX435" s="2" t="s">
        <v>94</v>
      </c>
      <c r="DY435" t="s">
        <v>94</v>
      </c>
      <c r="DZ435" t="s">
        <v>94</v>
      </c>
      <c r="EA435" t="s">
        <v>94</v>
      </c>
      <c r="EB435" t="s">
        <v>94</v>
      </c>
      <c r="EC435" t="s">
        <v>94</v>
      </c>
      <c r="ED435" t="s">
        <v>94</v>
      </c>
      <c r="EE435" t="s">
        <v>89</v>
      </c>
      <c r="EF435" t="s">
        <v>425</v>
      </c>
      <c r="EG435" t="s">
        <v>105</v>
      </c>
      <c r="EJ435" t="s">
        <v>166</v>
      </c>
      <c r="EK435" t="b">
        <v>0</v>
      </c>
      <c r="EL435" t="b">
        <v>0</v>
      </c>
      <c r="EM435" t="b">
        <v>0</v>
      </c>
    </row>
    <row r="436" spans="3:143">
      <c r="C436" s="4">
        <v>3</v>
      </c>
      <c r="D436" s="5"/>
      <c r="E436" s="5">
        <v>2</v>
      </c>
      <c r="F436" s="4">
        <v>11.1</v>
      </c>
      <c r="G436" s="5" t="s">
        <v>5828</v>
      </c>
      <c r="H436" s="4" t="s">
        <v>5836</v>
      </c>
      <c r="I436" s="4" t="s">
        <v>920</v>
      </c>
      <c r="J436" s="4"/>
      <c r="K436" s="22" t="s">
        <v>5795</v>
      </c>
      <c r="L436" s="84" t="s">
        <v>5772</v>
      </c>
      <c r="M436" s="23" t="s">
        <v>920</v>
      </c>
      <c r="N436" s="23">
        <v>43820</v>
      </c>
      <c r="O436" s="24" t="s">
        <v>102</v>
      </c>
      <c r="P436" s="24" t="s">
        <v>181</v>
      </c>
      <c r="Q436" s="24">
        <v>2</v>
      </c>
      <c r="R436" s="24">
        <v>11.1</v>
      </c>
      <c r="S436" t="s">
        <v>319</v>
      </c>
      <c r="T436">
        <v>96</v>
      </c>
      <c r="U436" s="2" t="s">
        <v>163</v>
      </c>
      <c r="V436">
        <v>43820.864201388889</v>
      </c>
      <c r="W436" s="2" t="s">
        <v>444</v>
      </c>
      <c r="X436">
        <v>43823.419374999998</v>
      </c>
      <c r="AB436" t="s">
        <v>9</v>
      </c>
      <c r="AC436" t="s">
        <v>5796</v>
      </c>
      <c r="AD436" t="s">
        <v>209</v>
      </c>
      <c r="AE436">
        <v>70327028</v>
      </c>
      <c r="AF436">
        <v>70327028</v>
      </c>
      <c r="AG436" t="s">
        <v>183</v>
      </c>
      <c r="AH436" t="s">
        <v>5797</v>
      </c>
      <c r="AI436" t="s">
        <v>5797</v>
      </c>
      <c r="AJ436" t="s">
        <v>776</v>
      </c>
      <c r="AK436" t="s">
        <v>777</v>
      </c>
      <c r="AL436" t="s">
        <v>5798</v>
      </c>
      <c r="AO436" t="s">
        <v>5799</v>
      </c>
      <c r="AP436" t="s">
        <v>5800</v>
      </c>
      <c r="AQ436" t="s">
        <v>5801</v>
      </c>
      <c r="AR436" t="s">
        <v>5837</v>
      </c>
      <c r="AS436" t="s">
        <v>5838</v>
      </c>
      <c r="AT436" t="s">
        <v>5802</v>
      </c>
      <c r="AU436" t="s">
        <v>10</v>
      </c>
      <c r="AV436" t="s">
        <v>5803</v>
      </c>
      <c r="AW436" t="s">
        <v>5803</v>
      </c>
      <c r="AX436" t="s">
        <v>5804</v>
      </c>
      <c r="BA436" t="s">
        <v>520</v>
      </c>
      <c r="BB436" t="s">
        <v>223</v>
      </c>
      <c r="BC436" t="s">
        <v>188</v>
      </c>
      <c r="BD436">
        <v>510507</v>
      </c>
      <c r="BE436">
        <v>13530662291</v>
      </c>
      <c r="BG436" t="b">
        <v>0</v>
      </c>
      <c r="BH436" s="6" t="s">
        <v>5805</v>
      </c>
      <c r="BI436" t="s">
        <v>5806</v>
      </c>
      <c r="BJ436">
        <v>4453163191</v>
      </c>
      <c r="BK436" t="s">
        <v>162</v>
      </c>
      <c r="BL436" t="s">
        <v>161</v>
      </c>
      <c r="BM436" s="2"/>
      <c r="BO436" t="s">
        <v>89</v>
      </c>
      <c r="BP436">
        <v>94054090</v>
      </c>
      <c r="BR436" t="s">
        <v>189</v>
      </c>
      <c r="BS436" t="s">
        <v>103</v>
      </c>
      <c r="BU436">
        <v>0</v>
      </c>
      <c r="BV436">
        <v>92.64</v>
      </c>
      <c r="BW436">
        <v>0</v>
      </c>
      <c r="BX436">
        <v>0</v>
      </c>
      <c r="BY436">
        <v>0</v>
      </c>
      <c r="BZ436">
        <v>0</v>
      </c>
      <c r="CA436">
        <v>92.64</v>
      </c>
      <c r="CF436" s="2"/>
      <c r="CH436" s="2"/>
      <c r="CJ436">
        <v>5.3142019950192698E+17</v>
      </c>
      <c r="CK436" t="s">
        <v>1509</v>
      </c>
      <c r="CL436">
        <v>43820.571203703701</v>
      </c>
      <c r="CO436" t="s">
        <v>11</v>
      </c>
      <c r="CP436">
        <v>672.25</v>
      </c>
      <c r="CQ436" t="s">
        <v>11</v>
      </c>
      <c r="CR436">
        <v>672.25</v>
      </c>
      <c r="CV436" t="s">
        <v>190</v>
      </c>
      <c r="CW436" t="s">
        <v>12</v>
      </c>
      <c r="CX436" t="s">
        <v>12</v>
      </c>
      <c r="CY436" t="s">
        <v>12</v>
      </c>
      <c r="DA436" t="s">
        <v>104</v>
      </c>
      <c r="DD436" t="s">
        <v>93</v>
      </c>
      <c r="DQ436" t="s">
        <v>94</v>
      </c>
      <c r="DR436" t="s">
        <v>94</v>
      </c>
      <c r="DS436" t="s">
        <v>94</v>
      </c>
      <c r="DT436" t="s">
        <v>94</v>
      </c>
      <c r="DU436" t="s">
        <v>94</v>
      </c>
      <c r="DV436" t="s">
        <v>94</v>
      </c>
      <c r="DW436" t="s">
        <v>94</v>
      </c>
      <c r="DX436" s="2" t="s">
        <v>94</v>
      </c>
      <c r="DY436" t="s">
        <v>94</v>
      </c>
      <c r="DZ436" t="s">
        <v>94</v>
      </c>
      <c r="EA436" t="s">
        <v>94</v>
      </c>
      <c r="EB436" t="s">
        <v>94</v>
      </c>
      <c r="EC436" t="s">
        <v>94</v>
      </c>
      <c r="ED436" t="s">
        <v>94</v>
      </c>
      <c r="EE436" t="s">
        <v>89</v>
      </c>
      <c r="EF436" t="s">
        <v>425</v>
      </c>
      <c r="EG436" t="s">
        <v>105</v>
      </c>
      <c r="EJ436" t="s">
        <v>166</v>
      </c>
      <c r="EK436" t="b">
        <v>0</v>
      </c>
      <c r="EL436" t="b">
        <v>0</v>
      </c>
      <c r="EM436" t="b">
        <v>0</v>
      </c>
    </row>
    <row r="437" spans="3:143" ht="15">
      <c r="C437" s="82">
        <v>3</v>
      </c>
      <c r="D437" s="5"/>
      <c r="E437" s="4">
        <v>1</v>
      </c>
      <c r="F437" s="5">
        <v>6.9</v>
      </c>
      <c r="G437" s="5" t="s">
        <v>5839</v>
      </c>
      <c r="H437" s="4" t="s">
        <v>5409</v>
      </c>
      <c r="I437" s="81" t="s">
        <v>164</v>
      </c>
      <c r="J437" s="21"/>
      <c r="K437" s="22" t="s">
        <v>5807</v>
      </c>
      <c r="L437" s="84" t="s">
        <v>5404</v>
      </c>
      <c r="M437" s="23" t="s">
        <v>164</v>
      </c>
      <c r="N437" s="23">
        <v>43817</v>
      </c>
      <c r="O437" s="24" t="s">
        <v>102</v>
      </c>
      <c r="P437" s="24" t="s">
        <v>181</v>
      </c>
      <c r="Q437" s="24">
        <v>1</v>
      </c>
      <c r="R437" s="24">
        <v>6.9</v>
      </c>
      <c r="S437" t="s">
        <v>319</v>
      </c>
      <c r="T437">
        <v>54</v>
      </c>
      <c r="U437" s="2" t="s">
        <v>163</v>
      </c>
      <c r="V437">
        <v>43817.841550925928</v>
      </c>
      <c r="W437" s="2" t="s">
        <v>444</v>
      </c>
      <c r="X437">
        <v>43819.598773148151</v>
      </c>
      <c r="AB437" t="s">
        <v>9</v>
      </c>
      <c r="AC437" t="s">
        <v>5758</v>
      </c>
      <c r="AD437" t="s">
        <v>182</v>
      </c>
      <c r="AE437">
        <v>24617</v>
      </c>
      <c r="AF437">
        <v>24617</v>
      </c>
      <c r="AG437" t="s">
        <v>183</v>
      </c>
      <c r="AH437" t="s">
        <v>5759</v>
      </c>
      <c r="AI437" t="s">
        <v>5759</v>
      </c>
      <c r="AJ437" t="s">
        <v>795</v>
      </c>
      <c r="AK437" t="s">
        <v>796</v>
      </c>
      <c r="AL437" t="s">
        <v>5760</v>
      </c>
      <c r="AO437" t="s">
        <v>5761</v>
      </c>
      <c r="AP437" t="s">
        <v>5762</v>
      </c>
      <c r="AQ437" t="s">
        <v>5763</v>
      </c>
      <c r="AR437" t="s">
        <v>5826</v>
      </c>
      <c r="AS437">
        <v>963843700</v>
      </c>
      <c r="AT437" t="s">
        <v>5764</v>
      </c>
      <c r="AU437" t="s">
        <v>10</v>
      </c>
      <c r="AV437" t="s">
        <v>5765</v>
      </c>
      <c r="AW437" t="s">
        <v>5765</v>
      </c>
      <c r="AX437" t="s">
        <v>5766</v>
      </c>
      <c r="AY437" s="2" t="s">
        <v>5767</v>
      </c>
      <c r="AZ437" t="s">
        <v>5768</v>
      </c>
      <c r="BA437" t="s">
        <v>186</v>
      </c>
      <c r="BB437" t="s">
        <v>187</v>
      </c>
      <c r="BC437" t="s">
        <v>188</v>
      </c>
      <c r="BD437">
        <v>518100</v>
      </c>
      <c r="BE437">
        <v>13684951989</v>
      </c>
      <c r="BF437" t="s">
        <v>5769</v>
      </c>
      <c r="BG437" t="b">
        <v>0</v>
      </c>
      <c r="BH437" s="6" t="s">
        <v>5770</v>
      </c>
      <c r="BI437" t="s">
        <v>5808</v>
      </c>
      <c r="BJ437">
        <v>4453163191</v>
      </c>
      <c r="BK437" t="s">
        <v>162</v>
      </c>
      <c r="BL437" t="s">
        <v>161</v>
      </c>
      <c r="BM437" s="2"/>
      <c r="BO437" t="s">
        <v>89</v>
      </c>
      <c r="BP437">
        <v>94054090</v>
      </c>
      <c r="BR437" t="s">
        <v>180</v>
      </c>
      <c r="BS437" t="s">
        <v>103</v>
      </c>
      <c r="BU437">
        <v>0</v>
      </c>
      <c r="BV437">
        <v>52.1</v>
      </c>
      <c r="BW437">
        <v>0</v>
      </c>
      <c r="BX437">
        <v>0</v>
      </c>
      <c r="BY437">
        <v>0</v>
      </c>
      <c r="BZ437">
        <v>0</v>
      </c>
      <c r="CA437">
        <v>52.1</v>
      </c>
      <c r="CF437" s="2"/>
      <c r="CH437" s="2"/>
      <c r="CJ437">
        <v>5.3142019950189901E+17</v>
      </c>
      <c r="CK437" t="s">
        <v>2648</v>
      </c>
      <c r="CL437">
        <v>43817.428738425922</v>
      </c>
      <c r="CO437" t="s">
        <v>11</v>
      </c>
      <c r="CP437">
        <v>378.14</v>
      </c>
      <c r="CQ437" t="s">
        <v>11</v>
      </c>
      <c r="CR437">
        <v>378.14</v>
      </c>
      <c r="CV437" t="s">
        <v>190</v>
      </c>
      <c r="CW437" t="s">
        <v>12</v>
      </c>
      <c r="CX437" t="s">
        <v>12</v>
      </c>
      <c r="CY437" t="s">
        <v>12</v>
      </c>
      <c r="DA437" t="s">
        <v>104</v>
      </c>
      <c r="DD437" t="s">
        <v>93</v>
      </c>
      <c r="DQ437" t="s">
        <v>94</v>
      </c>
      <c r="DR437" t="s">
        <v>94</v>
      </c>
      <c r="DS437" t="s">
        <v>94</v>
      </c>
      <c r="DT437" t="s">
        <v>94</v>
      </c>
      <c r="DU437" t="s">
        <v>94</v>
      </c>
      <c r="DV437" t="s">
        <v>94</v>
      </c>
      <c r="DW437" t="s">
        <v>94</v>
      </c>
      <c r="DX437" s="2" t="s">
        <v>94</v>
      </c>
      <c r="DY437" t="s">
        <v>94</v>
      </c>
      <c r="DZ437" t="s">
        <v>94</v>
      </c>
      <c r="EA437" t="s">
        <v>94</v>
      </c>
      <c r="EB437" t="s">
        <v>94</v>
      </c>
      <c r="EC437" t="s">
        <v>94</v>
      </c>
      <c r="ED437" t="s">
        <v>94</v>
      </c>
      <c r="EE437" t="s">
        <v>89</v>
      </c>
      <c r="EF437" t="s">
        <v>94</v>
      </c>
      <c r="EG437" t="s">
        <v>543</v>
      </c>
      <c r="EJ437" t="s">
        <v>166</v>
      </c>
      <c r="EK437" t="b">
        <v>0</v>
      </c>
      <c r="EL437" t="b">
        <v>0</v>
      </c>
      <c r="EM437" t="b">
        <v>0</v>
      </c>
    </row>
    <row r="438" spans="3:143">
      <c r="C438" s="4">
        <v>3</v>
      </c>
      <c r="D438" s="4"/>
      <c r="E438" s="4">
        <v>1</v>
      </c>
      <c r="F438" s="4">
        <v>0.5</v>
      </c>
      <c r="G438" s="5" t="s">
        <v>5839</v>
      </c>
      <c r="H438" s="4" t="s">
        <v>5840</v>
      </c>
      <c r="I438" s="4" t="s">
        <v>164</v>
      </c>
      <c r="J438" s="5"/>
      <c r="K438" s="22" t="s">
        <v>5841</v>
      </c>
      <c r="L438" s="84" t="s">
        <v>5404</v>
      </c>
      <c r="M438" s="23" t="s">
        <v>164</v>
      </c>
      <c r="N438" s="23">
        <v>43817</v>
      </c>
      <c r="O438" s="24" t="s">
        <v>102</v>
      </c>
      <c r="P438" s="24" t="s">
        <v>179</v>
      </c>
      <c r="Q438" s="24">
        <v>1</v>
      </c>
      <c r="R438" s="24">
        <v>0.5</v>
      </c>
      <c r="S438" t="s">
        <v>372</v>
      </c>
      <c r="T438">
        <v>20</v>
      </c>
      <c r="U438" s="2" t="s">
        <v>163</v>
      </c>
      <c r="V438">
        <v>43817.841481481482</v>
      </c>
      <c r="W438" s="2" t="s">
        <v>444</v>
      </c>
      <c r="X438">
        <v>43819.598773148151</v>
      </c>
      <c r="AB438" t="s">
        <v>9</v>
      </c>
      <c r="AC438" t="s">
        <v>5809</v>
      </c>
      <c r="AD438" t="s">
        <v>200</v>
      </c>
      <c r="AE438">
        <v>2447826</v>
      </c>
      <c r="AF438">
        <v>2447826</v>
      </c>
      <c r="AG438" t="s">
        <v>183</v>
      </c>
      <c r="AH438" t="s">
        <v>5810</v>
      </c>
      <c r="AI438" t="s">
        <v>5810</v>
      </c>
      <c r="AJ438" t="s">
        <v>184</v>
      </c>
      <c r="AK438" t="s">
        <v>185</v>
      </c>
      <c r="AL438" t="s">
        <v>5811</v>
      </c>
      <c r="AM438" t="s">
        <v>5812</v>
      </c>
      <c r="AN438" t="s">
        <v>5813</v>
      </c>
      <c r="AO438" t="s">
        <v>5814</v>
      </c>
      <c r="AP438" t="s">
        <v>5815</v>
      </c>
      <c r="AQ438" t="s">
        <v>4924</v>
      </c>
      <c r="AR438" t="s">
        <v>5816</v>
      </c>
      <c r="AS438">
        <v>1924841292</v>
      </c>
      <c r="AU438" t="s">
        <v>10</v>
      </c>
      <c r="AV438" t="s">
        <v>5817</v>
      </c>
      <c r="AW438" t="s">
        <v>5818</v>
      </c>
      <c r="AX438" t="s">
        <v>5819</v>
      </c>
      <c r="AY438" t="s">
        <v>5820</v>
      </c>
      <c r="AZ438" t="s">
        <v>5821</v>
      </c>
      <c r="BA438" t="s">
        <v>4004</v>
      </c>
      <c r="BB438" t="s">
        <v>560</v>
      </c>
      <c r="BC438" t="s">
        <v>188</v>
      </c>
      <c r="BD438">
        <v>528231</v>
      </c>
      <c r="BE438">
        <v>8613925946954</v>
      </c>
      <c r="BG438" t="b">
        <v>0</v>
      </c>
      <c r="BH438" s="6" t="s">
        <v>5822</v>
      </c>
      <c r="BI438" t="s">
        <v>5823</v>
      </c>
      <c r="BJ438">
        <v>4453163191</v>
      </c>
      <c r="BK438" t="s">
        <v>162</v>
      </c>
      <c r="BL438" t="s">
        <v>161</v>
      </c>
      <c r="BM438" s="2"/>
      <c r="BO438" t="s">
        <v>89</v>
      </c>
      <c r="BP438">
        <v>3926909090</v>
      </c>
      <c r="BR438" t="s">
        <v>180</v>
      </c>
      <c r="BS438" t="s">
        <v>103</v>
      </c>
      <c r="BU438">
        <v>0</v>
      </c>
      <c r="BV438">
        <v>0</v>
      </c>
      <c r="BW438">
        <v>0</v>
      </c>
      <c r="BX438">
        <v>0</v>
      </c>
      <c r="BY438">
        <v>0</v>
      </c>
      <c r="BZ438">
        <v>0</v>
      </c>
      <c r="CA438">
        <v>0</v>
      </c>
      <c r="CF438" s="2"/>
      <c r="CH438" s="2"/>
      <c r="CJ438">
        <v>5.3142019950189901E+17</v>
      </c>
      <c r="CK438" t="s">
        <v>2648</v>
      </c>
      <c r="CL438">
        <v>43817.376643518517</v>
      </c>
      <c r="CO438" t="s">
        <v>11</v>
      </c>
      <c r="CP438">
        <v>179.97</v>
      </c>
      <c r="CQ438" t="s">
        <v>11</v>
      </c>
      <c r="CR438">
        <v>179.97</v>
      </c>
      <c r="CV438" t="s">
        <v>190</v>
      </c>
      <c r="CW438" t="s">
        <v>12</v>
      </c>
      <c r="CX438" t="s">
        <v>12</v>
      </c>
      <c r="CY438" t="s">
        <v>12</v>
      </c>
      <c r="DA438" t="s">
        <v>104</v>
      </c>
      <c r="DD438" t="s">
        <v>93</v>
      </c>
      <c r="DQ438" t="s">
        <v>94</v>
      </c>
      <c r="DR438" t="s">
        <v>94</v>
      </c>
      <c r="DS438" t="s">
        <v>94</v>
      </c>
      <c r="DT438" t="s">
        <v>94</v>
      </c>
      <c r="DU438" t="s">
        <v>94</v>
      </c>
      <c r="DV438" t="s">
        <v>94</v>
      </c>
      <c r="DW438" t="s">
        <v>94</v>
      </c>
      <c r="DX438" s="2" t="s">
        <v>94</v>
      </c>
      <c r="DY438" t="s">
        <v>94</v>
      </c>
      <c r="DZ438" t="s">
        <v>94</v>
      </c>
      <c r="EA438" t="s">
        <v>94</v>
      </c>
      <c r="EB438" t="s">
        <v>94</v>
      </c>
      <c r="EC438" t="s">
        <v>94</v>
      </c>
      <c r="ED438" t="s">
        <v>94</v>
      </c>
      <c r="EE438" t="s">
        <v>89</v>
      </c>
      <c r="EF438" t="s">
        <v>425</v>
      </c>
      <c r="EG438" t="s">
        <v>105</v>
      </c>
      <c r="EJ438" t="s">
        <v>166</v>
      </c>
      <c r="EK438" t="b">
        <v>0</v>
      </c>
      <c r="EL438" t="b">
        <v>0</v>
      </c>
      <c r="EM438" t="b">
        <v>0</v>
      </c>
    </row>
    <row r="439" spans="3:143" ht="15">
      <c r="C439" s="82">
        <v>2</v>
      </c>
      <c r="D439" s="5"/>
      <c r="E439" s="4">
        <v>1</v>
      </c>
      <c r="F439" s="5">
        <v>25.96</v>
      </c>
      <c r="G439" s="5" t="s">
        <v>5940</v>
      </c>
      <c r="H439" s="4" t="s">
        <v>5544</v>
      </c>
      <c r="I439" s="81" t="s">
        <v>817</v>
      </c>
      <c r="J439" s="21"/>
      <c r="K439" s="22" t="s">
        <v>5939</v>
      </c>
      <c r="L439" s="84" t="s">
        <v>5495</v>
      </c>
      <c r="M439" s="23" t="s">
        <v>817</v>
      </c>
      <c r="N439" s="23">
        <v>43821</v>
      </c>
      <c r="O439" s="24" t="s">
        <v>102</v>
      </c>
      <c r="P439" s="24" t="s">
        <v>181</v>
      </c>
      <c r="Q439" s="24">
        <v>1</v>
      </c>
      <c r="R439" s="24">
        <v>25.96</v>
      </c>
      <c r="S439" t="s">
        <v>11</v>
      </c>
      <c r="T439">
        <v>1298</v>
      </c>
      <c r="U439" s="2" t="s">
        <v>163</v>
      </c>
      <c r="V439" t="s">
        <v>5941</v>
      </c>
      <c r="W439" s="2" t="s">
        <v>444</v>
      </c>
      <c r="X439" t="s">
        <v>5942</v>
      </c>
      <c r="AB439" t="s">
        <v>9</v>
      </c>
      <c r="AC439" t="s">
        <v>5640</v>
      </c>
      <c r="AD439" t="s">
        <v>191</v>
      </c>
      <c r="AE439">
        <v>754878</v>
      </c>
      <c r="AF439">
        <v>754878</v>
      </c>
      <c r="AG439" t="s">
        <v>183</v>
      </c>
      <c r="AH439" t="s">
        <v>5641</v>
      </c>
      <c r="AI439" t="s">
        <v>5641</v>
      </c>
      <c r="AJ439" t="s">
        <v>2322</v>
      </c>
      <c r="AK439" t="s">
        <v>2323</v>
      </c>
      <c r="AL439" t="s">
        <v>5642</v>
      </c>
      <c r="AM439" t="s">
        <v>5643</v>
      </c>
      <c r="AN439" t="s">
        <v>5644</v>
      </c>
      <c r="AO439" t="s">
        <v>5645</v>
      </c>
      <c r="AP439" t="s">
        <v>5646</v>
      </c>
      <c r="AQ439" t="s">
        <v>5647</v>
      </c>
      <c r="AR439" t="s">
        <v>5709</v>
      </c>
      <c r="AS439">
        <v>-902626430001</v>
      </c>
      <c r="AT439" t="s">
        <v>5648</v>
      </c>
      <c r="AU439" t="s">
        <v>10</v>
      </c>
      <c r="AV439" t="s">
        <v>5869</v>
      </c>
      <c r="AW439" t="s">
        <v>5869</v>
      </c>
      <c r="AX439" t="s">
        <v>5870</v>
      </c>
      <c r="AY439" s="2" t="s">
        <v>5871</v>
      </c>
      <c r="BA439" t="s">
        <v>371</v>
      </c>
      <c r="BB439" t="s">
        <v>192</v>
      </c>
      <c r="BC439" t="s">
        <v>188</v>
      </c>
      <c r="BD439">
        <v>523572</v>
      </c>
      <c r="BE439">
        <v>-83338957</v>
      </c>
      <c r="BF439" t="s">
        <v>5872</v>
      </c>
      <c r="BG439" t="b">
        <v>0</v>
      </c>
      <c r="BH439" s="6" t="s">
        <v>5873</v>
      </c>
      <c r="BI439" t="s">
        <v>5874</v>
      </c>
      <c r="BJ439">
        <v>4453163191</v>
      </c>
      <c r="BK439" t="s">
        <v>162</v>
      </c>
      <c r="BL439" t="s">
        <v>161</v>
      </c>
      <c r="BM439" s="2"/>
      <c r="BO439" t="s">
        <v>89</v>
      </c>
      <c r="BP439">
        <v>3907999990</v>
      </c>
      <c r="BR439" t="s">
        <v>180</v>
      </c>
      <c r="BS439" t="s">
        <v>103</v>
      </c>
      <c r="BU439">
        <v>84.37</v>
      </c>
      <c r="BV439">
        <v>179.71</v>
      </c>
      <c r="BW439">
        <v>0</v>
      </c>
      <c r="BX439">
        <v>0</v>
      </c>
      <c r="BY439">
        <v>0</v>
      </c>
      <c r="BZ439">
        <v>0</v>
      </c>
      <c r="CA439">
        <v>264.08</v>
      </c>
      <c r="CF439" s="2"/>
      <c r="CH439" s="2"/>
      <c r="CJ439">
        <v>5.3142019950192902E+17</v>
      </c>
      <c r="CK439" t="s">
        <v>445</v>
      </c>
      <c r="CL439" t="s">
        <v>5943</v>
      </c>
      <c r="CO439" t="s">
        <v>11</v>
      </c>
      <c r="CP439">
        <v>1298</v>
      </c>
      <c r="CQ439" t="s">
        <v>11</v>
      </c>
      <c r="CR439">
        <v>1298</v>
      </c>
      <c r="CV439" t="s">
        <v>190</v>
      </c>
      <c r="CW439" t="s">
        <v>12</v>
      </c>
      <c r="CX439" t="s">
        <v>12</v>
      </c>
      <c r="CY439" t="s">
        <v>12</v>
      </c>
      <c r="DA439" t="s">
        <v>104</v>
      </c>
      <c r="DD439" t="s">
        <v>93</v>
      </c>
      <c r="DQ439" t="s">
        <v>94</v>
      </c>
      <c r="DR439" t="s">
        <v>94</v>
      </c>
      <c r="DS439" t="s">
        <v>94</v>
      </c>
      <c r="DT439" t="s">
        <v>94</v>
      </c>
      <c r="DU439" t="s">
        <v>94</v>
      </c>
      <c r="DV439" t="s">
        <v>94</v>
      </c>
      <c r="DW439" t="s">
        <v>94</v>
      </c>
      <c r="DX439" s="2" t="s">
        <v>94</v>
      </c>
      <c r="DY439" t="s">
        <v>94</v>
      </c>
      <c r="DZ439" t="s">
        <v>94</v>
      </c>
      <c r="EA439" t="s">
        <v>94</v>
      </c>
      <c r="EB439" t="s">
        <v>94</v>
      </c>
      <c r="EC439" t="s">
        <v>94</v>
      </c>
      <c r="ED439" t="s">
        <v>94</v>
      </c>
      <c r="EE439" t="s">
        <v>89</v>
      </c>
      <c r="EF439" t="s">
        <v>425</v>
      </c>
      <c r="EG439" t="s">
        <v>105</v>
      </c>
      <c r="EJ439" t="s">
        <v>166</v>
      </c>
      <c r="EK439" t="b">
        <v>0</v>
      </c>
      <c r="EL439" t="b">
        <v>0</v>
      </c>
      <c r="EM439" t="b">
        <v>0</v>
      </c>
    </row>
    <row r="440" spans="3:143">
      <c r="C440" s="4">
        <v>1313</v>
      </c>
      <c r="D440" s="4"/>
      <c r="E440" s="4">
        <v>2</v>
      </c>
      <c r="F440" s="4">
        <v>24</v>
      </c>
      <c r="G440" s="5" t="s">
        <v>5940</v>
      </c>
      <c r="H440" s="4" t="s">
        <v>5944</v>
      </c>
      <c r="I440" s="4" t="s">
        <v>817</v>
      </c>
      <c r="J440" s="5"/>
      <c r="K440" s="22" t="s">
        <v>5945</v>
      </c>
      <c r="L440" s="84" t="s">
        <v>5495</v>
      </c>
      <c r="M440" s="23" t="s">
        <v>926</v>
      </c>
      <c r="N440" s="23">
        <v>43821</v>
      </c>
      <c r="O440" s="24" t="s">
        <v>102</v>
      </c>
      <c r="P440" s="24" t="s">
        <v>181</v>
      </c>
      <c r="Q440" s="24">
        <v>2</v>
      </c>
      <c r="R440" s="24">
        <v>24</v>
      </c>
      <c r="S440" t="s">
        <v>11</v>
      </c>
      <c r="T440">
        <v>2629.9</v>
      </c>
      <c r="U440" s="2" t="s">
        <v>163</v>
      </c>
      <c r="V440" t="s">
        <v>5946</v>
      </c>
      <c r="W440" s="2" t="s">
        <v>444</v>
      </c>
      <c r="X440" t="s">
        <v>5947</v>
      </c>
      <c r="AB440" t="s">
        <v>9</v>
      </c>
      <c r="AC440" t="s">
        <v>5842</v>
      </c>
      <c r="AD440" t="s">
        <v>191</v>
      </c>
      <c r="AE440">
        <v>158904</v>
      </c>
      <c r="AF440">
        <v>158904</v>
      </c>
      <c r="AG440" t="s">
        <v>183</v>
      </c>
      <c r="AH440" t="s">
        <v>5843</v>
      </c>
      <c r="AI440" t="s">
        <v>5843</v>
      </c>
      <c r="AJ440" t="s">
        <v>484</v>
      </c>
      <c r="AK440" t="s">
        <v>485</v>
      </c>
      <c r="AL440" t="s">
        <v>5844</v>
      </c>
      <c r="AO440" t="s">
        <v>5845</v>
      </c>
      <c r="AP440" t="s">
        <v>5846</v>
      </c>
      <c r="AQ440" t="s">
        <v>1106</v>
      </c>
      <c r="AR440" t="s">
        <v>5847</v>
      </c>
      <c r="AS440">
        <v>105904508</v>
      </c>
      <c r="AT440" t="s">
        <v>5848</v>
      </c>
      <c r="AU440" t="s">
        <v>10</v>
      </c>
      <c r="AV440" t="s">
        <v>5849</v>
      </c>
      <c r="AW440" t="s">
        <v>5850</v>
      </c>
      <c r="AX440" t="s">
        <v>5851</v>
      </c>
      <c r="AY440" t="s">
        <v>5852</v>
      </c>
      <c r="AZ440" t="s">
        <v>3455</v>
      </c>
      <c r="BA440" t="s">
        <v>726</v>
      </c>
      <c r="BB440" t="s">
        <v>192</v>
      </c>
      <c r="BC440" t="s">
        <v>188</v>
      </c>
      <c r="BD440">
        <v>523001</v>
      </c>
      <c r="BE440">
        <v>-8676983058588</v>
      </c>
      <c r="BF440" t="s">
        <v>5853</v>
      </c>
      <c r="BG440" t="b">
        <v>0</v>
      </c>
      <c r="BH440" s="6" t="s">
        <v>5854</v>
      </c>
      <c r="BI440" t="s">
        <v>5855</v>
      </c>
      <c r="BJ440">
        <v>4453163191</v>
      </c>
      <c r="BK440" t="s">
        <v>162</v>
      </c>
      <c r="BL440" t="s">
        <v>161</v>
      </c>
      <c r="BM440" s="2"/>
      <c r="BO440" t="s">
        <v>89</v>
      </c>
      <c r="BP440">
        <v>95069900</v>
      </c>
      <c r="BR440" t="s">
        <v>180</v>
      </c>
      <c r="BS440" t="s">
        <v>103</v>
      </c>
      <c r="BU440">
        <v>157.80000000000001</v>
      </c>
      <c r="BV440">
        <v>362.4</v>
      </c>
      <c r="BW440">
        <v>0</v>
      </c>
      <c r="BX440">
        <v>0</v>
      </c>
      <c r="BY440">
        <v>0</v>
      </c>
      <c r="BZ440">
        <v>0</v>
      </c>
      <c r="CA440">
        <v>520.20000000000005</v>
      </c>
      <c r="CF440" s="2"/>
      <c r="CH440" s="2"/>
      <c r="CJ440">
        <v>5.3142019950194803E+17</v>
      </c>
      <c r="CK440" t="s">
        <v>445</v>
      </c>
      <c r="CL440" t="s">
        <v>5948</v>
      </c>
      <c r="CO440" t="s">
        <v>11</v>
      </c>
      <c r="CP440">
        <v>2629.9</v>
      </c>
      <c r="CQ440" t="s">
        <v>11</v>
      </c>
      <c r="CR440">
        <v>2629.9</v>
      </c>
      <c r="CV440" t="s">
        <v>190</v>
      </c>
      <c r="CW440" t="s">
        <v>12</v>
      </c>
      <c r="CX440" t="s">
        <v>12</v>
      </c>
      <c r="CY440" t="s">
        <v>12</v>
      </c>
      <c r="DA440" t="s">
        <v>104</v>
      </c>
      <c r="DD440" t="s">
        <v>93</v>
      </c>
      <c r="DQ440" t="s">
        <v>94</v>
      </c>
      <c r="DR440" t="s">
        <v>94</v>
      </c>
      <c r="DS440" t="s">
        <v>94</v>
      </c>
      <c r="DT440" t="s">
        <v>94</v>
      </c>
      <c r="DU440" t="s">
        <v>94</v>
      </c>
      <c r="DV440" t="s">
        <v>94</v>
      </c>
      <c r="DW440" t="s">
        <v>94</v>
      </c>
      <c r="DX440" s="2" t="s">
        <v>94</v>
      </c>
      <c r="DY440" t="s">
        <v>94</v>
      </c>
      <c r="DZ440" t="s">
        <v>94</v>
      </c>
      <c r="EA440" t="s">
        <v>94</v>
      </c>
      <c r="EB440" t="s">
        <v>94</v>
      </c>
      <c r="EC440" t="s">
        <v>94</v>
      </c>
      <c r="ED440" t="s">
        <v>94</v>
      </c>
      <c r="EE440" t="s">
        <v>89</v>
      </c>
      <c r="EF440" t="s">
        <v>425</v>
      </c>
      <c r="EG440" t="s">
        <v>105</v>
      </c>
      <c r="EJ440" t="s">
        <v>526</v>
      </c>
      <c r="EK440" t="b">
        <v>0</v>
      </c>
      <c r="EL440" t="b">
        <v>0</v>
      </c>
      <c r="EM440" t="b">
        <v>0</v>
      </c>
    </row>
    <row r="441" spans="3:143">
      <c r="C441" s="4">
        <v>2</v>
      </c>
      <c r="D441" s="5"/>
      <c r="E441" s="5">
        <v>1</v>
      </c>
      <c r="F441" s="4">
        <v>8.15</v>
      </c>
      <c r="G441" s="5" t="s">
        <v>5940</v>
      </c>
      <c r="H441" s="4" t="s">
        <v>5949</v>
      </c>
      <c r="I441" s="4" t="s">
        <v>817</v>
      </c>
      <c r="J441" s="4"/>
      <c r="K441" s="22" t="s">
        <v>5875</v>
      </c>
      <c r="L441" s="84" t="s">
        <v>5495</v>
      </c>
      <c r="M441" s="23" t="s">
        <v>817</v>
      </c>
      <c r="N441" s="23">
        <v>43821</v>
      </c>
      <c r="O441" s="24" t="s">
        <v>102</v>
      </c>
      <c r="P441" s="24" t="s">
        <v>181</v>
      </c>
      <c r="Q441" s="24">
        <v>1</v>
      </c>
      <c r="R441" s="24">
        <v>8.15</v>
      </c>
      <c r="S441" t="s">
        <v>319</v>
      </c>
      <c r="T441">
        <v>280</v>
      </c>
      <c r="U441" s="2" t="s">
        <v>163</v>
      </c>
      <c r="V441" t="s">
        <v>5950</v>
      </c>
      <c r="W441" s="2" t="s">
        <v>207</v>
      </c>
      <c r="X441" t="s">
        <v>5951</v>
      </c>
      <c r="AB441" t="s">
        <v>9</v>
      </c>
      <c r="AC441" t="s">
        <v>5144</v>
      </c>
      <c r="AD441" t="s">
        <v>182</v>
      </c>
      <c r="AE441">
        <v>104392</v>
      </c>
      <c r="AF441">
        <v>104392</v>
      </c>
      <c r="AG441" t="s">
        <v>183</v>
      </c>
      <c r="AH441" t="s">
        <v>5145</v>
      </c>
      <c r="AI441" t="s">
        <v>5145</v>
      </c>
      <c r="AJ441" t="s">
        <v>1072</v>
      </c>
      <c r="AK441" t="s">
        <v>1073</v>
      </c>
      <c r="AL441" t="s">
        <v>5146</v>
      </c>
      <c r="AO441" t="s">
        <v>5147</v>
      </c>
      <c r="AP441" t="s">
        <v>5148</v>
      </c>
      <c r="AR441" t="s">
        <v>5149</v>
      </c>
      <c r="AS441">
        <v>-49082314</v>
      </c>
      <c r="AT441" t="s">
        <v>5150</v>
      </c>
      <c r="AU441" t="s">
        <v>10</v>
      </c>
      <c r="AV441" t="s">
        <v>5876</v>
      </c>
      <c r="AW441" t="s">
        <v>5876</v>
      </c>
      <c r="AX441" t="s">
        <v>5877</v>
      </c>
      <c r="AY441" t="s">
        <v>5878</v>
      </c>
      <c r="AZ441" t="s">
        <v>5879</v>
      </c>
      <c r="BA441" t="s">
        <v>186</v>
      </c>
      <c r="BB441" t="s">
        <v>187</v>
      </c>
      <c r="BC441" t="s">
        <v>188</v>
      </c>
      <c r="BD441">
        <v>518104</v>
      </c>
      <c r="BE441">
        <v>-15989091763</v>
      </c>
      <c r="BF441" t="s">
        <v>5880</v>
      </c>
      <c r="BG441" t="b">
        <v>0</v>
      </c>
      <c r="BH441" s="6" t="s">
        <v>5881</v>
      </c>
      <c r="BI441" t="s">
        <v>5882</v>
      </c>
      <c r="BJ441">
        <v>4453163191</v>
      </c>
      <c r="BK441" t="s">
        <v>162</v>
      </c>
      <c r="BL441" t="s">
        <v>161</v>
      </c>
      <c r="BM441" s="2"/>
      <c r="BO441" t="s">
        <v>89</v>
      </c>
      <c r="BP441">
        <v>73261910</v>
      </c>
      <c r="BR441" t="s">
        <v>189</v>
      </c>
      <c r="BS441" t="s">
        <v>103</v>
      </c>
      <c r="BU441">
        <v>156.86000000000001</v>
      </c>
      <c r="BV441">
        <v>275.29000000000002</v>
      </c>
      <c r="BW441">
        <v>0</v>
      </c>
      <c r="BX441">
        <v>0</v>
      </c>
      <c r="BY441">
        <v>0</v>
      </c>
      <c r="BZ441">
        <v>0</v>
      </c>
      <c r="CA441">
        <v>432.15</v>
      </c>
      <c r="CF441" s="2"/>
      <c r="CH441" s="2"/>
      <c r="CJ441">
        <v>5.3142019950192902E+17</v>
      </c>
      <c r="CK441" t="s">
        <v>445</v>
      </c>
      <c r="CL441" t="s">
        <v>5952</v>
      </c>
      <c r="CO441" t="s">
        <v>11</v>
      </c>
      <c r="CP441">
        <v>1960.73</v>
      </c>
      <c r="CQ441" t="s">
        <v>11</v>
      </c>
      <c r="CR441">
        <v>1960.73</v>
      </c>
      <c r="CV441" t="s">
        <v>190</v>
      </c>
      <c r="CW441" t="s">
        <v>12</v>
      </c>
      <c r="CX441" t="s">
        <v>12</v>
      </c>
      <c r="CY441" t="s">
        <v>12</v>
      </c>
      <c r="DA441" t="s">
        <v>104</v>
      </c>
      <c r="DD441" t="s">
        <v>93</v>
      </c>
      <c r="DQ441" t="s">
        <v>94</v>
      </c>
      <c r="DR441" t="s">
        <v>94</v>
      </c>
      <c r="DS441" t="s">
        <v>94</v>
      </c>
      <c r="DT441" t="s">
        <v>94</v>
      </c>
      <c r="DU441" t="s">
        <v>94</v>
      </c>
      <c r="DV441" t="s">
        <v>94</v>
      </c>
      <c r="DW441" t="s">
        <v>94</v>
      </c>
      <c r="DX441" s="2" t="s">
        <v>94</v>
      </c>
      <c r="DY441" t="s">
        <v>94</v>
      </c>
      <c r="DZ441" t="s">
        <v>94</v>
      </c>
      <c r="EA441" t="s">
        <v>94</v>
      </c>
      <c r="EB441" t="s">
        <v>94</v>
      </c>
      <c r="EC441" t="s">
        <v>94</v>
      </c>
      <c r="ED441" t="s">
        <v>94</v>
      </c>
      <c r="EE441" t="s">
        <v>89</v>
      </c>
      <c r="EF441" t="s">
        <v>425</v>
      </c>
      <c r="EG441" t="s">
        <v>105</v>
      </c>
      <c r="EJ441" t="s">
        <v>166</v>
      </c>
      <c r="EK441" t="b">
        <v>0</v>
      </c>
      <c r="EL441" t="b">
        <v>0</v>
      </c>
      <c r="EM441" t="b">
        <v>0</v>
      </c>
    </row>
    <row r="442" spans="3:143">
      <c r="C442" s="4">
        <v>2</v>
      </c>
      <c r="D442" s="5"/>
      <c r="E442" s="4">
        <v>2</v>
      </c>
      <c r="F442" s="4">
        <v>19.8</v>
      </c>
      <c r="G442" s="5" t="s">
        <v>5940</v>
      </c>
      <c r="H442" s="4" t="s">
        <v>5544</v>
      </c>
      <c r="I442" s="4" t="s">
        <v>817</v>
      </c>
      <c r="J442" s="4"/>
      <c r="K442" s="22" t="s">
        <v>5883</v>
      </c>
      <c r="L442" s="84" t="s">
        <v>5495</v>
      </c>
      <c r="M442" s="23" t="s">
        <v>817</v>
      </c>
      <c r="N442" s="23">
        <v>43821</v>
      </c>
      <c r="O442" s="24" t="s">
        <v>102</v>
      </c>
      <c r="P442" s="24" t="s">
        <v>181</v>
      </c>
      <c r="Q442" s="24">
        <v>2</v>
      </c>
      <c r="R442" s="24">
        <v>19.8</v>
      </c>
      <c r="S442" t="s">
        <v>11</v>
      </c>
      <c r="T442">
        <v>950</v>
      </c>
      <c r="U442" s="2" t="s">
        <v>163</v>
      </c>
      <c r="V442" t="s">
        <v>5953</v>
      </c>
      <c r="W442" s="2" t="s">
        <v>444</v>
      </c>
      <c r="X442" t="s">
        <v>5942</v>
      </c>
      <c r="AB442" t="s">
        <v>9</v>
      </c>
      <c r="AC442" t="s">
        <v>5884</v>
      </c>
      <c r="AD442" t="s">
        <v>191</v>
      </c>
      <c r="AE442">
        <v>70593344</v>
      </c>
      <c r="AF442">
        <v>70593344</v>
      </c>
      <c r="AG442" t="s">
        <v>183</v>
      </c>
      <c r="AH442" t="s">
        <v>5885</v>
      </c>
      <c r="AI442" t="s">
        <v>5885</v>
      </c>
      <c r="AJ442" t="s">
        <v>776</v>
      </c>
      <c r="AK442" t="s">
        <v>777</v>
      </c>
      <c r="AL442" t="s">
        <v>5886</v>
      </c>
      <c r="AO442" t="s">
        <v>5887</v>
      </c>
      <c r="AP442" t="s">
        <v>5888</v>
      </c>
      <c r="AQ442" t="s">
        <v>782</v>
      </c>
      <c r="AR442" t="s">
        <v>5954</v>
      </c>
      <c r="AS442">
        <v>22029831540</v>
      </c>
      <c r="AT442" t="s">
        <v>5889</v>
      </c>
      <c r="AU442" t="s">
        <v>10</v>
      </c>
      <c r="AV442" t="s">
        <v>5890</v>
      </c>
      <c r="AW442" t="s">
        <v>5890</v>
      </c>
      <c r="AX442" t="s">
        <v>5891</v>
      </c>
      <c r="AY442" t="s">
        <v>5892</v>
      </c>
      <c r="BA442" t="s">
        <v>726</v>
      </c>
      <c r="BB442" t="s">
        <v>192</v>
      </c>
      <c r="BC442" t="s">
        <v>188</v>
      </c>
      <c r="BD442">
        <v>523861</v>
      </c>
      <c r="BE442">
        <v>8613265859348</v>
      </c>
      <c r="BF442" t="s">
        <v>5893</v>
      </c>
      <c r="BG442" t="b">
        <v>0</v>
      </c>
      <c r="BH442" s="6" t="s">
        <v>5894</v>
      </c>
      <c r="BI442" t="s">
        <v>5895</v>
      </c>
      <c r="BJ442">
        <v>4453163191</v>
      </c>
      <c r="BK442" t="s">
        <v>162</v>
      </c>
      <c r="BL442" t="s">
        <v>161</v>
      </c>
      <c r="BM442" s="2"/>
      <c r="BO442" t="s">
        <v>89</v>
      </c>
      <c r="BP442">
        <v>3907999990</v>
      </c>
      <c r="BR442" t="s">
        <v>189</v>
      </c>
      <c r="BS442" t="s">
        <v>103</v>
      </c>
      <c r="BU442">
        <v>61.75</v>
      </c>
      <c r="BV442">
        <v>131.53</v>
      </c>
      <c r="BW442">
        <v>0</v>
      </c>
      <c r="BX442">
        <v>0</v>
      </c>
      <c r="BY442">
        <v>0</v>
      </c>
      <c r="BZ442">
        <v>0</v>
      </c>
      <c r="CA442">
        <v>193.28</v>
      </c>
      <c r="CF442" s="2"/>
      <c r="CH442" s="2"/>
      <c r="CJ442">
        <v>5.3142019950192902E+17</v>
      </c>
      <c r="CK442" t="s">
        <v>445</v>
      </c>
      <c r="CL442" t="s">
        <v>5955</v>
      </c>
      <c r="CO442" t="s">
        <v>11</v>
      </c>
      <c r="CP442">
        <v>950</v>
      </c>
      <c r="CQ442" t="s">
        <v>11</v>
      </c>
      <c r="CR442">
        <v>950</v>
      </c>
      <c r="CV442" t="s">
        <v>190</v>
      </c>
      <c r="CW442" t="s">
        <v>12</v>
      </c>
      <c r="CX442" t="s">
        <v>12</v>
      </c>
      <c r="CY442" t="s">
        <v>12</v>
      </c>
      <c r="DA442" t="s">
        <v>104</v>
      </c>
      <c r="DD442" t="s">
        <v>93</v>
      </c>
      <c r="DQ442" t="s">
        <v>94</v>
      </c>
      <c r="DR442" t="s">
        <v>94</v>
      </c>
      <c r="DS442" t="s">
        <v>94</v>
      </c>
      <c r="DT442" t="s">
        <v>94</v>
      </c>
      <c r="DU442" t="s">
        <v>94</v>
      </c>
      <c r="DV442" t="s">
        <v>94</v>
      </c>
      <c r="DW442" t="s">
        <v>94</v>
      </c>
      <c r="DX442" s="2" t="s">
        <v>94</v>
      </c>
      <c r="DY442" t="s">
        <v>94</v>
      </c>
      <c r="DZ442" t="s">
        <v>94</v>
      </c>
      <c r="EA442" t="s">
        <v>94</v>
      </c>
      <c r="EB442" t="s">
        <v>94</v>
      </c>
      <c r="EC442" t="s">
        <v>94</v>
      </c>
      <c r="ED442" t="s">
        <v>94</v>
      </c>
      <c r="EE442" t="s">
        <v>89</v>
      </c>
      <c r="EF442" t="s">
        <v>425</v>
      </c>
      <c r="EG442" t="s">
        <v>105</v>
      </c>
      <c r="EJ442" t="s">
        <v>166</v>
      </c>
      <c r="EK442" t="b">
        <v>0</v>
      </c>
      <c r="EL442" t="b">
        <v>0</v>
      </c>
      <c r="EM442" t="b">
        <v>0</v>
      </c>
    </row>
    <row r="443" spans="3:143" ht="15">
      <c r="C443" s="82">
        <v>9</v>
      </c>
      <c r="D443" s="5"/>
      <c r="E443" s="4">
        <v>1</v>
      </c>
      <c r="F443" s="5">
        <v>4.75</v>
      </c>
      <c r="G443" s="5" t="s">
        <v>5956</v>
      </c>
      <c r="H443" s="4" t="s">
        <v>5957</v>
      </c>
      <c r="I443" s="81" t="s">
        <v>920</v>
      </c>
      <c r="J443" s="21"/>
      <c r="K443" s="22" t="s">
        <v>5958</v>
      </c>
      <c r="L443" s="84" t="s">
        <v>5480</v>
      </c>
      <c r="M443" s="23" t="s">
        <v>926</v>
      </c>
      <c r="N443" s="23">
        <v>43824</v>
      </c>
      <c r="O443" s="24" t="s">
        <v>102</v>
      </c>
      <c r="P443" s="24" t="s">
        <v>181</v>
      </c>
      <c r="Q443" s="24">
        <v>1</v>
      </c>
      <c r="R443" s="24">
        <v>4.75</v>
      </c>
      <c r="S443" t="s">
        <v>11</v>
      </c>
      <c r="T443">
        <v>900</v>
      </c>
      <c r="U443" s="2" t="s">
        <v>163</v>
      </c>
      <c r="V443" t="s">
        <v>5959</v>
      </c>
      <c r="W443" s="2" t="s">
        <v>444</v>
      </c>
      <c r="X443" t="s">
        <v>5947</v>
      </c>
      <c r="AB443" t="s">
        <v>9</v>
      </c>
      <c r="AC443" t="s">
        <v>3900</v>
      </c>
      <c r="AD443" t="s">
        <v>209</v>
      </c>
      <c r="AE443">
        <v>1113445</v>
      </c>
      <c r="AF443">
        <v>1113445</v>
      </c>
      <c r="AG443" t="s">
        <v>183</v>
      </c>
      <c r="AH443" t="s">
        <v>5922</v>
      </c>
      <c r="AI443" t="s">
        <v>5922</v>
      </c>
      <c r="AJ443" t="s">
        <v>184</v>
      </c>
      <c r="AK443" t="s">
        <v>185</v>
      </c>
      <c r="AL443" t="s">
        <v>5923</v>
      </c>
      <c r="AM443" t="s">
        <v>5924</v>
      </c>
      <c r="AO443" t="s">
        <v>5925</v>
      </c>
      <c r="AP443" t="s">
        <v>3905</v>
      </c>
      <c r="AQ443" t="s">
        <v>5926</v>
      </c>
      <c r="AR443" t="s">
        <v>5927</v>
      </c>
      <c r="AS443">
        <v>7999301989</v>
      </c>
      <c r="AT443" t="s">
        <v>5928</v>
      </c>
      <c r="AU443" t="s">
        <v>10</v>
      </c>
      <c r="AV443" t="s">
        <v>5929</v>
      </c>
      <c r="AW443" t="s">
        <v>5930</v>
      </c>
      <c r="AX443" t="s">
        <v>5931</v>
      </c>
      <c r="AY443" s="2" t="s">
        <v>5932</v>
      </c>
      <c r="AZ443" t="s">
        <v>5933</v>
      </c>
      <c r="BA443" t="s">
        <v>5934</v>
      </c>
      <c r="BB443" t="s">
        <v>5935</v>
      </c>
      <c r="BC443" t="s">
        <v>188</v>
      </c>
      <c r="BD443">
        <v>515500</v>
      </c>
      <c r="BE443">
        <v>18620658599</v>
      </c>
      <c r="BF443" t="s">
        <v>5936</v>
      </c>
      <c r="BG443" t="b">
        <v>0</v>
      </c>
      <c r="BH443" s="6" t="s">
        <v>5937</v>
      </c>
      <c r="BI443" t="s">
        <v>5938</v>
      </c>
      <c r="BJ443">
        <v>4453163191</v>
      </c>
      <c r="BK443" t="s">
        <v>162</v>
      </c>
      <c r="BL443" t="s">
        <v>161</v>
      </c>
      <c r="BM443" s="2"/>
      <c r="BO443" t="s">
        <v>89</v>
      </c>
      <c r="BP443">
        <v>85235210</v>
      </c>
      <c r="BR443" t="s">
        <v>180</v>
      </c>
      <c r="BS443" t="s">
        <v>103</v>
      </c>
      <c r="BU443">
        <v>0</v>
      </c>
      <c r="BV443">
        <v>81</v>
      </c>
      <c r="BW443">
        <v>0</v>
      </c>
      <c r="BX443">
        <v>0</v>
      </c>
      <c r="BY443">
        <v>0</v>
      </c>
      <c r="BZ443">
        <v>0</v>
      </c>
      <c r="CA443">
        <v>81</v>
      </c>
      <c r="CF443" s="2"/>
      <c r="CH443" s="2"/>
      <c r="CJ443">
        <v>5.3142019950194803E+17</v>
      </c>
      <c r="CK443" t="s">
        <v>2648</v>
      </c>
      <c r="CL443" t="s">
        <v>5960</v>
      </c>
      <c r="CO443" t="s">
        <v>11</v>
      </c>
      <c r="CP443">
        <v>900</v>
      </c>
      <c r="CQ443" t="s">
        <v>11</v>
      </c>
      <c r="CR443">
        <v>900</v>
      </c>
      <c r="CV443" t="s">
        <v>190</v>
      </c>
      <c r="CW443" t="s">
        <v>12</v>
      </c>
      <c r="CX443" t="s">
        <v>12</v>
      </c>
      <c r="CY443" t="s">
        <v>12</v>
      </c>
      <c r="DA443" t="s">
        <v>104</v>
      </c>
      <c r="DD443" t="s">
        <v>93</v>
      </c>
      <c r="DQ443" t="s">
        <v>94</v>
      </c>
      <c r="DR443" t="s">
        <v>94</v>
      </c>
      <c r="DS443" t="s">
        <v>94</v>
      </c>
      <c r="DT443" t="s">
        <v>94</v>
      </c>
      <c r="DU443" t="s">
        <v>94</v>
      </c>
      <c r="DV443" t="s">
        <v>94</v>
      </c>
      <c r="DW443" t="s">
        <v>94</v>
      </c>
      <c r="DX443" s="2" t="s">
        <v>94</v>
      </c>
      <c r="DY443" t="s">
        <v>94</v>
      </c>
      <c r="DZ443" t="s">
        <v>94</v>
      </c>
      <c r="EA443" t="s">
        <v>94</v>
      </c>
      <c r="EB443" t="s">
        <v>94</v>
      </c>
      <c r="EC443" t="s">
        <v>94</v>
      </c>
      <c r="ED443" t="s">
        <v>94</v>
      </c>
      <c r="EE443" t="s">
        <v>89</v>
      </c>
      <c r="EF443" t="s">
        <v>425</v>
      </c>
      <c r="EG443" t="s">
        <v>105</v>
      </c>
      <c r="EJ443" t="s">
        <v>526</v>
      </c>
      <c r="EK443" t="b">
        <v>0</v>
      </c>
      <c r="EL443" t="b">
        <v>0</v>
      </c>
      <c r="EM443" t="b">
        <v>0</v>
      </c>
    </row>
    <row r="444" spans="3:143" ht="15">
      <c r="C444" s="82" t="s">
        <v>1639</v>
      </c>
      <c r="D444" s="5"/>
      <c r="E444" s="4">
        <v>1</v>
      </c>
      <c r="F444" s="5">
        <v>16</v>
      </c>
      <c r="G444" s="5" t="s">
        <v>5961</v>
      </c>
      <c r="H444" s="4" t="s">
        <v>5962</v>
      </c>
      <c r="I444" s="81" t="s">
        <v>164</v>
      </c>
      <c r="J444" s="21"/>
      <c r="K444" s="22" t="s">
        <v>5919</v>
      </c>
      <c r="L444" s="84" t="s">
        <v>5920</v>
      </c>
      <c r="M444" s="23" t="s">
        <v>164</v>
      </c>
      <c r="N444" s="23">
        <v>43815</v>
      </c>
      <c r="O444" s="24" t="s">
        <v>102</v>
      </c>
      <c r="P444" s="24" t="s">
        <v>181</v>
      </c>
      <c r="Q444" s="24">
        <v>1</v>
      </c>
      <c r="R444" s="24">
        <v>16</v>
      </c>
      <c r="S444" t="s">
        <v>11</v>
      </c>
      <c r="T444">
        <v>945</v>
      </c>
      <c r="U444" s="2" t="s">
        <v>163</v>
      </c>
      <c r="V444" t="s">
        <v>5963</v>
      </c>
      <c r="W444" s="2" t="s">
        <v>444</v>
      </c>
      <c r="X444" t="s">
        <v>5964</v>
      </c>
      <c r="AB444" t="s">
        <v>9</v>
      </c>
      <c r="AC444" t="s">
        <v>5856</v>
      </c>
      <c r="AD444" t="s">
        <v>209</v>
      </c>
      <c r="AE444">
        <v>103650</v>
      </c>
      <c r="AF444">
        <v>103650</v>
      </c>
      <c r="AG444" t="s">
        <v>183</v>
      </c>
      <c r="AH444" t="s">
        <v>5857</v>
      </c>
      <c r="AI444" t="s">
        <v>5857</v>
      </c>
      <c r="AJ444" t="s">
        <v>338</v>
      </c>
      <c r="AK444" t="s">
        <v>339</v>
      </c>
      <c r="AL444" t="s">
        <v>5858</v>
      </c>
      <c r="AM444" t="s">
        <v>5859</v>
      </c>
      <c r="AN444" t="s">
        <v>5860</v>
      </c>
      <c r="AO444" t="s">
        <v>5861</v>
      </c>
      <c r="AP444" t="s">
        <v>5862</v>
      </c>
      <c r="AR444" t="s">
        <v>5965</v>
      </c>
      <c r="AS444">
        <v>2189904785</v>
      </c>
      <c r="AT444" t="s">
        <v>5863</v>
      </c>
      <c r="AU444" t="s">
        <v>10</v>
      </c>
      <c r="AV444" t="s">
        <v>5864</v>
      </c>
      <c r="AW444" t="s">
        <v>5864</v>
      </c>
      <c r="AX444" t="s">
        <v>5865</v>
      </c>
      <c r="AY444" s="2" t="s">
        <v>5866</v>
      </c>
      <c r="BA444" t="s">
        <v>520</v>
      </c>
      <c r="BB444" t="s">
        <v>223</v>
      </c>
      <c r="BC444" t="s">
        <v>188</v>
      </c>
      <c r="BD444">
        <v>510001</v>
      </c>
      <c r="BE444">
        <v>-862028391486</v>
      </c>
      <c r="BF444" t="s">
        <v>5867</v>
      </c>
      <c r="BG444" t="b">
        <v>0</v>
      </c>
      <c r="BH444" s="6" t="s">
        <v>5868</v>
      </c>
      <c r="BI444" t="s">
        <v>5921</v>
      </c>
      <c r="BJ444">
        <v>4453163191</v>
      </c>
      <c r="BK444" t="s">
        <v>162</v>
      </c>
      <c r="BL444" t="s">
        <v>161</v>
      </c>
      <c r="BM444" s="2"/>
      <c r="BO444" t="s">
        <v>89</v>
      </c>
      <c r="BP444">
        <v>6506100090</v>
      </c>
      <c r="BR444" t="s">
        <v>189</v>
      </c>
      <c r="BS444" t="s">
        <v>103</v>
      </c>
      <c r="BU444">
        <v>0</v>
      </c>
      <c r="BV444">
        <v>128.59</v>
      </c>
      <c r="BW444">
        <v>0</v>
      </c>
      <c r="BX444">
        <v>0</v>
      </c>
      <c r="BY444">
        <v>0</v>
      </c>
      <c r="BZ444">
        <v>0</v>
      </c>
      <c r="CA444">
        <v>128.59</v>
      </c>
      <c r="CF444" s="2"/>
      <c r="CH444" s="2"/>
      <c r="CJ444">
        <v>5.3142019950188198E+17</v>
      </c>
      <c r="CK444" t="s">
        <v>500</v>
      </c>
      <c r="CL444" t="s">
        <v>5966</v>
      </c>
      <c r="CO444" t="s">
        <v>11</v>
      </c>
      <c r="CP444">
        <v>945</v>
      </c>
      <c r="CQ444" t="s">
        <v>11</v>
      </c>
      <c r="CR444">
        <v>945</v>
      </c>
      <c r="CV444" t="s">
        <v>190</v>
      </c>
      <c r="CW444" t="s">
        <v>12</v>
      </c>
      <c r="CX444" t="s">
        <v>12</v>
      </c>
      <c r="CY444" t="s">
        <v>12</v>
      </c>
      <c r="DA444" t="s">
        <v>104</v>
      </c>
      <c r="DD444" t="s">
        <v>93</v>
      </c>
      <c r="DQ444" t="s">
        <v>94</v>
      </c>
      <c r="DR444" t="s">
        <v>94</v>
      </c>
      <c r="DS444" t="s">
        <v>94</v>
      </c>
      <c r="DT444" t="s">
        <v>94</v>
      </c>
      <c r="DU444" t="s">
        <v>94</v>
      </c>
      <c r="DV444" t="s">
        <v>94</v>
      </c>
      <c r="DW444" t="s">
        <v>94</v>
      </c>
      <c r="DX444" s="2" t="s">
        <v>94</v>
      </c>
      <c r="DY444" t="s">
        <v>94</v>
      </c>
      <c r="DZ444" t="s">
        <v>94</v>
      </c>
      <c r="EA444" t="s">
        <v>94</v>
      </c>
      <c r="EB444" t="s">
        <v>94</v>
      </c>
      <c r="EC444" t="s">
        <v>94</v>
      </c>
      <c r="ED444" t="s">
        <v>94</v>
      </c>
      <c r="EE444" t="s">
        <v>89</v>
      </c>
      <c r="EF444" t="s">
        <v>94</v>
      </c>
      <c r="EG444" t="s">
        <v>543</v>
      </c>
      <c r="EJ444" t="s">
        <v>526</v>
      </c>
      <c r="EK444" t="b">
        <v>0</v>
      </c>
      <c r="EL444" t="b">
        <v>0</v>
      </c>
      <c r="EM444" t="b">
        <v>0</v>
      </c>
    </row>
    <row r="445" spans="3:143" ht="15">
      <c r="C445" s="82">
        <v>12</v>
      </c>
      <c r="D445" s="5"/>
      <c r="E445" s="4">
        <v>1</v>
      </c>
      <c r="F445" s="5">
        <v>16</v>
      </c>
      <c r="G445" s="5" t="s">
        <v>5967</v>
      </c>
      <c r="H445" s="4" t="s">
        <v>5962</v>
      </c>
      <c r="I445" s="81" t="s">
        <v>164</v>
      </c>
      <c r="J445" s="21"/>
      <c r="K445" s="22">
        <v>105783925</v>
      </c>
      <c r="L445" s="84" t="s">
        <v>5920</v>
      </c>
      <c r="M445" s="23" t="s">
        <v>164</v>
      </c>
      <c r="N445" s="23">
        <v>43815</v>
      </c>
      <c r="O445" s="24" t="s">
        <v>102</v>
      </c>
      <c r="P445" s="24" t="s">
        <v>181</v>
      </c>
      <c r="Q445" s="24">
        <v>1</v>
      </c>
      <c r="R445" s="24">
        <v>16</v>
      </c>
      <c r="S445" t="s">
        <v>11</v>
      </c>
      <c r="T445">
        <v>945</v>
      </c>
      <c r="U445" s="2" t="s">
        <v>163</v>
      </c>
      <c r="V445">
        <v>43817.625509259262</v>
      </c>
      <c r="W445" s="2" t="s">
        <v>444</v>
      </c>
      <c r="X445">
        <v>43819.605914351851</v>
      </c>
      <c r="AB445" t="s">
        <v>9</v>
      </c>
      <c r="AC445" t="s">
        <v>5856</v>
      </c>
      <c r="AD445" t="s">
        <v>209</v>
      </c>
      <c r="AE445">
        <v>103650</v>
      </c>
      <c r="AF445">
        <v>103650</v>
      </c>
      <c r="AG445" t="s">
        <v>183</v>
      </c>
      <c r="AH445" t="s">
        <v>5857</v>
      </c>
      <c r="AI445" t="s">
        <v>5857</v>
      </c>
      <c r="AJ445" t="s">
        <v>338</v>
      </c>
      <c r="AK445" t="s">
        <v>339</v>
      </c>
      <c r="AL445" t="s">
        <v>5858</v>
      </c>
      <c r="AM445" t="s">
        <v>5859</v>
      </c>
      <c r="AN445" t="s">
        <v>5860</v>
      </c>
      <c r="AO445" t="s">
        <v>5861</v>
      </c>
      <c r="AP445" t="s">
        <v>5862</v>
      </c>
      <c r="AR445" t="s">
        <v>5965</v>
      </c>
      <c r="AS445">
        <v>2189904785</v>
      </c>
      <c r="AT445" t="s">
        <v>5863</v>
      </c>
      <c r="AU445" t="s">
        <v>10</v>
      </c>
      <c r="AV445" t="s">
        <v>5864</v>
      </c>
      <c r="AW445" t="s">
        <v>5864</v>
      </c>
      <c r="AX445" t="s">
        <v>5865</v>
      </c>
      <c r="AY445" s="2" t="s">
        <v>5866</v>
      </c>
      <c r="BA445" t="s">
        <v>520</v>
      </c>
      <c r="BB445" t="s">
        <v>223</v>
      </c>
      <c r="BC445" t="s">
        <v>188</v>
      </c>
      <c r="BD445">
        <v>510001</v>
      </c>
      <c r="BE445">
        <v>-862028391486</v>
      </c>
      <c r="BF445" t="s">
        <v>5867</v>
      </c>
      <c r="BG445" t="b">
        <v>0</v>
      </c>
      <c r="BH445" s="6" t="s">
        <v>5868</v>
      </c>
      <c r="BI445" t="s">
        <v>5921</v>
      </c>
      <c r="BJ445">
        <v>4453163191</v>
      </c>
      <c r="BK445" t="s">
        <v>162</v>
      </c>
      <c r="BL445" t="s">
        <v>161</v>
      </c>
      <c r="BM445" s="2"/>
      <c r="BO445" t="s">
        <v>89</v>
      </c>
      <c r="BP445">
        <v>6506100090</v>
      </c>
      <c r="BR445" t="s">
        <v>189</v>
      </c>
      <c r="BS445" t="s">
        <v>103</v>
      </c>
      <c r="BU445">
        <v>0</v>
      </c>
      <c r="BV445">
        <v>128.59</v>
      </c>
      <c r="BW445">
        <v>0</v>
      </c>
      <c r="BX445">
        <v>0</v>
      </c>
      <c r="BY445">
        <v>0</v>
      </c>
      <c r="BZ445">
        <v>0</v>
      </c>
      <c r="CA445">
        <v>128.59</v>
      </c>
      <c r="CF445" s="2"/>
      <c r="CH445" s="2"/>
      <c r="CJ445">
        <v>5.3142019950188198E+17</v>
      </c>
      <c r="CK445" t="s">
        <v>500</v>
      </c>
      <c r="CL445">
        <v>43815.392789351848</v>
      </c>
      <c r="CO445" t="s">
        <v>11</v>
      </c>
      <c r="CP445">
        <v>945</v>
      </c>
      <c r="CQ445" t="s">
        <v>11</v>
      </c>
      <c r="CR445">
        <v>945</v>
      </c>
      <c r="CV445" t="s">
        <v>190</v>
      </c>
      <c r="CW445" t="s">
        <v>12</v>
      </c>
      <c r="CX445" t="s">
        <v>12</v>
      </c>
      <c r="CY445" t="s">
        <v>12</v>
      </c>
      <c r="DA445" t="s">
        <v>104</v>
      </c>
      <c r="DD445" t="s">
        <v>93</v>
      </c>
      <c r="DQ445" t="s">
        <v>94</v>
      </c>
      <c r="DR445" t="s">
        <v>94</v>
      </c>
      <c r="DS445" t="s">
        <v>94</v>
      </c>
      <c r="DT445" t="s">
        <v>94</v>
      </c>
      <c r="DU445" t="s">
        <v>94</v>
      </c>
      <c r="DV445" t="s">
        <v>94</v>
      </c>
      <c r="DW445" t="s">
        <v>94</v>
      </c>
      <c r="DX445" s="2" t="s">
        <v>94</v>
      </c>
      <c r="DY445" t="s">
        <v>94</v>
      </c>
      <c r="DZ445" t="s">
        <v>94</v>
      </c>
      <c r="EA445" t="s">
        <v>94</v>
      </c>
      <c r="EB445" t="s">
        <v>94</v>
      </c>
      <c r="EC445" t="s">
        <v>94</v>
      </c>
      <c r="ED445" t="s">
        <v>94</v>
      </c>
      <c r="EE445" t="s">
        <v>89</v>
      </c>
      <c r="EF445" t="s">
        <v>94</v>
      </c>
      <c r="EG445" t="s">
        <v>543</v>
      </c>
      <c r="EJ445" t="s">
        <v>526</v>
      </c>
      <c r="EK445" t="b">
        <v>0</v>
      </c>
      <c r="EL445" t="b">
        <v>0</v>
      </c>
      <c r="EM445" t="b">
        <v>0</v>
      </c>
    </row>
    <row r="446" spans="3:143" ht="15">
      <c r="C446" s="82">
        <v>3</v>
      </c>
      <c r="D446" s="5"/>
      <c r="E446" s="4">
        <v>1</v>
      </c>
      <c r="F446" s="5">
        <v>0.95</v>
      </c>
      <c r="G446" s="5" t="s">
        <v>5968</v>
      </c>
      <c r="H446" s="4" t="s">
        <v>5969</v>
      </c>
      <c r="I446" s="81" t="s">
        <v>164</v>
      </c>
      <c r="J446" s="21"/>
      <c r="K446" s="22">
        <v>753069980</v>
      </c>
      <c r="L446" s="84" t="s">
        <v>5404</v>
      </c>
      <c r="M446" s="23" t="s">
        <v>164</v>
      </c>
      <c r="N446" s="23">
        <v>43817</v>
      </c>
      <c r="O446" s="24" t="s">
        <v>102</v>
      </c>
      <c r="P446" s="24" t="s">
        <v>181</v>
      </c>
      <c r="Q446" s="24">
        <v>1</v>
      </c>
      <c r="R446" s="24">
        <v>0.95</v>
      </c>
      <c r="S446" t="s">
        <v>319</v>
      </c>
      <c r="T446">
        <v>610</v>
      </c>
      <c r="U446" s="2" t="s">
        <v>163</v>
      </c>
      <c r="V446">
        <v>43817.841990740744</v>
      </c>
      <c r="W446" s="2" t="s">
        <v>444</v>
      </c>
      <c r="X446">
        <v>43819.598773148151</v>
      </c>
      <c r="AB446" t="s">
        <v>9</v>
      </c>
      <c r="AC446" t="s">
        <v>1070</v>
      </c>
      <c r="AD446" t="s">
        <v>191</v>
      </c>
      <c r="AE446">
        <v>64854</v>
      </c>
      <c r="AF446">
        <v>64854</v>
      </c>
      <c r="AG446" t="s">
        <v>183</v>
      </c>
      <c r="AH446" t="s">
        <v>5896</v>
      </c>
      <c r="AI446" t="s">
        <v>5896</v>
      </c>
      <c r="AJ446" t="s">
        <v>1072</v>
      </c>
      <c r="AK446" t="s">
        <v>1073</v>
      </c>
      <c r="AL446" t="s">
        <v>5897</v>
      </c>
      <c r="AO446" t="s">
        <v>5898</v>
      </c>
      <c r="AP446" t="s">
        <v>1076</v>
      </c>
      <c r="AR446" t="s">
        <v>5899</v>
      </c>
      <c r="AS446">
        <v>-46322668391</v>
      </c>
      <c r="AT446" t="s">
        <v>5900</v>
      </c>
      <c r="AU446" t="s">
        <v>10</v>
      </c>
      <c r="AV446" t="s">
        <v>5901</v>
      </c>
      <c r="AW446" t="s">
        <v>5901</v>
      </c>
      <c r="AX446" t="s">
        <v>5902</v>
      </c>
      <c r="AY446" s="2" t="s">
        <v>5903</v>
      </c>
      <c r="BA446" t="s">
        <v>726</v>
      </c>
      <c r="BB446" t="s">
        <v>192</v>
      </c>
      <c r="BC446" t="s">
        <v>188</v>
      </c>
      <c r="BD446">
        <v>523146</v>
      </c>
      <c r="BE446">
        <v>-89237843</v>
      </c>
      <c r="BF446" t="s">
        <v>5904</v>
      </c>
      <c r="BG446" t="b">
        <v>0</v>
      </c>
      <c r="BH446" s="6" t="s">
        <v>5905</v>
      </c>
      <c r="BI446" t="s">
        <v>5906</v>
      </c>
      <c r="BJ446">
        <v>4453163191</v>
      </c>
      <c r="BK446" t="s">
        <v>162</v>
      </c>
      <c r="BL446" t="s">
        <v>161</v>
      </c>
      <c r="BM446" s="2"/>
      <c r="BO446" t="s">
        <v>89</v>
      </c>
      <c r="BP446">
        <v>8504401990</v>
      </c>
      <c r="BR446" t="s">
        <v>180</v>
      </c>
      <c r="BS446" t="s">
        <v>103</v>
      </c>
      <c r="BU446">
        <v>0</v>
      </c>
      <c r="BV446">
        <v>555.30999999999995</v>
      </c>
      <c r="BW446">
        <v>0</v>
      </c>
      <c r="BX446">
        <v>0</v>
      </c>
      <c r="BY446">
        <v>0</v>
      </c>
      <c r="BZ446">
        <v>0</v>
      </c>
      <c r="CA446">
        <v>555.30999999999995</v>
      </c>
      <c r="CF446" s="2"/>
      <c r="CH446" s="2"/>
      <c r="CJ446">
        <v>5.3142019950190003E+17</v>
      </c>
      <c r="CK446" t="s">
        <v>2648</v>
      </c>
      <c r="CL446">
        <v>43817.376886574071</v>
      </c>
      <c r="CO446" t="s">
        <v>11</v>
      </c>
      <c r="CP446">
        <v>4271.59</v>
      </c>
      <c r="CQ446" t="s">
        <v>11</v>
      </c>
      <c r="CR446">
        <v>4271.59</v>
      </c>
      <c r="CV446" t="s">
        <v>190</v>
      </c>
      <c r="CW446" t="s">
        <v>12</v>
      </c>
      <c r="CX446" t="s">
        <v>12</v>
      </c>
      <c r="CY446" t="s">
        <v>12</v>
      </c>
      <c r="DA446" t="s">
        <v>104</v>
      </c>
      <c r="DD446" t="s">
        <v>93</v>
      </c>
      <c r="DQ446" t="s">
        <v>94</v>
      </c>
      <c r="DR446" t="s">
        <v>94</v>
      </c>
      <c r="DS446" t="s">
        <v>94</v>
      </c>
      <c r="DT446" t="s">
        <v>94</v>
      </c>
      <c r="DU446" t="s">
        <v>94</v>
      </c>
      <c r="DV446" t="s">
        <v>94</v>
      </c>
      <c r="DW446" t="s">
        <v>94</v>
      </c>
      <c r="DX446" s="2" t="s">
        <v>94</v>
      </c>
      <c r="DY446" t="s">
        <v>94</v>
      </c>
      <c r="DZ446" t="s">
        <v>94</v>
      </c>
      <c r="EA446" t="s">
        <v>94</v>
      </c>
      <c r="EB446" t="s">
        <v>94</v>
      </c>
      <c r="EC446" t="s">
        <v>94</v>
      </c>
      <c r="ED446" t="s">
        <v>94</v>
      </c>
      <c r="EE446" t="s">
        <v>89</v>
      </c>
      <c r="EF446" t="s">
        <v>425</v>
      </c>
      <c r="EG446" t="s">
        <v>105</v>
      </c>
      <c r="EJ446" t="s">
        <v>166</v>
      </c>
      <c r="EK446" t="b">
        <v>0</v>
      </c>
      <c r="EL446" t="b">
        <v>0</v>
      </c>
      <c r="EM446" t="b">
        <v>0</v>
      </c>
    </row>
    <row r="447" spans="3:143" ht="15">
      <c r="C447" s="82">
        <v>3</v>
      </c>
      <c r="D447" s="5"/>
      <c r="E447" s="4">
        <v>1</v>
      </c>
      <c r="F447" s="5">
        <v>2</v>
      </c>
      <c r="G447" s="5" t="s">
        <v>5970</v>
      </c>
      <c r="H447" s="4" t="s">
        <v>3580</v>
      </c>
      <c r="I447" s="81" t="s">
        <v>920</v>
      </c>
      <c r="J447" s="21"/>
      <c r="K447" s="22">
        <v>809511895</v>
      </c>
      <c r="L447" s="84" t="s">
        <v>5508</v>
      </c>
      <c r="M447" s="23" t="s">
        <v>905</v>
      </c>
      <c r="N447" s="23">
        <v>43818</v>
      </c>
      <c r="O447" s="24" t="s">
        <v>102</v>
      </c>
      <c r="P447" s="24" t="s">
        <v>181</v>
      </c>
      <c r="Q447" s="24">
        <v>1</v>
      </c>
      <c r="R447" s="24">
        <v>2</v>
      </c>
      <c r="S447" t="s">
        <v>5383</v>
      </c>
      <c r="T447">
        <v>250</v>
      </c>
      <c r="U447" s="2" t="s">
        <v>163</v>
      </c>
      <c r="V447">
        <v>43818.868298611109</v>
      </c>
      <c r="W447" s="2" t="s">
        <v>444</v>
      </c>
      <c r="X447">
        <v>43820.389027777775</v>
      </c>
      <c r="AB447" t="s">
        <v>9</v>
      </c>
      <c r="AC447" t="s">
        <v>1230</v>
      </c>
      <c r="AD447" t="s">
        <v>182</v>
      </c>
      <c r="AE447">
        <v>1012188</v>
      </c>
      <c r="AF447">
        <v>1012188</v>
      </c>
      <c r="AG447" t="s">
        <v>183</v>
      </c>
      <c r="AH447" t="s">
        <v>5907</v>
      </c>
      <c r="AI447" t="s">
        <v>5907</v>
      </c>
      <c r="AJ447" t="s">
        <v>1232</v>
      </c>
      <c r="AK447" t="s">
        <v>1233</v>
      </c>
      <c r="AL447" t="s">
        <v>5908</v>
      </c>
      <c r="AM447" t="s">
        <v>5909</v>
      </c>
      <c r="AN447" t="s">
        <v>5910</v>
      </c>
      <c r="AO447" t="s">
        <v>1236</v>
      </c>
      <c r="AP447" t="s">
        <v>1233</v>
      </c>
      <c r="AR447">
        <v>609966</v>
      </c>
      <c r="AS447">
        <v>63168595</v>
      </c>
      <c r="AT447" t="s">
        <v>5911</v>
      </c>
      <c r="AU447" t="s">
        <v>10</v>
      </c>
      <c r="AV447" t="s">
        <v>5912</v>
      </c>
      <c r="AW447" t="s">
        <v>5912</v>
      </c>
      <c r="AX447" t="s">
        <v>5913</v>
      </c>
      <c r="AY447" s="2" t="s">
        <v>5914</v>
      </c>
      <c r="AZ447" t="s">
        <v>5915</v>
      </c>
      <c r="BA447" t="s">
        <v>194</v>
      </c>
      <c r="BB447" t="s">
        <v>272</v>
      </c>
      <c r="BC447" t="s">
        <v>188</v>
      </c>
      <c r="BD447">
        <v>518000</v>
      </c>
      <c r="BE447">
        <v>8618516299078</v>
      </c>
      <c r="BF447" t="s">
        <v>5916</v>
      </c>
      <c r="BG447" t="b">
        <v>0</v>
      </c>
      <c r="BH447" s="6" t="s">
        <v>5917</v>
      </c>
      <c r="BI447" t="s">
        <v>5918</v>
      </c>
      <c r="BJ447">
        <v>4453163191</v>
      </c>
      <c r="BK447" t="s">
        <v>162</v>
      </c>
      <c r="BL447" t="s">
        <v>161</v>
      </c>
      <c r="BM447" s="2"/>
      <c r="BO447" t="s">
        <v>89</v>
      </c>
      <c r="BP447">
        <v>85365000</v>
      </c>
      <c r="BR447" t="s">
        <v>189</v>
      </c>
      <c r="BS447" t="s">
        <v>103</v>
      </c>
      <c r="BU447">
        <v>0</v>
      </c>
      <c r="BV447">
        <v>167.07</v>
      </c>
      <c r="BW447">
        <v>0</v>
      </c>
      <c r="BX447">
        <v>0</v>
      </c>
      <c r="BY447">
        <v>0</v>
      </c>
      <c r="BZ447">
        <v>0</v>
      </c>
      <c r="CA447">
        <v>167.07</v>
      </c>
      <c r="CF447" s="2"/>
      <c r="CH447" s="2"/>
      <c r="CJ447">
        <v>5.3142019950191098E+17</v>
      </c>
      <c r="CK447" t="s">
        <v>2648</v>
      </c>
      <c r="CL447">
        <v>43818.379884259259</v>
      </c>
      <c r="CO447" t="s">
        <v>11</v>
      </c>
      <c r="CP447">
        <v>1285.1300000000001</v>
      </c>
      <c r="CQ447" t="s">
        <v>11</v>
      </c>
      <c r="CR447">
        <v>1285.1300000000001</v>
      </c>
      <c r="CV447" t="s">
        <v>190</v>
      </c>
      <c r="CW447" t="s">
        <v>12</v>
      </c>
      <c r="CX447" t="s">
        <v>12</v>
      </c>
      <c r="CY447" t="s">
        <v>12</v>
      </c>
      <c r="DA447" t="s">
        <v>104</v>
      </c>
      <c r="DD447" t="s">
        <v>93</v>
      </c>
      <c r="DQ447" t="s">
        <v>94</v>
      </c>
      <c r="DR447" t="s">
        <v>94</v>
      </c>
      <c r="DS447" t="s">
        <v>94</v>
      </c>
      <c r="DT447" t="s">
        <v>94</v>
      </c>
      <c r="DU447" t="s">
        <v>94</v>
      </c>
      <c r="DV447" t="s">
        <v>94</v>
      </c>
      <c r="DW447" t="s">
        <v>94</v>
      </c>
      <c r="DX447" s="2" t="s">
        <v>94</v>
      </c>
      <c r="DY447" t="s">
        <v>94</v>
      </c>
      <c r="DZ447" t="s">
        <v>94</v>
      </c>
      <c r="EA447" t="s">
        <v>94</v>
      </c>
      <c r="EB447" t="s">
        <v>94</v>
      </c>
      <c r="EC447" t="s">
        <v>94</v>
      </c>
      <c r="ED447" t="s">
        <v>94</v>
      </c>
      <c r="EE447" t="s">
        <v>89</v>
      </c>
      <c r="EF447" t="s">
        <v>425</v>
      </c>
      <c r="EG447" t="s">
        <v>105</v>
      </c>
      <c r="EJ447" t="s">
        <v>166</v>
      </c>
      <c r="EK447" t="b">
        <v>0</v>
      </c>
      <c r="EL447" t="b">
        <v>0</v>
      </c>
      <c r="EM447" t="b">
        <v>0</v>
      </c>
    </row>
    <row r="448" spans="3:143" ht="15">
      <c r="C448" s="82">
        <v>23</v>
      </c>
      <c r="D448" s="5"/>
      <c r="E448" s="4">
        <v>1</v>
      </c>
      <c r="F448" s="5">
        <v>2.4500000000000002</v>
      </c>
      <c r="G448" s="5" t="s">
        <v>6011</v>
      </c>
      <c r="H448" s="4" t="s">
        <v>4162</v>
      </c>
      <c r="I448" s="81" t="s">
        <v>920</v>
      </c>
      <c r="J448" s="21"/>
      <c r="K448" s="22">
        <v>119460134</v>
      </c>
      <c r="L448" s="84" t="s">
        <v>5772</v>
      </c>
      <c r="M448" s="23" t="s">
        <v>920</v>
      </c>
      <c r="N448" s="23">
        <v>43820</v>
      </c>
      <c r="O448" s="24" t="s">
        <v>102</v>
      </c>
      <c r="P448" s="24" t="s">
        <v>179</v>
      </c>
      <c r="Q448" s="24">
        <v>1</v>
      </c>
      <c r="R448" s="24">
        <v>2.4500000000000002</v>
      </c>
      <c r="S448" t="s">
        <v>319</v>
      </c>
      <c r="T448">
        <v>30</v>
      </c>
      <c r="U448" s="2" t="s">
        <v>163</v>
      </c>
      <c r="V448">
        <v>43820.864189814813</v>
      </c>
      <c r="W448" s="2" t="s">
        <v>444</v>
      </c>
      <c r="X448">
        <v>43823.419374999998</v>
      </c>
      <c r="AB448" t="s">
        <v>9</v>
      </c>
      <c r="AC448" t="s">
        <v>2230</v>
      </c>
      <c r="AD448" t="s">
        <v>182</v>
      </c>
      <c r="AE448" t="s">
        <v>6012</v>
      </c>
      <c r="AF448" t="s">
        <v>6012</v>
      </c>
      <c r="AG448" t="s">
        <v>183</v>
      </c>
      <c r="AH448" t="s">
        <v>5971</v>
      </c>
      <c r="AI448" t="s">
        <v>5971</v>
      </c>
      <c r="AJ448" t="s">
        <v>1735</v>
      </c>
      <c r="AK448" t="s">
        <v>1736</v>
      </c>
      <c r="AL448" t="s">
        <v>5972</v>
      </c>
      <c r="AO448" t="s">
        <v>5973</v>
      </c>
      <c r="AP448" t="s">
        <v>2234</v>
      </c>
      <c r="AQ448" t="s">
        <v>2235</v>
      </c>
      <c r="AR448" t="s">
        <v>5974</v>
      </c>
      <c r="AS448">
        <v>-302109408602</v>
      </c>
      <c r="AT448" t="s">
        <v>5975</v>
      </c>
      <c r="AU448" t="s">
        <v>10</v>
      </c>
      <c r="AV448" t="s">
        <v>5976</v>
      </c>
      <c r="AW448" t="s">
        <v>5976</v>
      </c>
      <c r="AX448" t="s">
        <v>5977</v>
      </c>
      <c r="AY448" s="2" t="s">
        <v>5978</v>
      </c>
      <c r="AZ448" t="s">
        <v>5979</v>
      </c>
      <c r="BA448" t="s">
        <v>186</v>
      </c>
      <c r="BB448" t="s">
        <v>187</v>
      </c>
      <c r="BC448" t="s">
        <v>188</v>
      </c>
      <c r="BD448">
        <v>518101</v>
      </c>
      <c r="BE448" t="s">
        <v>6013</v>
      </c>
      <c r="BF448" t="s">
        <v>5980</v>
      </c>
      <c r="BG448" t="b">
        <v>0</v>
      </c>
      <c r="BH448" s="6" t="s">
        <v>5981</v>
      </c>
      <c r="BI448" t="s">
        <v>5982</v>
      </c>
      <c r="BJ448">
        <v>4453163191</v>
      </c>
      <c r="BK448" t="s">
        <v>162</v>
      </c>
      <c r="BL448" t="s">
        <v>161</v>
      </c>
      <c r="BM448" s="2"/>
      <c r="BO448" t="s">
        <v>89</v>
      </c>
      <c r="BP448">
        <v>3926909090</v>
      </c>
      <c r="BR448" t="s">
        <v>180</v>
      </c>
      <c r="BS448" t="s">
        <v>103</v>
      </c>
      <c r="BU448">
        <v>0</v>
      </c>
      <c r="BV448">
        <v>0</v>
      </c>
      <c r="BW448">
        <v>0</v>
      </c>
      <c r="BX448">
        <v>0</v>
      </c>
      <c r="BY448">
        <v>0</v>
      </c>
      <c r="BZ448">
        <v>0</v>
      </c>
      <c r="CA448">
        <v>0</v>
      </c>
      <c r="CF448" s="2"/>
      <c r="CH448" s="2"/>
      <c r="CJ448">
        <v>5.3142019950192698E+17</v>
      </c>
      <c r="CK448" t="s">
        <v>1509</v>
      </c>
      <c r="CL448">
        <v>43820.381180555552</v>
      </c>
      <c r="CO448" t="s">
        <v>11</v>
      </c>
      <c r="CP448">
        <v>210.08</v>
      </c>
      <c r="CQ448" t="s">
        <v>11</v>
      </c>
      <c r="CR448">
        <v>210.08</v>
      </c>
      <c r="CV448" t="s">
        <v>190</v>
      </c>
      <c r="CW448" t="s">
        <v>12</v>
      </c>
      <c r="CX448" t="s">
        <v>12</v>
      </c>
      <c r="CY448" t="s">
        <v>12</v>
      </c>
      <c r="DA448" t="s">
        <v>104</v>
      </c>
      <c r="DD448" t="s">
        <v>93</v>
      </c>
      <c r="DQ448" t="s">
        <v>94</v>
      </c>
      <c r="DR448" t="s">
        <v>94</v>
      </c>
      <c r="DS448" t="s">
        <v>94</v>
      </c>
      <c r="DT448" t="s">
        <v>94</v>
      </c>
      <c r="DU448" t="s">
        <v>94</v>
      </c>
      <c r="DV448" t="s">
        <v>94</v>
      </c>
      <c r="DW448" t="s">
        <v>94</v>
      </c>
      <c r="DX448" s="2" t="s">
        <v>94</v>
      </c>
      <c r="DY448" t="s">
        <v>94</v>
      </c>
      <c r="DZ448" t="s">
        <v>94</v>
      </c>
      <c r="EA448" t="s">
        <v>94</v>
      </c>
      <c r="EB448" t="s">
        <v>94</v>
      </c>
      <c r="EC448" t="s">
        <v>94</v>
      </c>
      <c r="ED448" t="s">
        <v>94</v>
      </c>
      <c r="EE448" t="s">
        <v>89</v>
      </c>
      <c r="EF448" t="s">
        <v>425</v>
      </c>
      <c r="EG448" t="s">
        <v>105</v>
      </c>
      <c r="EJ448" t="s">
        <v>166</v>
      </c>
      <c r="EK448" t="b">
        <v>0</v>
      </c>
      <c r="EL448" t="b">
        <v>0</v>
      </c>
      <c r="EM448" t="b">
        <v>0</v>
      </c>
    </row>
    <row r="449" spans="3:143" ht="15">
      <c r="C449" s="82">
        <v>232</v>
      </c>
      <c r="D449" s="5"/>
      <c r="E449" s="4">
        <v>1</v>
      </c>
      <c r="F449" s="5">
        <v>3</v>
      </c>
      <c r="G449" s="5" t="s">
        <v>6014</v>
      </c>
      <c r="H449" s="4" t="s">
        <v>6015</v>
      </c>
      <c r="I449" s="81" t="s">
        <v>164</v>
      </c>
      <c r="J449" s="21"/>
      <c r="K449" s="22">
        <v>474756866</v>
      </c>
      <c r="L449" s="84" t="s">
        <v>5983</v>
      </c>
      <c r="M449" s="23" t="s">
        <v>5984</v>
      </c>
      <c r="N449" s="23">
        <v>43822</v>
      </c>
      <c r="O449" s="24" t="s">
        <v>102</v>
      </c>
      <c r="P449" s="24" t="s">
        <v>181</v>
      </c>
      <c r="Q449" s="24">
        <v>1</v>
      </c>
      <c r="R449" s="24">
        <v>3</v>
      </c>
      <c r="S449" t="s">
        <v>319</v>
      </c>
      <c r="T449">
        <v>263.62</v>
      </c>
      <c r="U449" s="2" t="s">
        <v>163</v>
      </c>
      <c r="V449">
        <v>43822.832037037035</v>
      </c>
      <c r="W449" s="2" t="s">
        <v>444</v>
      </c>
      <c r="X449">
        <v>43824.492199074077</v>
      </c>
      <c r="AB449" t="s">
        <v>9</v>
      </c>
      <c r="AC449" t="s">
        <v>963</v>
      </c>
      <c r="AD449" t="s">
        <v>209</v>
      </c>
      <c r="AE449" t="s">
        <v>6016</v>
      </c>
      <c r="AF449" t="s">
        <v>6016</v>
      </c>
      <c r="AG449">
        <v>3037856</v>
      </c>
      <c r="AH449" t="s">
        <v>5985</v>
      </c>
      <c r="AI449" t="s">
        <v>5985</v>
      </c>
      <c r="AJ449" t="s">
        <v>776</v>
      </c>
      <c r="AK449" t="s">
        <v>777</v>
      </c>
      <c r="AL449" t="s">
        <v>5986</v>
      </c>
      <c r="AO449" t="s">
        <v>5987</v>
      </c>
      <c r="AP449" t="s">
        <v>967</v>
      </c>
      <c r="AQ449" t="s">
        <v>782</v>
      </c>
      <c r="AR449">
        <v>49477</v>
      </c>
      <c r="AS449">
        <v>5451590062</v>
      </c>
      <c r="AT449" t="s">
        <v>5988</v>
      </c>
      <c r="AU449" t="s">
        <v>10</v>
      </c>
      <c r="AV449" t="s">
        <v>5989</v>
      </c>
      <c r="AW449" t="s">
        <v>5989</v>
      </c>
      <c r="AX449" t="s">
        <v>5990</v>
      </c>
      <c r="AY449" s="2" t="s">
        <v>4227</v>
      </c>
      <c r="BA449" t="s">
        <v>2257</v>
      </c>
      <c r="BB449" t="s">
        <v>1576</v>
      </c>
      <c r="BC449" t="s">
        <v>188</v>
      </c>
      <c r="BD449">
        <v>510800</v>
      </c>
      <c r="BE449" t="s">
        <v>5991</v>
      </c>
      <c r="BF449" t="s">
        <v>5992</v>
      </c>
      <c r="BG449" t="b">
        <v>0</v>
      </c>
      <c r="BH449" s="6" t="s">
        <v>5993</v>
      </c>
      <c r="BI449" t="s">
        <v>5994</v>
      </c>
      <c r="BJ449">
        <v>4453163191</v>
      </c>
      <c r="BK449" t="s">
        <v>162</v>
      </c>
      <c r="BL449" t="s">
        <v>161</v>
      </c>
      <c r="BM449" s="2"/>
      <c r="BN449" t="s">
        <v>5995</v>
      </c>
      <c r="BO449" t="s">
        <v>89</v>
      </c>
      <c r="BP449">
        <v>94054090</v>
      </c>
      <c r="BR449" t="s">
        <v>180</v>
      </c>
      <c r="BS449" t="s">
        <v>103</v>
      </c>
      <c r="BU449">
        <v>110.76</v>
      </c>
      <c r="BV449">
        <v>254.38</v>
      </c>
      <c r="BW449">
        <v>0</v>
      </c>
      <c r="BX449">
        <v>0</v>
      </c>
      <c r="BY449">
        <v>0</v>
      </c>
      <c r="BZ449">
        <v>0</v>
      </c>
      <c r="CA449">
        <v>365.14</v>
      </c>
      <c r="CF449" s="2"/>
      <c r="CH449" s="2"/>
      <c r="CJ449">
        <v>5.3142019950193299E+17</v>
      </c>
      <c r="CK449" t="s">
        <v>2648</v>
      </c>
      <c r="CL449">
        <v>43822.562465277777</v>
      </c>
      <c r="CO449" t="s">
        <v>11</v>
      </c>
      <c r="CP449">
        <v>1846.03</v>
      </c>
      <c r="CQ449" t="s">
        <v>11</v>
      </c>
      <c r="CR449">
        <v>1846.03</v>
      </c>
      <c r="CV449" t="s">
        <v>525</v>
      </c>
      <c r="CW449" t="s">
        <v>12</v>
      </c>
      <c r="CX449" t="s">
        <v>12</v>
      </c>
      <c r="CY449" t="s">
        <v>12</v>
      </c>
      <c r="DA449" t="s">
        <v>104</v>
      </c>
      <c r="DD449" t="s">
        <v>93</v>
      </c>
      <c r="DQ449" t="s">
        <v>94</v>
      </c>
      <c r="DR449" t="s">
        <v>94</v>
      </c>
      <c r="DS449" t="s">
        <v>94</v>
      </c>
      <c r="DT449" t="s">
        <v>94</v>
      </c>
      <c r="DU449" t="s">
        <v>94</v>
      </c>
      <c r="DV449" t="s">
        <v>94</v>
      </c>
      <c r="DW449" t="s">
        <v>94</v>
      </c>
      <c r="DX449" s="2" t="s">
        <v>94</v>
      </c>
      <c r="DY449" t="s">
        <v>94</v>
      </c>
      <c r="DZ449" t="s">
        <v>94</v>
      </c>
      <c r="EA449" t="s">
        <v>94</v>
      </c>
      <c r="EB449" t="s">
        <v>94</v>
      </c>
      <c r="EC449" t="s">
        <v>94</v>
      </c>
      <c r="ED449" t="s">
        <v>94</v>
      </c>
      <c r="EE449" t="s">
        <v>89</v>
      </c>
      <c r="EF449" t="s">
        <v>94</v>
      </c>
      <c r="EG449" t="s">
        <v>543</v>
      </c>
      <c r="EJ449" t="s">
        <v>166</v>
      </c>
      <c r="EK449" t="b">
        <v>0</v>
      </c>
      <c r="EL449" t="b">
        <v>0</v>
      </c>
      <c r="EM449" t="b">
        <v>0</v>
      </c>
    </row>
    <row r="450" spans="3:143" ht="15">
      <c r="C450" s="82">
        <v>1313</v>
      </c>
      <c r="D450" s="5"/>
      <c r="E450" s="4">
        <v>1</v>
      </c>
      <c r="F450" s="5">
        <v>16.75</v>
      </c>
      <c r="G450" s="5" t="s">
        <v>6017</v>
      </c>
      <c r="H450" s="4" t="s">
        <v>6018</v>
      </c>
      <c r="I450" s="81" t="s">
        <v>920</v>
      </c>
      <c r="J450" s="21"/>
      <c r="K450" s="22">
        <v>839346071</v>
      </c>
      <c r="L450" s="84" t="s">
        <v>5508</v>
      </c>
      <c r="M450" s="23" t="s">
        <v>905</v>
      </c>
      <c r="N450" s="23">
        <v>43818</v>
      </c>
      <c r="O450" s="24" t="s">
        <v>102</v>
      </c>
      <c r="P450" s="24" t="s">
        <v>181</v>
      </c>
      <c r="Q450" s="24">
        <v>1</v>
      </c>
      <c r="R450" s="24">
        <v>16.75</v>
      </c>
      <c r="S450" t="s">
        <v>319</v>
      </c>
      <c r="T450">
        <v>240</v>
      </c>
      <c r="U450" s="2" t="s">
        <v>163</v>
      </c>
      <c r="V450">
        <v>43818.868310185186</v>
      </c>
      <c r="W450" s="2" t="s">
        <v>444</v>
      </c>
      <c r="X450">
        <v>43820.389027777775</v>
      </c>
      <c r="AB450" t="s">
        <v>9</v>
      </c>
      <c r="AC450" t="s">
        <v>5996</v>
      </c>
      <c r="AD450" t="s">
        <v>182</v>
      </c>
      <c r="AE450" t="s">
        <v>183</v>
      </c>
      <c r="AF450" t="s">
        <v>183</v>
      </c>
      <c r="AG450">
        <v>69998</v>
      </c>
      <c r="AH450" t="s">
        <v>5997</v>
      </c>
      <c r="AI450" t="s">
        <v>5997</v>
      </c>
      <c r="AJ450" t="s">
        <v>2637</v>
      </c>
      <c r="AK450" t="s">
        <v>2638</v>
      </c>
      <c r="AL450" t="s">
        <v>5998</v>
      </c>
      <c r="AM450" t="s">
        <v>5999</v>
      </c>
      <c r="AO450" t="s">
        <v>6000</v>
      </c>
      <c r="AP450" t="s">
        <v>6001</v>
      </c>
      <c r="AR450">
        <v>4201</v>
      </c>
      <c r="AS450">
        <v>72395770</v>
      </c>
      <c r="AT450" t="s">
        <v>5997</v>
      </c>
      <c r="AU450" t="s">
        <v>10</v>
      </c>
      <c r="AV450" t="s">
        <v>6002</v>
      </c>
      <c r="AW450" t="s">
        <v>6002</v>
      </c>
      <c r="AX450" t="s">
        <v>6003</v>
      </c>
      <c r="AY450" s="2" t="s">
        <v>6004</v>
      </c>
      <c r="AZ450" t="s">
        <v>6005</v>
      </c>
      <c r="BA450" t="s">
        <v>1002</v>
      </c>
      <c r="BB450" t="s">
        <v>187</v>
      </c>
      <c r="BC450" t="s">
        <v>188</v>
      </c>
      <c r="BD450">
        <v>518111</v>
      </c>
      <c r="BE450" t="s">
        <v>6006</v>
      </c>
      <c r="BF450" t="s">
        <v>6007</v>
      </c>
      <c r="BG450" t="b">
        <v>0</v>
      </c>
      <c r="BH450" s="6" t="s">
        <v>6008</v>
      </c>
      <c r="BI450" t="s">
        <v>6009</v>
      </c>
      <c r="BJ450">
        <v>4453163191</v>
      </c>
      <c r="BK450" t="s">
        <v>162</v>
      </c>
      <c r="BL450" t="s">
        <v>161</v>
      </c>
      <c r="BM450" s="2"/>
      <c r="BN450" t="s">
        <v>6010</v>
      </c>
      <c r="BO450" t="s">
        <v>89</v>
      </c>
      <c r="BP450">
        <v>8537101190</v>
      </c>
      <c r="BR450" t="s">
        <v>180</v>
      </c>
      <c r="BS450" t="s">
        <v>103</v>
      </c>
      <c r="BU450">
        <v>84.03</v>
      </c>
      <c r="BV450">
        <v>229.4</v>
      </c>
      <c r="BW450">
        <v>0</v>
      </c>
      <c r="BX450">
        <v>0</v>
      </c>
      <c r="BY450">
        <v>0</v>
      </c>
      <c r="BZ450">
        <v>0</v>
      </c>
      <c r="CA450">
        <v>313.43</v>
      </c>
      <c r="CF450" s="2"/>
      <c r="CH450" s="2"/>
      <c r="CJ450">
        <v>5.3142019950191098E+17</v>
      </c>
      <c r="CK450" t="s">
        <v>2648</v>
      </c>
      <c r="CL450">
        <v>43818.379907407405</v>
      </c>
      <c r="CO450" t="s">
        <v>11</v>
      </c>
      <c r="CP450">
        <v>1680.62</v>
      </c>
      <c r="CQ450" t="s">
        <v>11</v>
      </c>
      <c r="CR450">
        <v>1680.62</v>
      </c>
      <c r="CV450" t="s">
        <v>525</v>
      </c>
      <c r="CW450" t="s">
        <v>12</v>
      </c>
      <c r="CX450" t="s">
        <v>12</v>
      </c>
      <c r="CY450" t="s">
        <v>12</v>
      </c>
      <c r="DA450" t="s">
        <v>104</v>
      </c>
      <c r="DD450" t="s">
        <v>93</v>
      </c>
      <c r="DQ450" t="s">
        <v>94</v>
      </c>
      <c r="DR450" t="s">
        <v>94</v>
      </c>
      <c r="DS450" t="s">
        <v>94</v>
      </c>
      <c r="DT450" t="s">
        <v>94</v>
      </c>
      <c r="DU450" t="s">
        <v>94</v>
      </c>
      <c r="DV450" t="s">
        <v>94</v>
      </c>
      <c r="DW450" t="s">
        <v>94</v>
      </c>
      <c r="DX450" s="2" t="s">
        <v>94</v>
      </c>
      <c r="DY450" t="s">
        <v>94</v>
      </c>
      <c r="DZ450" t="s">
        <v>94</v>
      </c>
      <c r="EA450" t="s">
        <v>94</v>
      </c>
      <c r="EB450" t="s">
        <v>94</v>
      </c>
      <c r="EC450" t="s">
        <v>94</v>
      </c>
      <c r="ED450" t="s">
        <v>94</v>
      </c>
      <c r="EE450" t="s">
        <v>89</v>
      </c>
      <c r="EF450" t="s">
        <v>425</v>
      </c>
      <c r="EG450" t="s">
        <v>105</v>
      </c>
      <c r="EJ450" t="s">
        <v>166</v>
      </c>
      <c r="EK450" t="b">
        <v>0</v>
      </c>
      <c r="EL450" t="b">
        <v>0</v>
      </c>
      <c r="EM450" t="b">
        <v>0</v>
      </c>
    </row>
    <row r="451" spans="3:143" ht="15">
      <c r="C451" s="82">
        <v>33</v>
      </c>
      <c r="D451" s="5"/>
      <c r="E451" s="4">
        <v>1</v>
      </c>
      <c r="F451" s="5">
        <v>2.4500000000000002</v>
      </c>
      <c r="G451" s="5" t="s">
        <v>6049</v>
      </c>
      <c r="H451" s="4" t="s">
        <v>4162</v>
      </c>
      <c r="I451" s="81" t="s">
        <v>920</v>
      </c>
      <c r="J451" s="21"/>
      <c r="K451" s="22">
        <v>119460134</v>
      </c>
      <c r="L451" s="84" t="s">
        <v>5772</v>
      </c>
      <c r="M451" s="23" t="s">
        <v>920</v>
      </c>
      <c r="N451" s="23">
        <v>43820</v>
      </c>
      <c r="O451" s="24" t="s">
        <v>102</v>
      </c>
      <c r="P451" s="24" t="s">
        <v>179</v>
      </c>
      <c r="Q451" s="24">
        <v>1</v>
      </c>
      <c r="R451" s="24">
        <v>2.4500000000000002</v>
      </c>
      <c r="S451" t="s">
        <v>319</v>
      </c>
      <c r="T451">
        <v>30</v>
      </c>
      <c r="U451" s="2" t="s">
        <v>163</v>
      </c>
      <c r="V451">
        <v>43820.864189814813</v>
      </c>
      <c r="W451" s="2" t="s">
        <v>444</v>
      </c>
      <c r="X451">
        <v>43823.419374999998</v>
      </c>
      <c r="AB451" t="s">
        <v>9</v>
      </c>
      <c r="AC451" t="s">
        <v>2230</v>
      </c>
      <c r="AD451" t="s">
        <v>182</v>
      </c>
      <c r="AE451">
        <v>106672</v>
      </c>
      <c r="AF451">
        <v>106672</v>
      </c>
      <c r="AG451" t="s">
        <v>183</v>
      </c>
      <c r="AH451" t="s">
        <v>5971</v>
      </c>
      <c r="AI451" t="s">
        <v>5971</v>
      </c>
      <c r="AJ451" t="s">
        <v>1735</v>
      </c>
      <c r="AK451" t="s">
        <v>1736</v>
      </c>
      <c r="AL451" t="s">
        <v>5972</v>
      </c>
      <c r="AO451" t="s">
        <v>5973</v>
      </c>
      <c r="AP451" t="s">
        <v>2234</v>
      </c>
      <c r="AQ451" t="s">
        <v>2235</v>
      </c>
      <c r="AR451" t="s">
        <v>5974</v>
      </c>
      <c r="AS451">
        <v>-302109408602</v>
      </c>
      <c r="AT451" t="s">
        <v>5975</v>
      </c>
      <c r="AU451" t="s">
        <v>10</v>
      </c>
      <c r="AV451" t="s">
        <v>5976</v>
      </c>
      <c r="AW451" t="s">
        <v>5976</v>
      </c>
      <c r="AX451" t="s">
        <v>5977</v>
      </c>
      <c r="AY451" s="2" t="s">
        <v>5978</v>
      </c>
      <c r="AZ451" t="s">
        <v>5979</v>
      </c>
      <c r="BA451" t="s">
        <v>186</v>
      </c>
      <c r="BB451" t="s">
        <v>187</v>
      </c>
      <c r="BC451" t="s">
        <v>188</v>
      </c>
      <c r="BD451">
        <v>518101</v>
      </c>
      <c r="BE451" t="s">
        <v>6013</v>
      </c>
      <c r="BF451" t="s">
        <v>5980</v>
      </c>
      <c r="BG451" t="b">
        <v>0</v>
      </c>
      <c r="BH451" s="6" t="s">
        <v>5981</v>
      </c>
      <c r="BI451" t="s">
        <v>5982</v>
      </c>
      <c r="BJ451">
        <v>4453163191</v>
      </c>
      <c r="BK451" t="s">
        <v>162</v>
      </c>
      <c r="BL451" t="s">
        <v>161</v>
      </c>
      <c r="BM451" s="2"/>
      <c r="BO451" t="s">
        <v>89</v>
      </c>
      <c r="BP451">
        <v>3926909090</v>
      </c>
      <c r="BR451" t="s">
        <v>180</v>
      </c>
      <c r="BS451" t="s">
        <v>103</v>
      </c>
      <c r="BU451">
        <v>0</v>
      </c>
      <c r="BV451">
        <v>0</v>
      </c>
      <c r="BW451">
        <v>0</v>
      </c>
      <c r="BX451">
        <v>0</v>
      </c>
      <c r="BY451">
        <v>0</v>
      </c>
      <c r="BZ451">
        <v>0</v>
      </c>
      <c r="CA451">
        <v>0</v>
      </c>
      <c r="CF451" s="2"/>
      <c r="CH451" s="2"/>
      <c r="CJ451">
        <v>5.3142019950192698E+17</v>
      </c>
      <c r="CK451" t="s">
        <v>1509</v>
      </c>
      <c r="CL451">
        <v>43820.381180555552</v>
      </c>
      <c r="CO451" t="s">
        <v>11</v>
      </c>
      <c r="CP451">
        <v>210.08</v>
      </c>
      <c r="CQ451" t="s">
        <v>11</v>
      </c>
      <c r="CR451">
        <v>210.08</v>
      </c>
      <c r="CV451" t="s">
        <v>190</v>
      </c>
      <c r="CW451" t="s">
        <v>12</v>
      </c>
      <c r="CX451" t="s">
        <v>12</v>
      </c>
      <c r="CY451" t="s">
        <v>12</v>
      </c>
      <c r="DA451" t="s">
        <v>104</v>
      </c>
      <c r="DD451" t="s">
        <v>93</v>
      </c>
      <c r="DQ451" t="s">
        <v>94</v>
      </c>
      <c r="DR451" t="s">
        <v>94</v>
      </c>
      <c r="DS451" t="s">
        <v>94</v>
      </c>
      <c r="DT451" t="s">
        <v>94</v>
      </c>
      <c r="DU451" t="s">
        <v>94</v>
      </c>
      <c r="DV451" t="s">
        <v>94</v>
      </c>
      <c r="DW451" t="s">
        <v>94</v>
      </c>
      <c r="DX451" s="2" t="s">
        <v>94</v>
      </c>
      <c r="DY451" t="s">
        <v>94</v>
      </c>
      <c r="DZ451" t="s">
        <v>94</v>
      </c>
      <c r="EA451" t="s">
        <v>94</v>
      </c>
      <c r="EB451" t="s">
        <v>94</v>
      </c>
      <c r="EC451" t="s">
        <v>94</v>
      </c>
      <c r="ED451" t="s">
        <v>94</v>
      </c>
      <c r="EE451" t="s">
        <v>89</v>
      </c>
      <c r="EF451" t="s">
        <v>425</v>
      </c>
      <c r="EG451" t="s">
        <v>105</v>
      </c>
      <c r="EJ451" t="s">
        <v>166</v>
      </c>
      <c r="EK451" t="b">
        <v>0</v>
      </c>
      <c r="EL451" t="b">
        <v>0</v>
      </c>
      <c r="EM451" t="b">
        <v>0</v>
      </c>
    </row>
    <row r="452" spans="3:143" ht="15">
      <c r="C452" s="82">
        <v>33</v>
      </c>
      <c r="D452" s="5"/>
      <c r="E452" s="4">
        <v>1</v>
      </c>
      <c r="F452" s="5">
        <v>26.8</v>
      </c>
      <c r="G452" s="5" t="s">
        <v>6050</v>
      </c>
      <c r="H452" s="4" t="s">
        <v>6051</v>
      </c>
      <c r="I452" s="81" t="s">
        <v>920</v>
      </c>
      <c r="J452" s="21"/>
      <c r="K452" s="22">
        <v>197791856</v>
      </c>
      <c r="L452" s="84" t="s">
        <v>5480</v>
      </c>
      <c r="M452" s="23" t="s">
        <v>920</v>
      </c>
      <c r="N452" s="23">
        <v>43819</v>
      </c>
      <c r="O452" s="24" t="s">
        <v>102</v>
      </c>
      <c r="P452" s="24" t="s">
        <v>181</v>
      </c>
      <c r="Q452" s="24">
        <v>1</v>
      </c>
      <c r="R452" s="24">
        <v>26.8</v>
      </c>
      <c r="S452" t="s">
        <v>11</v>
      </c>
      <c r="T452">
        <v>1150</v>
      </c>
      <c r="U452" s="2" t="s">
        <v>163</v>
      </c>
      <c r="V452">
        <v>43819.913912037038</v>
      </c>
      <c r="W452" s="2" t="s">
        <v>444</v>
      </c>
      <c r="X452">
        <v>43819.920231481483</v>
      </c>
      <c r="AB452" t="s">
        <v>9</v>
      </c>
      <c r="AC452" t="s">
        <v>839</v>
      </c>
      <c r="AD452" t="s">
        <v>191</v>
      </c>
      <c r="AE452">
        <v>1923</v>
      </c>
      <c r="AF452">
        <v>1923</v>
      </c>
      <c r="AG452" t="s">
        <v>183</v>
      </c>
      <c r="AH452" t="s">
        <v>6019</v>
      </c>
      <c r="AI452" t="s">
        <v>6019</v>
      </c>
      <c r="AJ452" t="s">
        <v>841</v>
      </c>
      <c r="AK452" t="s">
        <v>842</v>
      </c>
      <c r="AL452" t="s">
        <v>6020</v>
      </c>
      <c r="AO452" t="s">
        <v>6021</v>
      </c>
      <c r="AP452" t="s">
        <v>846</v>
      </c>
      <c r="AR452" t="s">
        <v>6022</v>
      </c>
      <c r="AS452">
        <v>35623678105</v>
      </c>
      <c r="AT452" t="s">
        <v>6023</v>
      </c>
      <c r="AU452" t="s">
        <v>10</v>
      </c>
      <c r="AV452" t="s">
        <v>6024</v>
      </c>
      <c r="AW452" t="s">
        <v>6024</v>
      </c>
      <c r="AX452" t="s">
        <v>6025</v>
      </c>
      <c r="AY452" s="2" t="s">
        <v>6026</v>
      </c>
      <c r="AZ452" t="s">
        <v>6027</v>
      </c>
      <c r="BA452" t="s">
        <v>726</v>
      </c>
      <c r="BB452" t="s">
        <v>192</v>
      </c>
      <c r="BC452" t="s">
        <v>188</v>
      </c>
      <c r="BD452">
        <v>523661</v>
      </c>
      <c r="BE452" t="s">
        <v>6052</v>
      </c>
      <c r="BF452" t="s">
        <v>6028</v>
      </c>
      <c r="BG452" t="b">
        <v>0</v>
      </c>
      <c r="BH452" s="6" t="s">
        <v>6029</v>
      </c>
      <c r="BI452" t="s">
        <v>6030</v>
      </c>
      <c r="BJ452">
        <v>4453163191</v>
      </c>
      <c r="BK452" t="s">
        <v>162</v>
      </c>
      <c r="BL452" t="s">
        <v>161</v>
      </c>
      <c r="BM452" s="2"/>
      <c r="BO452" t="s">
        <v>89</v>
      </c>
      <c r="BP452">
        <v>3907999990</v>
      </c>
      <c r="BR452" t="s">
        <v>189</v>
      </c>
      <c r="BS452" t="s">
        <v>103</v>
      </c>
      <c r="BU452">
        <v>74.75</v>
      </c>
      <c r="BV452">
        <v>159.22</v>
      </c>
      <c r="BW452">
        <v>0</v>
      </c>
      <c r="BX452">
        <v>0</v>
      </c>
      <c r="BY452">
        <v>0</v>
      </c>
      <c r="BZ452">
        <v>0</v>
      </c>
      <c r="CA452">
        <v>233.97</v>
      </c>
      <c r="CF452" s="2"/>
      <c r="CH452" s="2"/>
      <c r="CJ452">
        <v>5.3142019950192102E+17</v>
      </c>
      <c r="CK452" t="s">
        <v>2648</v>
      </c>
      <c r="CL452">
        <v>43819.373495370368</v>
      </c>
      <c r="CO452" t="s">
        <v>11</v>
      </c>
      <c r="CP452">
        <v>1150</v>
      </c>
      <c r="CQ452" t="s">
        <v>11</v>
      </c>
      <c r="CR452">
        <v>1150</v>
      </c>
      <c r="CV452" t="s">
        <v>190</v>
      </c>
      <c r="CW452" t="s">
        <v>12</v>
      </c>
      <c r="CX452" t="s">
        <v>12</v>
      </c>
      <c r="CY452" t="s">
        <v>12</v>
      </c>
      <c r="DA452" t="s">
        <v>104</v>
      </c>
      <c r="DD452" t="s">
        <v>93</v>
      </c>
      <c r="DQ452" t="s">
        <v>94</v>
      </c>
      <c r="DR452" t="s">
        <v>94</v>
      </c>
      <c r="DS452" t="s">
        <v>94</v>
      </c>
      <c r="DT452" t="s">
        <v>94</v>
      </c>
      <c r="DU452" t="s">
        <v>94</v>
      </c>
      <c r="DV452" t="s">
        <v>94</v>
      </c>
      <c r="DW452" t="s">
        <v>94</v>
      </c>
      <c r="DX452" s="2" t="s">
        <v>94</v>
      </c>
      <c r="DY452" t="s">
        <v>94</v>
      </c>
      <c r="DZ452" t="s">
        <v>94</v>
      </c>
      <c r="EA452" t="s">
        <v>94</v>
      </c>
      <c r="EB452" t="s">
        <v>94</v>
      </c>
      <c r="EC452" t="s">
        <v>94</v>
      </c>
      <c r="ED452" t="s">
        <v>94</v>
      </c>
      <c r="EE452" t="s">
        <v>89</v>
      </c>
      <c r="EF452" t="s">
        <v>425</v>
      </c>
      <c r="EG452" t="s">
        <v>105</v>
      </c>
      <c r="EJ452" t="s">
        <v>166</v>
      </c>
      <c r="EK452" t="b">
        <v>0</v>
      </c>
      <c r="EL452" t="b">
        <v>0</v>
      </c>
      <c r="EM452" t="b">
        <v>0</v>
      </c>
    </row>
    <row r="453" spans="3:143" ht="15">
      <c r="C453" s="82">
        <v>23</v>
      </c>
      <c r="D453" s="5"/>
      <c r="E453" s="4">
        <v>1</v>
      </c>
      <c r="F453" s="5">
        <v>1</v>
      </c>
      <c r="G453" s="5" t="s">
        <v>6055</v>
      </c>
      <c r="H453" s="4" t="s">
        <v>6056</v>
      </c>
      <c r="I453" s="81" t="s">
        <v>164</v>
      </c>
      <c r="J453" s="21"/>
      <c r="K453" s="22" t="s">
        <v>6057</v>
      </c>
      <c r="L453" s="84" t="s">
        <v>5983</v>
      </c>
      <c r="M453" s="23" t="s">
        <v>5984</v>
      </c>
      <c r="N453" s="23">
        <v>43822</v>
      </c>
      <c r="O453" s="24" t="s">
        <v>102</v>
      </c>
      <c r="P453" s="24" t="s">
        <v>480</v>
      </c>
      <c r="Q453" s="24">
        <v>1</v>
      </c>
      <c r="R453" s="24">
        <v>1</v>
      </c>
      <c r="S453" t="s">
        <v>319</v>
      </c>
      <c r="T453">
        <v>3300</v>
      </c>
      <c r="U453" s="2"/>
      <c r="W453" s="2"/>
      <c r="AB453" t="s">
        <v>9</v>
      </c>
      <c r="AC453" t="s">
        <v>755</v>
      </c>
      <c r="AD453" t="s">
        <v>191</v>
      </c>
      <c r="AE453">
        <v>110705</v>
      </c>
      <c r="AF453">
        <v>110705</v>
      </c>
      <c r="AG453" t="s">
        <v>183</v>
      </c>
      <c r="AH453" t="s">
        <v>6031</v>
      </c>
      <c r="AI453" t="s">
        <v>6031</v>
      </c>
      <c r="AJ453" t="s">
        <v>584</v>
      </c>
      <c r="AK453" t="s">
        <v>585</v>
      </c>
      <c r="AL453" t="s">
        <v>6032</v>
      </c>
      <c r="AO453" t="s">
        <v>6033</v>
      </c>
      <c r="AP453" t="s">
        <v>759</v>
      </c>
      <c r="AR453" t="s">
        <v>6034</v>
      </c>
      <c r="AS453">
        <v>382734433</v>
      </c>
      <c r="AT453" t="s">
        <v>6035</v>
      </c>
      <c r="AU453" t="s">
        <v>10</v>
      </c>
      <c r="AV453" t="s">
        <v>6036</v>
      </c>
      <c r="AW453" t="s">
        <v>6037</v>
      </c>
      <c r="AX453" t="s">
        <v>6038</v>
      </c>
      <c r="AY453" s="2" t="s">
        <v>6039</v>
      </c>
      <c r="BA453" t="s">
        <v>726</v>
      </c>
      <c r="BB453" t="s">
        <v>192</v>
      </c>
      <c r="BC453" t="s">
        <v>188</v>
      </c>
      <c r="BD453">
        <v>523046</v>
      </c>
      <c r="BE453" t="s">
        <v>376</v>
      </c>
      <c r="BG453" t="b">
        <v>0</v>
      </c>
      <c r="BH453" s="6" t="s">
        <v>6040</v>
      </c>
      <c r="BI453" t="s">
        <v>6041</v>
      </c>
      <c r="BJ453">
        <v>4453163191</v>
      </c>
      <c r="BK453" t="s">
        <v>162</v>
      </c>
      <c r="BL453" t="s">
        <v>161</v>
      </c>
      <c r="BM453" s="2"/>
      <c r="BR453" t="s">
        <v>189</v>
      </c>
      <c r="BS453" t="s">
        <v>103</v>
      </c>
      <c r="BU453">
        <v>0</v>
      </c>
      <c r="BV453">
        <v>0</v>
      </c>
      <c r="BW453">
        <v>0</v>
      </c>
      <c r="BX453">
        <v>0</v>
      </c>
      <c r="BY453">
        <v>0</v>
      </c>
      <c r="BZ453">
        <v>0</v>
      </c>
      <c r="CA453">
        <v>0</v>
      </c>
      <c r="CF453" s="2"/>
      <c r="CH453" s="2"/>
      <c r="CK453" t="s">
        <v>2648</v>
      </c>
      <c r="CL453">
        <v>43822.383460648147</v>
      </c>
      <c r="CO453" t="s">
        <v>11</v>
      </c>
      <c r="CP453">
        <v>23108.58</v>
      </c>
      <c r="CQ453" t="s">
        <v>11</v>
      </c>
      <c r="CR453">
        <v>23108.58</v>
      </c>
      <c r="CV453" t="s">
        <v>190</v>
      </c>
      <c r="CW453" t="s">
        <v>12</v>
      </c>
      <c r="CX453" t="s">
        <v>12</v>
      </c>
      <c r="CY453" t="s">
        <v>12</v>
      </c>
      <c r="DA453" t="s">
        <v>104</v>
      </c>
      <c r="DD453" t="s">
        <v>93</v>
      </c>
      <c r="DQ453" t="s">
        <v>94</v>
      </c>
      <c r="DR453" t="s">
        <v>94</v>
      </c>
      <c r="DS453" t="s">
        <v>94</v>
      </c>
      <c r="DT453" t="s">
        <v>94</v>
      </c>
      <c r="DU453" t="s">
        <v>94</v>
      </c>
      <c r="DV453" t="s">
        <v>94</v>
      </c>
      <c r="DW453" t="s">
        <v>94</v>
      </c>
      <c r="DX453" s="2" t="s">
        <v>94</v>
      </c>
      <c r="DY453" t="s">
        <v>94</v>
      </c>
      <c r="DZ453" t="s">
        <v>94</v>
      </c>
      <c r="EA453" t="s">
        <v>94</v>
      </c>
      <c r="EB453" t="s">
        <v>94</v>
      </c>
      <c r="EC453" t="s">
        <v>94</v>
      </c>
      <c r="ED453" t="s">
        <v>94</v>
      </c>
      <c r="EE453" t="s">
        <v>89</v>
      </c>
      <c r="EF453" t="s">
        <v>94</v>
      </c>
      <c r="EG453" t="s">
        <v>105</v>
      </c>
      <c r="EJ453" t="s">
        <v>166</v>
      </c>
      <c r="EK453" t="b">
        <v>0</v>
      </c>
      <c r="EL453" t="b">
        <v>0</v>
      </c>
      <c r="EM453" t="b">
        <v>0</v>
      </c>
    </row>
    <row r="454" spans="3:143" ht="15">
      <c r="C454" s="82">
        <v>23</v>
      </c>
      <c r="D454" s="5">
        <v>96.5</v>
      </c>
      <c r="E454" s="4">
        <v>1</v>
      </c>
      <c r="F454" s="5">
        <v>96.5</v>
      </c>
      <c r="G454" s="5" t="s">
        <v>6058</v>
      </c>
      <c r="H454" s="4" t="s">
        <v>6056</v>
      </c>
      <c r="I454" s="81" t="s">
        <v>164</v>
      </c>
      <c r="J454" s="21"/>
      <c r="K454" s="22" t="s">
        <v>6057</v>
      </c>
      <c r="L454" s="84" t="s">
        <v>5983</v>
      </c>
      <c r="M454" s="23" t="s">
        <v>5984</v>
      </c>
      <c r="N454" s="23">
        <v>43822</v>
      </c>
      <c r="O454" s="24" t="s">
        <v>102</v>
      </c>
      <c r="P454" s="24" t="s">
        <v>480</v>
      </c>
      <c r="Q454" s="24">
        <v>1</v>
      </c>
      <c r="R454" s="24">
        <v>1</v>
      </c>
      <c r="S454" t="s">
        <v>319</v>
      </c>
      <c r="T454">
        <v>3300</v>
      </c>
      <c r="U454" s="2"/>
      <c r="W454" s="2"/>
      <c r="AB454" t="s">
        <v>9</v>
      </c>
      <c r="AC454" t="s">
        <v>755</v>
      </c>
      <c r="AD454" t="s">
        <v>191</v>
      </c>
      <c r="AE454">
        <v>110705</v>
      </c>
      <c r="AF454">
        <v>110705</v>
      </c>
      <c r="AG454" t="s">
        <v>183</v>
      </c>
      <c r="AH454" t="s">
        <v>6031</v>
      </c>
      <c r="AI454" t="s">
        <v>6031</v>
      </c>
      <c r="AJ454" t="s">
        <v>584</v>
      </c>
      <c r="AK454" t="s">
        <v>585</v>
      </c>
      <c r="AL454" t="s">
        <v>6032</v>
      </c>
      <c r="AO454" t="s">
        <v>6033</v>
      </c>
      <c r="AP454" t="s">
        <v>759</v>
      </c>
      <c r="AR454" t="s">
        <v>6034</v>
      </c>
      <c r="AS454">
        <v>382734433</v>
      </c>
      <c r="AT454" t="s">
        <v>6035</v>
      </c>
      <c r="AU454" t="s">
        <v>10</v>
      </c>
      <c r="AV454" t="s">
        <v>6036</v>
      </c>
      <c r="AW454" t="s">
        <v>6037</v>
      </c>
      <c r="AX454" t="s">
        <v>6038</v>
      </c>
      <c r="AY454" s="2" t="s">
        <v>6039</v>
      </c>
      <c r="BA454" t="s">
        <v>726</v>
      </c>
      <c r="BB454" t="s">
        <v>192</v>
      </c>
      <c r="BC454" t="s">
        <v>188</v>
      </c>
      <c r="BD454">
        <v>523046</v>
      </c>
      <c r="BE454" t="s">
        <v>376</v>
      </c>
      <c r="BG454" t="b">
        <v>0</v>
      </c>
      <c r="BH454" s="6" t="s">
        <v>6040</v>
      </c>
      <c r="BI454" t="s">
        <v>6041</v>
      </c>
      <c r="BJ454">
        <v>4453163191</v>
      </c>
      <c r="BK454" t="s">
        <v>162</v>
      </c>
      <c r="BL454" t="s">
        <v>161</v>
      </c>
      <c r="BM454" s="2"/>
      <c r="BR454" t="s">
        <v>189</v>
      </c>
      <c r="BS454" t="s">
        <v>103</v>
      </c>
      <c r="BU454">
        <v>0</v>
      </c>
      <c r="BV454">
        <v>0</v>
      </c>
      <c r="BW454">
        <v>0</v>
      </c>
      <c r="BX454">
        <v>0</v>
      </c>
      <c r="BY454">
        <v>0</v>
      </c>
      <c r="BZ454">
        <v>0</v>
      </c>
      <c r="CA454">
        <v>0</v>
      </c>
      <c r="CF454" s="2"/>
      <c r="CH454" s="2"/>
      <c r="CK454" t="s">
        <v>2648</v>
      </c>
      <c r="CL454">
        <v>43822.383460648147</v>
      </c>
      <c r="CO454" t="s">
        <v>11</v>
      </c>
      <c r="CP454">
        <v>23108.58</v>
      </c>
      <c r="CQ454" t="s">
        <v>11</v>
      </c>
      <c r="CR454">
        <v>23108.58</v>
      </c>
      <c r="CV454" t="s">
        <v>190</v>
      </c>
      <c r="CW454" t="s">
        <v>12</v>
      </c>
      <c r="CX454" t="s">
        <v>12</v>
      </c>
      <c r="CY454" t="s">
        <v>12</v>
      </c>
      <c r="DA454" t="s">
        <v>104</v>
      </c>
      <c r="DD454" t="s">
        <v>93</v>
      </c>
      <c r="DQ454" t="s">
        <v>94</v>
      </c>
      <c r="DR454" t="s">
        <v>94</v>
      </c>
      <c r="DS454" t="s">
        <v>94</v>
      </c>
      <c r="DT454" t="s">
        <v>94</v>
      </c>
      <c r="DU454" t="s">
        <v>94</v>
      </c>
      <c r="DV454" t="s">
        <v>94</v>
      </c>
      <c r="DW454" t="s">
        <v>94</v>
      </c>
      <c r="DX454" s="2" t="s">
        <v>94</v>
      </c>
      <c r="DY454" t="s">
        <v>94</v>
      </c>
      <c r="DZ454" t="s">
        <v>94</v>
      </c>
      <c r="EA454" t="s">
        <v>94</v>
      </c>
      <c r="EB454" t="s">
        <v>94</v>
      </c>
      <c r="EC454" t="s">
        <v>94</v>
      </c>
      <c r="ED454" t="s">
        <v>94</v>
      </c>
      <c r="EE454" t="s">
        <v>89</v>
      </c>
      <c r="EF454" t="s">
        <v>94</v>
      </c>
      <c r="EG454" t="s">
        <v>105</v>
      </c>
      <c r="EJ454" t="s">
        <v>166</v>
      </c>
      <c r="EK454" t="b">
        <v>0</v>
      </c>
      <c r="EL454" t="b">
        <v>0</v>
      </c>
      <c r="EM454" t="b">
        <v>0</v>
      </c>
    </row>
    <row r="455" spans="3:143" ht="15">
      <c r="C455" s="82">
        <v>23</v>
      </c>
      <c r="D455" s="5">
        <v>590</v>
      </c>
      <c r="E455" s="4">
        <v>19</v>
      </c>
      <c r="F455" s="5">
        <v>590</v>
      </c>
      <c r="G455" s="5" t="s">
        <v>6059</v>
      </c>
      <c r="H455" s="4" t="s">
        <v>1687</v>
      </c>
      <c r="I455" s="81" t="s">
        <v>466</v>
      </c>
      <c r="J455" s="21"/>
      <c r="K455" s="22" t="s">
        <v>6053</v>
      </c>
      <c r="L455" s="84" t="s">
        <v>6042</v>
      </c>
      <c r="M455" s="23" t="s">
        <v>409</v>
      </c>
      <c r="N455" s="23">
        <v>43825</v>
      </c>
      <c r="O455" s="24" t="s">
        <v>102</v>
      </c>
      <c r="P455" s="24" t="s">
        <v>480</v>
      </c>
      <c r="Q455" s="24">
        <v>19</v>
      </c>
      <c r="R455" s="24">
        <v>1170</v>
      </c>
      <c r="S455" t="s">
        <v>528</v>
      </c>
      <c r="T455">
        <v>318220.52</v>
      </c>
      <c r="U455" s="2"/>
      <c r="W455" s="2"/>
      <c r="AB455" t="s">
        <v>9</v>
      </c>
      <c r="AC455" t="s">
        <v>1667</v>
      </c>
      <c r="AD455" t="s">
        <v>182</v>
      </c>
      <c r="AE455">
        <v>147285</v>
      </c>
      <c r="AF455">
        <v>147285</v>
      </c>
      <c r="AG455">
        <v>3104096</v>
      </c>
      <c r="AH455" t="s">
        <v>6043</v>
      </c>
      <c r="AI455" t="s">
        <v>6043</v>
      </c>
      <c r="AJ455" t="s">
        <v>508</v>
      </c>
      <c r="AK455" t="s">
        <v>509</v>
      </c>
      <c r="AL455" t="s">
        <v>6044</v>
      </c>
      <c r="AO455" t="s">
        <v>1671</v>
      </c>
      <c r="AP455" t="s">
        <v>1672</v>
      </c>
      <c r="AR455">
        <v>14110</v>
      </c>
      <c r="AS455">
        <v>231695900</v>
      </c>
      <c r="AT455" t="s">
        <v>6045</v>
      </c>
      <c r="AU455" t="s">
        <v>10</v>
      </c>
      <c r="AV455" t="s">
        <v>6046</v>
      </c>
      <c r="AW455" t="s">
        <v>6046</v>
      </c>
      <c r="AX455" t="s">
        <v>1676</v>
      </c>
      <c r="AY455" s="2" t="s">
        <v>1677</v>
      </c>
      <c r="AZ455" t="s">
        <v>194</v>
      </c>
      <c r="BA455" t="s">
        <v>1678</v>
      </c>
      <c r="BB455" t="s">
        <v>272</v>
      </c>
      <c r="BC455" t="s">
        <v>188</v>
      </c>
      <c r="BD455">
        <v>518001</v>
      </c>
      <c r="BE455" t="s">
        <v>1679</v>
      </c>
      <c r="BF455" t="s">
        <v>1680</v>
      </c>
      <c r="BG455" t="b">
        <v>0</v>
      </c>
      <c r="BH455" s="6" t="s">
        <v>6047</v>
      </c>
      <c r="BI455" t="s">
        <v>6048</v>
      </c>
      <c r="BJ455">
        <v>4453163191</v>
      </c>
      <c r="BK455" t="s">
        <v>162</v>
      </c>
      <c r="BL455" t="s">
        <v>161</v>
      </c>
      <c r="BM455" s="2"/>
      <c r="BN455" t="s">
        <v>1683</v>
      </c>
      <c r="BR455" t="s">
        <v>189</v>
      </c>
      <c r="BS455" t="s">
        <v>103</v>
      </c>
      <c r="BU455">
        <v>0</v>
      </c>
      <c r="BV455">
        <v>0</v>
      </c>
      <c r="BW455">
        <v>0</v>
      </c>
      <c r="BX455">
        <v>0</v>
      </c>
      <c r="BY455">
        <v>0</v>
      </c>
      <c r="BZ455">
        <v>0</v>
      </c>
      <c r="CA455">
        <v>0</v>
      </c>
      <c r="CF455" s="2"/>
      <c r="CH455" s="2"/>
      <c r="CK455" t="s">
        <v>2648</v>
      </c>
      <c r="CL455">
        <v>43825.563587962963</v>
      </c>
      <c r="CO455" t="s">
        <v>11</v>
      </c>
      <c r="CP455">
        <v>2453893.9</v>
      </c>
      <c r="CQ455" t="s">
        <v>11</v>
      </c>
      <c r="CR455">
        <v>2453893.9</v>
      </c>
      <c r="CV455" t="s">
        <v>525</v>
      </c>
      <c r="CW455" t="s">
        <v>12</v>
      </c>
      <c r="CX455" t="s">
        <v>12</v>
      </c>
      <c r="CY455" t="s">
        <v>12</v>
      </c>
      <c r="DA455" t="s">
        <v>104</v>
      </c>
      <c r="DD455" t="s">
        <v>93</v>
      </c>
      <c r="DQ455" t="s">
        <v>94</v>
      </c>
      <c r="DR455" t="s">
        <v>94</v>
      </c>
      <c r="DS455" t="s">
        <v>94</v>
      </c>
      <c r="DT455" t="s">
        <v>94</v>
      </c>
      <c r="DU455" t="s">
        <v>94</v>
      </c>
      <c r="DV455" t="s">
        <v>94</v>
      </c>
      <c r="DW455" t="s">
        <v>94</v>
      </c>
      <c r="DX455" s="2" t="s">
        <v>94</v>
      </c>
      <c r="DY455" t="s">
        <v>94</v>
      </c>
      <c r="DZ455" t="s">
        <v>94</v>
      </c>
      <c r="EA455" t="s">
        <v>94</v>
      </c>
      <c r="EB455" t="s">
        <v>94</v>
      </c>
      <c r="EC455" t="s">
        <v>94</v>
      </c>
      <c r="ED455" t="s">
        <v>94</v>
      </c>
      <c r="EE455" t="s">
        <v>89</v>
      </c>
      <c r="EF455" t="s">
        <v>425</v>
      </c>
      <c r="EG455" t="s">
        <v>105</v>
      </c>
      <c r="EJ455" t="s">
        <v>166</v>
      </c>
      <c r="EK455" t="b">
        <v>0</v>
      </c>
      <c r="EL455" t="b">
        <v>0</v>
      </c>
      <c r="EM455" t="b">
        <v>0</v>
      </c>
    </row>
    <row r="456" spans="3:143">
      <c r="C456" s="4">
        <v>23</v>
      </c>
      <c r="D456" s="4">
        <v>580</v>
      </c>
      <c r="E456" s="4">
        <v>19</v>
      </c>
      <c r="F456" s="4">
        <v>580</v>
      </c>
      <c r="G456" s="5" t="s">
        <v>6059</v>
      </c>
      <c r="H456" s="4" t="s">
        <v>1687</v>
      </c>
      <c r="I456" s="4" t="s">
        <v>466</v>
      </c>
      <c r="J456" s="5"/>
      <c r="K456" s="22" t="s">
        <v>6054</v>
      </c>
      <c r="L456" s="84" t="s">
        <v>6042</v>
      </c>
      <c r="M456" s="23" t="s">
        <v>409</v>
      </c>
      <c r="N456" s="23">
        <v>43825</v>
      </c>
      <c r="O456" s="24" t="s">
        <v>102</v>
      </c>
      <c r="P456" s="24" t="s">
        <v>480</v>
      </c>
      <c r="Q456" s="24">
        <v>19</v>
      </c>
      <c r="R456" s="24">
        <v>1170</v>
      </c>
      <c r="S456" t="s">
        <v>528</v>
      </c>
      <c r="T456">
        <v>318220.52</v>
      </c>
      <c r="U456" s="2"/>
      <c r="W456" s="2"/>
      <c r="AB456" t="s">
        <v>9</v>
      </c>
      <c r="AC456" t="s">
        <v>1667</v>
      </c>
      <c r="AD456" t="s">
        <v>182</v>
      </c>
      <c r="AE456">
        <v>147285</v>
      </c>
      <c r="AF456">
        <v>147285</v>
      </c>
      <c r="AG456">
        <v>3104096</v>
      </c>
      <c r="AH456" t="s">
        <v>6043</v>
      </c>
      <c r="AI456" t="s">
        <v>6043</v>
      </c>
      <c r="AJ456" t="s">
        <v>508</v>
      </c>
      <c r="AK456" t="s">
        <v>509</v>
      </c>
      <c r="AL456" t="s">
        <v>6044</v>
      </c>
      <c r="AO456" t="s">
        <v>1671</v>
      </c>
      <c r="AP456" t="s">
        <v>1672</v>
      </c>
      <c r="AR456">
        <v>14110</v>
      </c>
      <c r="AS456">
        <v>231695900</v>
      </c>
      <c r="AT456" t="s">
        <v>6045</v>
      </c>
      <c r="AU456" t="s">
        <v>10</v>
      </c>
      <c r="AV456" t="s">
        <v>6046</v>
      </c>
      <c r="AW456" t="s">
        <v>6046</v>
      </c>
      <c r="AX456" t="s">
        <v>1676</v>
      </c>
      <c r="AY456" t="s">
        <v>1677</v>
      </c>
      <c r="AZ456" t="s">
        <v>194</v>
      </c>
      <c r="BA456" t="s">
        <v>1678</v>
      </c>
      <c r="BB456" t="s">
        <v>272</v>
      </c>
      <c r="BC456" t="s">
        <v>188</v>
      </c>
      <c r="BD456">
        <v>518001</v>
      </c>
      <c r="BE456" t="s">
        <v>1679</v>
      </c>
      <c r="BF456" t="s">
        <v>1680</v>
      </c>
      <c r="BG456" t="b">
        <v>0</v>
      </c>
      <c r="BH456" s="6" t="s">
        <v>6047</v>
      </c>
      <c r="BI456" t="s">
        <v>6048</v>
      </c>
      <c r="BJ456">
        <v>4453163191</v>
      </c>
      <c r="BK456" t="s">
        <v>162</v>
      </c>
      <c r="BL456" t="s">
        <v>161</v>
      </c>
      <c r="BM456" s="2"/>
      <c r="BN456" t="s">
        <v>1683</v>
      </c>
      <c r="BR456" t="s">
        <v>189</v>
      </c>
      <c r="BS456" t="s">
        <v>103</v>
      </c>
      <c r="BU456">
        <v>0</v>
      </c>
      <c r="BV456">
        <v>0</v>
      </c>
      <c r="BW456">
        <v>0</v>
      </c>
      <c r="BX456">
        <v>0</v>
      </c>
      <c r="BY456">
        <v>0</v>
      </c>
      <c r="BZ456">
        <v>0</v>
      </c>
      <c r="CA456">
        <v>0</v>
      </c>
      <c r="CF456" s="2"/>
      <c r="CH456" s="2"/>
      <c r="CK456" t="s">
        <v>2648</v>
      </c>
      <c r="CL456">
        <v>43825.563587962963</v>
      </c>
      <c r="CO456" t="s">
        <v>11</v>
      </c>
      <c r="CP456">
        <v>2453893.9</v>
      </c>
      <c r="CQ456" t="s">
        <v>11</v>
      </c>
      <c r="CR456">
        <v>2453893.9</v>
      </c>
      <c r="CV456" t="s">
        <v>525</v>
      </c>
      <c r="CW456" t="s">
        <v>12</v>
      </c>
      <c r="CX456" t="s">
        <v>12</v>
      </c>
      <c r="CY456" t="s">
        <v>12</v>
      </c>
      <c r="DA456" t="s">
        <v>104</v>
      </c>
      <c r="DD456" t="s">
        <v>93</v>
      </c>
      <c r="DQ456" t="s">
        <v>94</v>
      </c>
      <c r="DR456" t="s">
        <v>94</v>
      </c>
      <c r="DS456" t="s">
        <v>94</v>
      </c>
      <c r="DT456" t="s">
        <v>94</v>
      </c>
      <c r="DU456" t="s">
        <v>94</v>
      </c>
      <c r="DV456" t="s">
        <v>94</v>
      </c>
      <c r="DW456" t="s">
        <v>94</v>
      </c>
      <c r="DX456" s="2" t="s">
        <v>94</v>
      </c>
      <c r="DY456" t="s">
        <v>94</v>
      </c>
      <c r="DZ456" t="s">
        <v>94</v>
      </c>
      <c r="EA456" t="s">
        <v>94</v>
      </c>
      <c r="EB456" t="s">
        <v>94</v>
      </c>
      <c r="EC456" t="s">
        <v>94</v>
      </c>
      <c r="ED456" t="s">
        <v>94</v>
      </c>
      <c r="EE456" t="s">
        <v>89</v>
      </c>
      <c r="EF456" t="s">
        <v>425</v>
      </c>
      <c r="EG456" t="s">
        <v>105</v>
      </c>
      <c r="EJ456" t="s">
        <v>166</v>
      </c>
      <c r="EK456" t="b">
        <v>0</v>
      </c>
      <c r="EL456" t="b">
        <v>0</v>
      </c>
      <c r="EM456" t="b">
        <v>0</v>
      </c>
    </row>
    <row r="457" spans="3:143" ht="15">
      <c r="C457" s="82">
        <v>23</v>
      </c>
      <c r="D457" s="5">
        <v>590</v>
      </c>
      <c r="E457" s="4">
        <v>8</v>
      </c>
      <c r="F457" s="5">
        <v>590</v>
      </c>
      <c r="G457" s="5" t="s">
        <v>6060</v>
      </c>
      <c r="H457" s="4" t="s">
        <v>1687</v>
      </c>
      <c r="I457" s="81" t="s">
        <v>466</v>
      </c>
      <c r="J457" s="21"/>
      <c r="K457" s="22" t="s">
        <v>6053</v>
      </c>
      <c r="L457" s="84" t="s">
        <v>6042</v>
      </c>
      <c r="M457" s="23" t="s">
        <v>409</v>
      </c>
      <c r="N457" s="23">
        <v>43825</v>
      </c>
      <c r="O457" s="24" t="s">
        <v>102</v>
      </c>
      <c r="P457" s="24" t="s">
        <v>480</v>
      </c>
      <c r="Q457" s="24">
        <v>8</v>
      </c>
      <c r="R457" s="24">
        <v>1170</v>
      </c>
      <c r="S457" t="s">
        <v>528</v>
      </c>
      <c r="T457">
        <v>318220.52</v>
      </c>
      <c r="U457" s="2"/>
      <c r="W457" s="2"/>
      <c r="AB457" t="s">
        <v>9</v>
      </c>
      <c r="AC457" t="s">
        <v>1667</v>
      </c>
      <c r="AD457" t="s">
        <v>182</v>
      </c>
      <c r="AE457">
        <v>147285</v>
      </c>
      <c r="AF457">
        <v>147285</v>
      </c>
      <c r="AG457">
        <v>3104096</v>
      </c>
      <c r="AH457" t="s">
        <v>6043</v>
      </c>
      <c r="AI457" t="s">
        <v>6043</v>
      </c>
      <c r="AJ457" t="s">
        <v>508</v>
      </c>
      <c r="AK457" t="s">
        <v>509</v>
      </c>
      <c r="AL457" t="s">
        <v>6044</v>
      </c>
      <c r="AO457" t="s">
        <v>1671</v>
      </c>
      <c r="AP457" t="s">
        <v>1672</v>
      </c>
      <c r="AR457">
        <v>14110</v>
      </c>
      <c r="AS457">
        <v>231695900</v>
      </c>
      <c r="AT457" t="s">
        <v>6045</v>
      </c>
      <c r="AU457" t="s">
        <v>10</v>
      </c>
      <c r="AV457" t="s">
        <v>6046</v>
      </c>
      <c r="AW457" t="s">
        <v>6046</v>
      </c>
      <c r="AX457" t="s">
        <v>1676</v>
      </c>
      <c r="AY457" s="2" t="s">
        <v>1677</v>
      </c>
      <c r="AZ457" t="s">
        <v>194</v>
      </c>
      <c r="BA457" t="s">
        <v>1678</v>
      </c>
      <c r="BB457" t="s">
        <v>272</v>
      </c>
      <c r="BC457" t="s">
        <v>188</v>
      </c>
      <c r="BD457">
        <v>518001</v>
      </c>
      <c r="BE457" t="s">
        <v>1679</v>
      </c>
      <c r="BF457" t="s">
        <v>1680</v>
      </c>
      <c r="BG457" t="b">
        <v>0</v>
      </c>
      <c r="BH457" s="6" t="s">
        <v>6047</v>
      </c>
      <c r="BI457" t="s">
        <v>6048</v>
      </c>
      <c r="BJ457">
        <v>4453163191</v>
      </c>
      <c r="BK457" t="s">
        <v>162</v>
      </c>
      <c r="BL457" t="s">
        <v>161</v>
      </c>
      <c r="BM457" s="2"/>
      <c r="BN457" t="s">
        <v>1683</v>
      </c>
      <c r="BR457" t="s">
        <v>189</v>
      </c>
      <c r="BS457" t="s">
        <v>103</v>
      </c>
      <c r="BU457">
        <v>0</v>
      </c>
      <c r="BV457">
        <v>0</v>
      </c>
      <c r="BW457">
        <v>0</v>
      </c>
      <c r="BX457">
        <v>0</v>
      </c>
      <c r="BY457">
        <v>0</v>
      </c>
      <c r="BZ457">
        <v>0</v>
      </c>
      <c r="CA457">
        <v>0</v>
      </c>
      <c r="CF457" s="2"/>
      <c r="CH457" s="2"/>
      <c r="CK457" t="s">
        <v>2648</v>
      </c>
      <c r="CL457">
        <v>43825.563587962963</v>
      </c>
      <c r="CO457" t="s">
        <v>11</v>
      </c>
      <c r="CP457">
        <v>2453893.9</v>
      </c>
      <c r="CQ457" t="s">
        <v>11</v>
      </c>
      <c r="CR457">
        <v>2453893.9</v>
      </c>
      <c r="CV457" t="s">
        <v>525</v>
      </c>
      <c r="CW457" t="s">
        <v>12</v>
      </c>
      <c r="CX457" t="s">
        <v>12</v>
      </c>
      <c r="CY457" t="s">
        <v>12</v>
      </c>
      <c r="DA457" t="s">
        <v>104</v>
      </c>
      <c r="DD457" t="s">
        <v>93</v>
      </c>
      <c r="DQ457" t="s">
        <v>94</v>
      </c>
      <c r="DR457" t="s">
        <v>94</v>
      </c>
      <c r="DS457" t="s">
        <v>94</v>
      </c>
      <c r="DT457" t="s">
        <v>94</v>
      </c>
      <c r="DU457" t="s">
        <v>94</v>
      </c>
      <c r="DV457" t="s">
        <v>94</v>
      </c>
      <c r="DW457" t="s">
        <v>94</v>
      </c>
      <c r="DX457" s="2" t="s">
        <v>94</v>
      </c>
      <c r="DY457" t="s">
        <v>94</v>
      </c>
      <c r="DZ457" t="s">
        <v>94</v>
      </c>
      <c r="EA457" t="s">
        <v>94</v>
      </c>
      <c r="EB457" t="s">
        <v>94</v>
      </c>
      <c r="EC457" t="s">
        <v>94</v>
      </c>
      <c r="ED457" t="s">
        <v>94</v>
      </c>
      <c r="EE457" t="s">
        <v>89</v>
      </c>
      <c r="EF457" t="s">
        <v>425</v>
      </c>
      <c r="EG457" t="s">
        <v>105</v>
      </c>
      <c r="EJ457" t="s">
        <v>166</v>
      </c>
      <c r="EK457" t="b">
        <v>0</v>
      </c>
      <c r="EL457" t="b">
        <v>0</v>
      </c>
      <c r="EM457" t="b">
        <v>0</v>
      </c>
    </row>
    <row r="458" spans="3:143">
      <c r="C458" s="4">
        <v>23</v>
      </c>
      <c r="D458" s="4">
        <v>580</v>
      </c>
      <c r="E458" s="4">
        <v>11</v>
      </c>
      <c r="F458" s="4">
        <v>580</v>
      </c>
      <c r="G458" s="5" t="s">
        <v>6060</v>
      </c>
      <c r="H458" s="4" t="s">
        <v>1687</v>
      </c>
      <c r="I458" s="4" t="s">
        <v>466</v>
      </c>
      <c r="J458" s="5"/>
      <c r="K458" s="22" t="s">
        <v>6054</v>
      </c>
      <c r="L458" s="84" t="s">
        <v>6042</v>
      </c>
      <c r="M458" s="23" t="s">
        <v>409</v>
      </c>
      <c r="N458" s="23">
        <v>43825</v>
      </c>
      <c r="O458" s="24" t="s">
        <v>102</v>
      </c>
      <c r="P458" s="24" t="s">
        <v>480</v>
      </c>
      <c r="Q458" s="24">
        <v>11</v>
      </c>
      <c r="R458" s="24">
        <v>1170</v>
      </c>
      <c r="S458" t="s">
        <v>528</v>
      </c>
      <c r="T458">
        <v>318220.52</v>
      </c>
      <c r="U458" s="2"/>
      <c r="W458" s="2"/>
      <c r="AB458" t="s">
        <v>9</v>
      </c>
      <c r="AC458" t="s">
        <v>1667</v>
      </c>
      <c r="AD458" t="s">
        <v>182</v>
      </c>
      <c r="AE458">
        <v>147285</v>
      </c>
      <c r="AF458">
        <v>147285</v>
      </c>
      <c r="AG458">
        <v>3104096</v>
      </c>
      <c r="AH458" t="s">
        <v>6043</v>
      </c>
      <c r="AI458" t="s">
        <v>6043</v>
      </c>
      <c r="AJ458" t="s">
        <v>508</v>
      </c>
      <c r="AK458" t="s">
        <v>509</v>
      </c>
      <c r="AL458" t="s">
        <v>6044</v>
      </c>
      <c r="AO458" t="s">
        <v>1671</v>
      </c>
      <c r="AP458" t="s">
        <v>1672</v>
      </c>
      <c r="AR458">
        <v>14110</v>
      </c>
      <c r="AS458">
        <v>231695900</v>
      </c>
      <c r="AT458" t="s">
        <v>6045</v>
      </c>
      <c r="AU458" t="s">
        <v>10</v>
      </c>
      <c r="AV458" t="s">
        <v>6046</v>
      </c>
      <c r="AW458" t="s">
        <v>6046</v>
      </c>
      <c r="AX458" t="s">
        <v>1676</v>
      </c>
      <c r="AY458" t="s">
        <v>1677</v>
      </c>
      <c r="AZ458" t="s">
        <v>194</v>
      </c>
      <c r="BA458" t="s">
        <v>1678</v>
      </c>
      <c r="BB458" t="s">
        <v>272</v>
      </c>
      <c r="BC458" t="s">
        <v>188</v>
      </c>
      <c r="BD458">
        <v>518001</v>
      </c>
      <c r="BE458" t="s">
        <v>1679</v>
      </c>
      <c r="BF458" t="s">
        <v>1680</v>
      </c>
      <c r="BG458" t="b">
        <v>0</v>
      </c>
      <c r="BH458" s="6" t="s">
        <v>6047</v>
      </c>
      <c r="BI458" t="s">
        <v>6048</v>
      </c>
      <c r="BJ458">
        <v>4453163191</v>
      </c>
      <c r="BK458" t="s">
        <v>162</v>
      </c>
      <c r="BL458" t="s">
        <v>161</v>
      </c>
      <c r="BM458" s="2"/>
      <c r="BN458" t="s">
        <v>1683</v>
      </c>
      <c r="BR458" t="s">
        <v>189</v>
      </c>
      <c r="BS458" t="s">
        <v>103</v>
      </c>
      <c r="BU458">
        <v>0</v>
      </c>
      <c r="BV458">
        <v>0</v>
      </c>
      <c r="BW458">
        <v>0</v>
      </c>
      <c r="BX458">
        <v>0</v>
      </c>
      <c r="BY458">
        <v>0</v>
      </c>
      <c r="BZ458">
        <v>0</v>
      </c>
      <c r="CA458">
        <v>0</v>
      </c>
      <c r="CF458" s="2"/>
      <c r="CH458" s="2"/>
      <c r="CK458" t="s">
        <v>2648</v>
      </c>
      <c r="CL458">
        <v>43825.563587962963</v>
      </c>
      <c r="CO458" t="s">
        <v>11</v>
      </c>
      <c r="CP458">
        <v>2453893.9</v>
      </c>
      <c r="CQ458" t="s">
        <v>11</v>
      </c>
      <c r="CR458">
        <v>2453893.9</v>
      </c>
      <c r="CV458" t="s">
        <v>525</v>
      </c>
      <c r="CW458" t="s">
        <v>12</v>
      </c>
      <c r="CX458" t="s">
        <v>12</v>
      </c>
      <c r="CY458" t="s">
        <v>12</v>
      </c>
      <c r="DA458" t="s">
        <v>104</v>
      </c>
      <c r="DD458" t="s">
        <v>93</v>
      </c>
      <c r="DQ458" t="s">
        <v>94</v>
      </c>
      <c r="DR458" t="s">
        <v>94</v>
      </c>
      <c r="DS458" t="s">
        <v>94</v>
      </c>
      <c r="DT458" t="s">
        <v>94</v>
      </c>
      <c r="DU458" t="s">
        <v>94</v>
      </c>
      <c r="DV458" t="s">
        <v>94</v>
      </c>
      <c r="DW458" t="s">
        <v>94</v>
      </c>
      <c r="DX458" s="2" t="s">
        <v>94</v>
      </c>
      <c r="DY458" t="s">
        <v>94</v>
      </c>
      <c r="DZ458" t="s">
        <v>94</v>
      </c>
      <c r="EA458" t="s">
        <v>94</v>
      </c>
      <c r="EB458" t="s">
        <v>94</v>
      </c>
      <c r="EC458" t="s">
        <v>94</v>
      </c>
      <c r="ED458" t="s">
        <v>94</v>
      </c>
      <c r="EE458" t="s">
        <v>89</v>
      </c>
      <c r="EF458" t="s">
        <v>425</v>
      </c>
      <c r="EG458" t="s">
        <v>105</v>
      </c>
      <c r="EJ458" t="s">
        <v>166</v>
      </c>
      <c r="EK458" t="b">
        <v>0</v>
      </c>
      <c r="EL458" t="b">
        <v>0</v>
      </c>
      <c r="EM458" t="b">
        <v>0</v>
      </c>
    </row>
    <row r="459" spans="3:143" ht="15">
      <c r="C459" s="82">
        <v>123</v>
      </c>
      <c r="D459" s="5">
        <v>21.5</v>
      </c>
      <c r="E459" s="4">
        <v>2</v>
      </c>
      <c r="F459" s="5">
        <v>21.5</v>
      </c>
      <c r="G459" s="5" t="s">
        <v>6079</v>
      </c>
      <c r="H459" s="4" t="s">
        <v>6080</v>
      </c>
      <c r="I459" s="81" t="s">
        <v>920</v>
      </c>
      <c r="J459" s="21"/>
      <c r="K459" s="22">
        <v>122678777</v>
      </c>
      <c r="L459" s="84" t="s">
        <v>6061</v>
      </c>
      <c r="M459" s="23" t="s">
        <v>905</v>
      </c>
      <c r="N459" s="23">
        <v>43834</v>
      </c>
      <c r="O459" s="24" t="s">
        <v>102</v>
      </c>
      <c r="P459" s="24" t="s">
        <v>480</v>
      </c>
      <c r="Q459" s="24">
        <v>2</v>
      </c>
      <c r="R459" s="24">
        <v>12.36</v>
      </c>
      <c r="S459" t="s">
        <v>319</v>
      </c>
      <c r="T459">
        <v>35330</v>
      </c>
      <c r="U459" s="2"/>
      <c r="W459" s="2"/>
      <c r="AB459" t="s">
        <v>9</v>
      </c>
      <c r="AC459" t="s">
        <v>6062</v>
      </c>
      <c r="AD459" t="s">
        <v>182</v>
      </c>
      <c r="AE459">
        <v>107381</v>
      </c>
      <c r="AF459">
        <v>107381</v>
      </c>
      <c r="AG459">
        <v>7812</v>
      </c>
      <c r="AH459" t="s">
        <v>6063</v>
      </c>
      <c r="AI459" t="s">
        <v>6063</v>
      </c>
      <c r="AJ459" t="s">
        <v>338</v>
      </c>
      <c r="AK459" t="s">
        <v>339</v>
      </c>
      <c r="AL459" t="s">
        <v>6064</v>
      </c>
      <c r="AM459" t="s">
        <v>6065</v>
      </c>
      <c r="AN459" t="s">
        <v>6066</v>
      </c>
      <c r="AO459" t="s">
        <v>6067</v>
      </c>
      <c r="AP459" t="s">
        <v>6068</v>
      </c>
      <c r="AR459">
        <v>29433</v>
      </c>
      <c r="AS459">
        <v>62770613450</v>
      </c>
      <c r="AT459" t="s">
        <v>6069</v>
      </c>
      <c r="AU459" t="s">
        <v>10</v>
      </c>
      <c r="AV459" t="s">
        <v>6070</v>
      </c>
      <c r="AW459" t="s">
        <v>6070</v>
      </c>
      <c r="AX459" t="s">
        <v>6071</v>
      </c>
      <c r="AY459" s="2" t="s">
        <v>6072</v>
      </c>
      <c r="AZ459" t="s">
        <v>6073</v>
      </c>
      <c r="BA459" t="s">
        <v>186</v>
      </c>
      <c r="BB459" t="s">
        <v>187</v>
      </c>
      <c r="BC459" t="s">
        <v>188</v>
      </c>
      <c r="BD459">
        <v>518133</v>
      </c>
      <c r="BE459" t="s">
        <v>6074</v>
      </c>
      <c r="BF459" t="s">
        <v>6075</v>
      </c>
      <c r="BG459" t="b">
        <v>0</v>
      </c>
      <c r="BH459" s="6" t="s">
        <v>6076</v>
      </c>
      <c r="BI459" t="s">
        <v>6077</v>
      </c>
      <c r="BJ459">
        <v>4453163191</v>
      </c>
      <c r="BK459" t="s">
        <v>162</v>
      </c>
      <c r="BL459" t="s">
        <v>161</v>
      </c>
      <c r="BM459" s="2"/>
      <c r="BN459" t="s">
        <v>6078</v>
      </c>
      <c r="BR459" t="s">
        <v>180</v>
      </c>
      <c r="BS459" t="s">
        <v>103</v>
      </c>
      <c r="BU459">
        <v>0</v>
      </c>
      <c r="BV459">
        <v>0</v>
      </c>
      <c r="BW459">
        <v>0</v>
      </c>
      <c r="BX459">
        <v>0</v>
      </c>
      <c r="BY459">
        <v>0</v>
      </c>
      <c r="BZ459">
        <v>0</v>
      </c>
      <c r="CA459">
        <v>0</v>
      </c>
      <c r="CF459" s="2"/>
      <c r="CH459" s="2"/>
      <c r="CK459" t="s">
        <v>2710</v>
      </c>
      <c r="CL459">
        <v>43834.377638888887</v>
      </c>
      <c r="CO459" t="s">
        <v>11</v>
      </c>
      <c r="CP459">
        <v>247200.48</v>
      </c>
      <c r="CQ459" t="s">
        <v>11</v>
      </c>
      <c r="CR459">
        <v>247200.48</v>
      </c>
      <c r="CV459" t="s">
        <v>525</v>
      </c>
      <c r="CW459" t="s">
        <v>12</v>
      </c>
      <c r="CX459" t="s">
        <v>12</v>
      </c>
      <c r="CY459" t="s">
        <v>12</v>
      </c>
      <c r="DA459" t="s">
        <v>104</v>
      </c>
      <c r="DD459" t="s">
        <v>93</v>
      </c>
      <c r="DQ459" t="s">
        <v>94</v>
      </c>
      <c r="DR459" t="s">
        <v>94</v>
      </c>
      <c r="DS459" t="s">
        <v>94</v>
      </c>
      <c r="DT459" t="s">
        <v>94</v>
      </c>
      <c r="DU459" t="s">
        <v>94</v>
      </c>
      <c r="DV459" t="s">
        <v>94</v>
      </c>
      <c r="DW459" t="s">
        <v>94</v>
      </c>
      <c r="DX459" s="2" t="s">
        <v>94</v>
      </c>
      <c r="DY459" t="s">
        <v>94</v>
      </c>
      <c r="DZ459" t="s">
        <v>94</v>
      </c>
      <c r="EA459" t="s">
        <v>94</v>
      </c>
      <c r="EB459" t="s">
        <v>94</v>
      </c>
      <c r="EC459" t="s">
        <v>94</v>
      </c>
      <c r="ED459" t="s">
        <v>94</v>
      </c>
      <c r="EE459" t="s">
        <v>89</v>
      </c>
      <c r="EF459" t="s">
        <v>94</v>
      </c>
      <c r="EG459" t="s">
        <v>105</v>
      </c>
      <c r="EJ459" t="s">
        <v>166</v>
      </c>
      <c r="EK459" t="b">
        <v>0</v>
      </c>
      <c r="EL459" t="b">
        <v>0</v>
      </c>
      <c r="EM459" t="b">
        <v>0</v>
      </c>
    </row>
    <row r="460" spans="3:143" ht="15">
      <c r="C460" s="82">
        <v>3</v>
      </c>
      <c r="D460" s="5"/>
      <c r="E460" s="4">
        <v>1</v>
      </c>
      <c r="F460" s="5">
        <v>0.25</v>
      </c>
      <c r="G460" s="5" t="s">
        <v>6109</v>
      </c>
      <c r="H460" s="4" t="s">
        <v>6110</v>
      </c>
      <c r="I460" s="81" t="s">
        <v>924</v>
      </c>
      <c r="J460" s="21"/>
      <c r="K460" s="22">
        <v>997863496</v>
      </c>
      <c r="L460" s="84" t="s">
        <v>6081</v>
      </c>
      <c r="M460" s="23" t="s">
        <v>924</v>
      </c>
      <c r="N460" s="23">
        <v>43859</v>
      </c>
      <c r="O460" s="24" t="s">
        <v>102</v>
      </c>
      <c r="P460" s="24" t="s">
        <v>181</v>
      </c>
      <c r="Q460" s="24">
        <v>1</v>
      </c>
      <c r="R460" s="24">
        <v>0.25</v>
      </c>
      <c r="S460" t="s">
        <v>319</v>
      </c>
      <c r="T460">
        <v>80</v>
      </c>
      <c r="U460" s="2" t="s">
        <v>163</v>
      </c>
      <c r="V460">
        <v>43859.859143518515</v>
      </c>
      <c r="W460" s="2" t="s">
        <v>444</v>
      </c>
      <c r="Y460">
        <v>43862.414733796293</v>
      </c>
      <c r="AC460" t="s">
        <v>9</v>
      </c>
      <c r="AD460" t="s">
        <v>3539</v>
      </c>
      <c r="AE460" t="s">
        <v>191</v>
      </c>
      <c r="AF460">
        <v>118579</v>
      </c>
      <c r="AG460">
        <v>118579</v>
      </c>
      <c r="AH460" t="s">
        <v>183</v>
      </c>
      <c r="AI460" t="s">
        <v>6082</v>
      </c>
      <c r="AJ460" t="s">
        <v>6082</v>
      </c>
      <c r="AK460" t="s">
        <v>211</v>
      </c>
      <c r="AL460" t="s">
        <v>212</v>
      </c>
      <c r="AM460" t="s">
        <v>6083</v>
      </c>
      <c r="AN460" t="s">
        <v>6084</v>
      </c>
      <c r="AP460" t="s">
        <v>6085</v>
      </c>
      <c r="AQ460" t="s">
        <v>3543</v>
      </c>
      <c r="AR460" t="s">
        <v>3544</v>
      </c>
      <c r="AS460">
        <v>632010</v>
      </c>
      <c r="AT460">
        <v>4162292222</v>
      </c>
      <c r="AU460" t="s">
        <v>6086</v>
      </c>
      <c r="AV460" t="s">
        <v>10</v>
      </c>
      <c r="AW460" t="s">
        <v>6087</v>
      </c>
      <c r="AX460" t="s">
        <v>6087</v>
      </c>
      <c r="AY460" s="2" t="s">
        <v>6088</v>
      </c>
      <c r="AZ460" t="s">
        <v>6089</v>
      </c>
      <c r="BA460" t="s">
        <v>6090</v>
      </c>
      <c r="BB460" t="s">
        <v>726</v>
      </c>
      <c r="BC460" t="s">
        <v>192</v>
      </c>
      <c r="BD460" t="s">
        <v>188</v>
      </c>
      <c r="BE460">
        <v>523001</v>
      </c>
      <c r="BF460">
        <v>13336353230</v>
      </c>
      <c r="BH460" s="6" t="b">
        <v>0</v>
      </c>
      <c r="BI460" t="s">
        <v>6091</v>
      </c>
      <c r="BJ460" t="s">
        <v>6092</v>
      </c>
      <c r="BK460">
        <v>4453163191</v>
      </c>
      <c r="BL460" t="s">
        <v>162</v>
      </c>
      <c r="BM460" s="2" t="s">
        <v>161</v>
      </c>
      <c r="BP460" t="s">
        <v>89</v>
      </c>
      <c r="BQ460">
        <v>3926909090</v>
      </c>
      <c r="BS460" t="s">
        <v>180</v>
      </c>
      <c r="BT460" t="s">
        <v>103</v>
      </c>
      <c r="BV460">
        <v>55.98</v>
      </c>
      <c r="BW460">
        <v>80.040000000000006</v>
      </c>
      <c r="BX460">
        <v>0</v>
      </c>
      <c r="BY460">
        <v>0</v>
      </c>
      <c r="BZ460">
        <v>0</v>
      </c>
      <c r="CA460">
        <v>0</v>
      </c>
      <c r="CB460">
        <v>136.02000000000001</v>
      </c>
      <c r="CF460" s="2"/>
      <c r="CH460" s="2"/>
      <c r="CJ460">
        <v>5.3142020950009402E+17</v>
      </c>
      <c r="CK460" t="s">
        <v>165</v>
      </c>
      <c r="CL460">
        <v>43859.3828587963</v>
      </c>
      <c r="CO460" t="s">
        <v>11</v>
      </c>
      <c r="CP460">
        <v>550.76</v>
      </c>
      <c r="CQ460" t="s">
        <v>11</v>
      </c>
      <c r="CR460">
        <v>550.76</v>
      </c>
      <c r="CV460" t="s">
        <v>190</v>
      </c>
      <c r="CW460" t="s">
        <v>12</v>
      </c>
      <c r="CX460" t="s">
        <v>12</v>
      </c>
      <c r="CY460" t="s">
        <v>12</v>
      </c>
      <c r="DA460" t="s">
        <v>104</v>
      </c>
      <c r="DD460" t="s">
        <v>93</v>
      </c>
      <c r="DQ460" t="s">
        <v>94</v>
      </c>
      <c r="DR460" t="s">
        <v>94</v>
      </c>
      <c r="DS460" t="s">
        <v>94</v>
      </c>
      <c r="DT460" t="s">
        <v>94</v>
      </c>
      <c r="DU460" t="s">
        <v>94</v>
      </c>
      <c r="DV460" t="s">
        <v>94</v>
      </c>
      <c r="DW460" t="s">
        <v>94</v>
      </c>
      <c r="DX460" s="2" t="s">
        <v>94</v>
      </c>
      <c r="DY460" t="s">
        <v>94</v>
      </c>
      <c r="DZ460" t="s">
        <v>94</v>
      </c>
      <c r="EA460" t="s">
        <v>94</v>
      </c>
      <c r="EB460" t="s">
        <v>94</v>
      </c>
      <c r="EC460" t="s">
        <v>94</v>
      </c>
      <c r="ED460" t="s">
        <v>94</v>
      </c>
      <c r="EE460" t="s">
        <v>89</v>
      </c>
      <c r="EF460" t="s">
        <v>425</v>
      </c>
      <c r="EG460" t="s">
        <v>105</v>
      </c>
      <c r="EJ460" t="s">
        <v>166</v>
      </c>
      <c r="EK460" t="b">
        <v>0</v>
      </c>
      <c r="EL460" t="b">
        <v>0</v>
      </c>
      <c r="EM460" t="b">
        <v>0</v>
      </c>
    </row>
    <row r="461" spans="3:143" ht="15">
      <c r="C461" s="82">
        <v>133</v>
      </c>
      <c r="D461" s="5"/>
      <c r="E461" s="4">
        <v>1</v>
      </c>
      <c r="F461" s="5">
        <v>8.1999999999999993</v>
      </c>
      <c r="G461" s="5" t="s">
        <v>6111</v>
      </c>
      <c r="H461" s="4" t="s">
        <v>6112</v>
      </c>
      <c r="I461" s="81" t="s">
        <v>164</v>
      </c>
      <c r="J461" s="21"/>
      <c r="K461" s="22">
        <v>221361744</v>
      </c>
      <c r="L461" s="84" t="s">
        <v>6093</v>
      </c>
      <c r="M461" s="23" t="s">
        <v>447</v>
      </c>
      <c r="N461" s="23">
        <v>43881</v>
      </c>
      <c r="O461" s="24" t="s">
        <v>102</v>
      </c>
      <c r="P461" s="24" t="s">
        <v>181</v>
      </c>
      <c r="Q461" s="24">
        <v>1</v>
      </c>
      <c r="R461" s="24">
        <v>8.1999999999999993</v>
      </c>
      <c r="S461" t="s">
        <v>528</v>
      </c>
      <c r="T461">
        <v>504</v>
      </c>
      <c r="U461" s="2" t="s">
        <v>163</v>
      </c>
      <c r="V461">
        <v>43881.834201388891</v>
      </c>
      <c r="W461" s="2" t="s">
        <v>444</v>
      </c>
      <c r="Y461">
        <v>43883.430694444447</v>
      </c>
      <c r="AC461" t="s">
        <v>9</v>
      </c>
      <c r="AD461" t="s">
        <v>6094</v>
      </c>
      <c r="AE461" t="s">
        <v>209</v>
      </c>
      <c r="AF461">
        <v>380703</v>
      </c>
      <c r="AG461">
        <v>380703</v>
      </c>
      <c r="AH461" t="s">
        <v>183</v>
      </c>
      <c r="AI461" t="s">
        <v>6095</v>
      </c>
      <c r="AJ461" t="s">
        <v>6095</v>
      </c>
      <c r="AK461" t="s">
        <v>3234</v>
      </c>
      <c r="AL461" t="s">
        <v>3235</v>
      </c>
      <c r="AM461" t="s">
        <v>6096</v>
      </c>
      <c r="AP461" t="s">
        <v>6097</v>
      </c>
      <c r="AQ461" t="s">
        <v>6098</v>
      </c>
      <c r="AS461">
        <v>33730</v>
      </c>
      <c r="AT461">
        <v>-358331435000</v>
      </c>
      <c r="AU461" t="s">
        <v>6099</v>
      </c>
      <c r="AV461" t="s">
        <v>10</v>
      </c>
      <c r="AW461" t="s">
        <v>6100</v>
      </c>
      <c r="AX461" t="s">
        <v>6100</v>
      </c>
      <c r="AY461" s="2" t="s">
        <v>6101</v>
      </c>
      <c r="AZ461" t="s">
        <v>6102</v>
      </c>
      <c r="BA461" t="s">
        <v>6103</v>
      </c>
      <c r="BB461" t="s">
        <v>6104</v>
      </c>
      <c r="BC461" t="s">
        <v>6105</v>
      </c>
      <c r="BD461" t="s">
        <v>253</v>
      </c>
      <c r="BE461">
        <v>543100</v>
      </c>
      <c r="BF461">
        <v>-18977456847</v>
      </c>
      <c r="BG461" t="s">
        <v>6106</v>
      </c>
      <c r="BH461" s="6" t="b">
        <v>0</v>
      </c>
      <c r="BI461" t="s">
        <v>6107</v>
      </c>
      <c r="BJ461" t="s">
        <v>6108</v>
      </c>
      <c r="BK461">
        <v>4453163191</v>
      </c>
      <c r="BL461" t="s">
        <v>162</v>
      </c>
      <c r="BM461" s="2" t="s">
        <v>161</v>
      </c>
      <c r="BP461" t="s">
        <v>89</v>
      </c>
      <c r="BQ461">
        <v>9032899090</v>
      </c>
      <c r="BS461" t="s">
        <v>180</v>
      </c>
      <c r="BT461" t="s">
        <v>103</v>
      </c>
      <c r="BV461">
        <v>270.3</v>
      </c>
      <c r="BW461">
        <v>537.12</v>
      </c>
      <c r="BX461">
        <v>0</v>
      </c>
      <c r="BY461">
        <v>0</v>
      </c>
      <c r="BZ461">
        <v>0</v>
      </c>
      <c r="CA461">
        <v>0</v>
      </c>
      <c r="CB461">
        <v>807.42</v>
      </c>
      <c r="CF461" s="2"/>
      <c r="CH461" s="2"/>
      <c r="CJ461">
        <v>5.3142020950024102E+17</v>
      </c>
      <c r="CK461" t="s">
        <v>1509</v>
      </c>
      <c r="CL461">
        <v>43881.441874999997</v>
      </c>
      <c r="CO461" t="s">
        <v>11</v>
      </c>
      <c r="CP461">
        <v>3861.4</v>
      </c>
      <c r="CQ461" t="s">
        <v>11</v>
      </c>
      <c r="CR461">
        <v>3861.4</v>
      </c>
      <c r="CV461" t="s">
        <v>190</v>
      </c>
      <c r="CW461" t="s">
        <v>12</v>
      </c>
      <c r="CX461" t="s">
        <v>12</v>
      </c>
      <c r="CY461" t="s">
        <v>12</v>
      </c>
      <c r="DA461" t="s">
        <v>104</v>
      </c>
      <c r="DD461" t="s">
        <v>93</v>
      </c>
      <c r="DQ461" t="s">
        <v>94</v>
      </c>
      <c r="DR461" t="s">
        <v>94</v>
      </c>
      <c r="DS461" t="s">
        <v>94</v>
      </c>
      <c r="DT461" t="s">
        <v>94</v>
      </c>
      <c r="DU461" t="s">
        <v>94</v>
      </c>
      <c r="DV461" t="s">
        <v>94</v>
      </c>
      <c r="DW461" t="s">
        <v>94</v>
      </c>
      <c r="DX461" s="2" t="s">
        <v>94</v>
      </c>
      <c r="DY461" t="s">
        <v>94</v>
      </c>
      <c r="DZ461" t="s">
        <v>94</v>
      </c>
      <c r="EA461" t="s">
        <v>94</v>
      </c>
      <c r="EB461" t="s">
        <v>94</v>
      </c>
      <c r="EC461" t="s">
        <v>94</v>
      </c>
      <c r="ED461" t="s">
        <v>94</v>
      </c>
      <c r="EE461" t="s">
        <v>89</v>
      </c>
      <c r="EF461" t="s">
        <v>425</v>
      </c>
      <c r="EG461" t="s">
        <v>105</v>
      </c>
      <c r="EJ461" t="s">
        <v>166</v>
      </c>
      <c r="EK461" t="b">
        <v>0</v>
      </c>
      <c r="EL461" t="b">
        <v>0</v>
      </c>
      <c r="EM461" t="b">
        <v>0</v>
      </c>
    </row>
    <row r="462" spans="3:143" ht="15">
      <c r="C462" s="82">
        <v>23</v>
      </c>
      <c r="D462" s="5"/>
      <c r="E462" s="4">
        <v>1</v>
      </c>
      <c r="F462" s="5">
        <v>6.3</v>
      </c>
      <c r="G462" s="5" t="s">
        <v>6138</v>
      </c>
      <c r="H462" s="4" t="s">
        <v>1651</v>
      </c>
      <c r="I462" s="81" t="s">
        <v>817</v>
      </c>
      <c r="J462" s="21"/>
      <c r="K462" s="22">
        <v>221318775</v>
      </c>
      <c r="L462" s="84" t="s">
        <v>6137</v>
      </c>
      <c r="M462" s="23" t="s">
        <v>817</v>
      </c>
      <c r="N462" s="23">
        <v>43886</v>
      </c>
      <c r="O462" s="24" t="s">
        <v>102</v>
      </c>
      <c r="P462" s="24" t="s">
        <v>181</v>
      </c>
      <c r="Q462" s="24">
        <v>1</v>
      </c>
      <c r="R462" s="24">
        <v>6.3</v>
      </c>
      <c r="S462" t="s">
        <v>11</v>
      </c>
      <c r="T462">
        <v>410</v>
      </c>
      <c r="U462" s="2" t="s">
        <v>163</v>
      </c>
      <c r="V462">
        <v>43886.443090277775</v>
      </c>
      <c r="W462" s="2" t="s">
        <v>444</v>
      </c>
      <c r="X462">
        <v>43886.453912037039</v>
      </c>
      <c r="AB462" t="s">
        <v>9</v>
      </c>
      <c r="AC462" t="s">
        <v>1230</v>
      </c>
      <c r="AD462" t="s">
        <v>200</v>
      </c>
      <c r="AE462">
        <v>71619</v>
      </c>
      <c r="AF462">
        <v>71619</v>
      </c>
      <c r="AG462" t="s">
        <v>183</v>
      </c>
      <c r="AH462" t="s">
        <v>6125</v>
      </c>
      <c r="AI462" t="s">
        <v>6125</v>
      </c>
      <c r="AJ462" t="s">
        <v>1232</v>
      </c>
      <c r="AK462" t="s">
        <v>1233</v>
      </c>
      <c r="AL462" t="s">
        <v>6126</v>
      </c>
      <c r="AM462" t="s">
        <v>6127</v>
      </c>
      <c r="AO462" t="s">
        <v>1236</v>
      </c>
      <c r="AP462" t="s">
        <v>1233</v>
      </c>
      <c r="AR462">
        <v>569880</v>
      </c>
      <c r="AS462">
        <v>6567460066</v>
      </c>
      <c r="AT462" t="s">
        <v>6128</v>
      </c>
      <c r="AU462" t="s">
        <v>10</v>
      </c>
      <c r="AV462" t="s">
        <v>6129</v>
      </c>
      <c r="AW462" t="s">
        <v>6130</v>
      </c>
      <c r="AX462" t="s">
        <v>6131</v>
      </c>
      <c r="AY462" s="2" t="s">
        <v>6132</v>
      </c>
      <c r="AZ462" t="s">
        <v>6133</v>
      </c>
      <c r="BA462" t="s">
        <v>559</v>
      </c>
      <c r="BB462" t="s">
        <v>560</v>
      </c>
      <c r="BC462" t="s">
        <v>188</v>
      </c>
      <c r="BD462">
        <v>528200</v>
      </c>
      <c r="BE462">
        <v>8613798610787</v>
      </c>
      <c r="BF462" t="s">
        <v>6134</v>
      </c>
      <c r="BG462" t="b">
        <v>0</v>
      </c>
      <c r="BH462" s="6" t="s">
        <v>6135</v>
      </c>
      <c r="BI462" t="s">
        <v>6136</v>
      </c>
      <c r="BJ462">
        <v>4453163191</v>
      </c>
      <c r="BK462" t="s">
        <v>162</v>
      </c>
      <c r="BL462" t="s">
        <v>161</v>
      </c>
      <c r="BM462" s="2"/>
      <c r="BO462" t="s">
        <v>89</v>
      </c>
      <c r="BP462">
        <v>8443999090</v>
      </c>
      <c r="BR462" t="s">
        <v>180</v>
      </c>
      <c r="BS462" t="s">
        <v>103</v>
      </c>
      <c r="BU462">
        <v>0</v>
      </c>
      <c r="BV462">
        <v>53.3</v>
      </c>
      <c r="BW462">
        <v>0</v>
      </c>
      <c r="BX462">
        <v>0</v>
      </c>
      <c r="BY462">
        <v>0</v>
      </c>
      <c r="BZ462">
        <v>0</v>
      </c>
      <c r="CA462">
        <v>53.3</v>
      </c>
      <c r="CF462" s="2"/>
      <c r="CH462" s="2"/>
      <c r="CJ462">
        <v>5.3142020950029901E+17</v>
      </c>
      <c r="CK462" t="s">
        <v>1509</v>
      </c>
      <c r="CL462">
        <v>43882.377349537041</v>
      </c>
      <c r="CO462" t="s">
        <v>11</v>
      </c>
      <c r="CP462">
        <v>410</v>
      </c>
      <c r="CQ462" t="s">
        <v>11</v>
      </c>
      <c r="CR462">
        <v>410</v>
      </c>
      <c r="CV462" t="s">
        <v>190</v>
      </c>
      <c r="CW462" t="s">
        <v>12</v>
      </c>
      <c r="CX462" t="s">
        <v>12</v>
      </c>
      <c r="CY462" t="s">
        <v>12</v>
      </c>
      <c r="DA462" t="s">
        <v>104</v>
      </c>
      <c r="DD462" t="s">
        <v>93</v>
      </c>
      <c r="DQ462" t="s">
        <v>94</v>
      </c>
      <c r="DR462" t="s">
        <v>94</v>
      </c>
      <c r="DS462" t="s">
        <v>94</v>
      </c>
      <c r="DT462" t="s">
        <v>94</v>
      </c>
      <c r="DU462" t="s">
        <v>94</v>
      </c>
      <c r="DV462" t="s">
        <v>94</v>
      </c>
      <c r="DW462" t="s">
        <v>94</v>
      </c>
      <c r="DX462" s="2" t="s">
        <v>94</v>
      </c>
      <c r="DY462" t="s">
        <v>94</v>
      </c>
      <c r="DZ462" t="s">
        <v>94</v>
      </c>
      <c r="EA462" t="s">
        <v>94</v>
      </c>
      <c r="EB462" t="s">
        <v>94</v>
      </c>
      <c r="EC462" t="s">
        <v>94</v>
      </c>
      <c r="ED462" t="s">
        <v>94</v>
      </c>
      <c r="EE462" t="s">
        <v>89</v>
      </c>
      <c r="EF462" t="s">
        <v>425</v>
      </c>
      <c r="EG462" t="s">
        <v>105</v>
      </c>
      <c r="EJ462" t="s">
        <v>526</v>
      </c>
      <c r="EK462" t="b">
        <v>0</v>
      </c>
      <c r="EL462" t="b">
        <v>0</v>
      </c>
      <c r="EM462" t="b">
        <v>0</v>
      </c>
    </row>
    <row r="463" spans="3:143" ht="15">
      <c r="C463" s="82">
        <v>23</v>
      </c>
      <c r="D463" s="5">
        <v>44</v>
      </c>
      <c r="E463" s="4">
        <v>2</v>
      </c>
      <c r="F463" s="5">
        <v>44</v>
      </c>
      <c r="G463" s="5" t="s">
        <v>6139</v>
      </c>
      <c r="H463" s="4" t="s">
        <v>6140</v>
      </c>
      <c r="I463" s="81" t="s">
        <v>466</v>
      </c>
      <c r="J463" s="21"/>
      <c r="K463" s="22">
        <v>116934825</v>
      </c>
      <c r="L463" s="84" t="s">
        <v>6113</v>
      </c>
      <c r="M463" s="23" t="s">
        <v>409</v>
      </c>
      <c r="N463" s="23">
        <v>43846</v>
      </c>
      <c r="O463" s="24" t="s">
        <v>102</v>
      </c>
      <c r="P463" s="24" t="s">
        <v>480</v>
      </c>
      <c r="Q463" s="24">
        <v>2</v>
      </c>
      <c r="R463" s="24">
        <v>110</v>
      </c>
      <c r="S463" t="s">
        <v>319</v>
      </c>
      <c r="T463">
        <v>2606.9</v>
      </c>
      <c r="U463" s="2"/>
      <c r="W463" s="2"/>
      <c r="AB463" t="s">
        <v>9</v>
      </c>
      <c r="AC463" t="s">
        <v>2246</v>
      </c>
      <c r="AD463" t="s">
        <v>191</v>
      </c>
      <c r="AE463">
        <v>2019719</v>
      </c>
      <c r="AF463">
        <v>2019719</v>
      </c>
      <c r="AG463" t="s">
        <v>183</v>
      </c>
      <c r="AH463" t="s">
        <v>6114</v>
      </c>
      <c r="AI463" t="s">
        <v>6114</v>
      </c>
      <c r="AJ463" t="s">
        <v>795</v>
      </c>
      <c r="AK463" t="s">
        <v>796</v>
      </c>
      <c r="AL463" t="s">
        <v>6115</v>
      </c>
      <c r="AM463" t="s">
        <v>6116</v>
      </c>
      <c r="AO463" t="s">
        <v>6117</v>
      </c>
      <c r="AP463" t="s">
        <v>2250</v>
      </c>
      <c r="AQ463" t="s">
        <v>2251</v>
      </c>
      <c r="AR463">
        <v>3203</v>
      </c>
      <c r="AS463">
        <v>965683405</v>
      </c>
      <c r="AT463" t="s">
        <v>6118</v>
      </c>
      <c r="AU463" t="s">
        <v>10</v>
      </c>
      <c r="AV463" t="s">
        <v>6119</v>
      </c>
      <c r="AW463" t="s">
        <v>6119</v>
      </c>
      <c r="AX463" t="s">
        <v>6120</v>
      </c>
      <c r="AY463" s="2" t="s">
        <v>6121</v>
      </c>
      <c r="AZ463" t="s">
        <v>6122</v>
      </c>
      <c r="BA463" t="s">
        <v>371</v>
      </c>
      <c r="BB463" t="s">
        <v>192</v>
      </c>
      <c r="BC463" t="s">
        <v>188</v>
      </c>
      <c r="BD463">
        <v>523960</v>
      </c>
      <c r="BE463">
        <v>18207415896</v>
      </c>
      <c r="BG463" t="b">
        <v>0</v>
      </c>
      <c r="BH463" s="6" t="s">
        <v>6123</v>
      </c>
      <c r="BI463" t="s">
        <v>6124</v>
      </c>
      <c r="BJ463">
        <v>4453163191</v>
      </c>
      <c r="BK463" t="s">
        <v>162</v>
      </c>
      <c r="BL463" t="s">
        <v>161</v>
      </c>
      <c r="BM463" s="2"/>
      <c r="BR463" t="s">
        <v>189</v>
      </c>
      <c r="BS463" t="s">
        <v>103</v>
      </c>
      <c r="BU463">
        <v>0</v>
      </c>
      <c r="BV463">
        <v>0</v>
      </c>
      <c r="BW463">
        <v>0</v>
      </c>
      <c r="BX463">
        <v>0</v>
      </c>
      <c r="BY463">
        <v>0</v>
      </c>
      <c r="BZ463">
        <v>0</v>
      </c>
      <c r="CA463">
        <v>0</v>
      </c>
      <c r="CF463" s="2"/>
      <c r="CH463" s="2"/>
      <c r="CK463" t="s">
        <v>165</v>
      </c>
      <c r="CL463">
        <v>43846.55704861111</v>
      </c>
      <c r="CO463" t="s">
        <v>11</v>
      </c>
      <c r="CP463">
        <v>17947.2</v>
      </c>
      <c r="CQ463" t="s">
        <v>11</v>
      </c>
      <c r="CR463">
        <v>17947.2</v>
      </c>
      <c r="CV463" t="s">
        <v>190</v>
      </c>
      <c r="CW463" t="s">
        <v>12</v>
      </c>
      <c r="CX463" t="s">
        <v>12</v>
      </c>
      <c r="CY463" t="s">
        <v>12</v>
      </c>
      <c r="DA463" t="s">
        <v>104</v>
      </c>
      <c r="DD463" t="s">
        <v>93</v>
      </c>
      <c r="DQ463" t="s">
        <v>94</v>
      </c>
      <c r="DR463" t="s">
        <v>94</v>
      </c>
      <c r="DS463" t="s">
        <v>94</v>
      </c>
      <c r="DT463" t="s">
        <v>94</v>
      </c>
      <c r="DU463" t="s">
        <v>94</v>
      </c>
      <c r="DV463" t="s">
        <v>94</v>
      </c>
      <c r="DW463" t="s">
        <v>94</v>
      </c>
      <c r="DX463" s="2" t="s">
        <v>94</v>
      </c>
      <c r="DY463" t="s">
        <v>94</v>
      </c>
      <c r="DZ463" t="s">
        <v>94</v>
      </c>
      <c r="EA463" t="s">
        <v>94</v>
      </c>
      <c r="EB463" t="s">
        <v>94</v>
      </c>
      <c r="EC463" t="s">
        <v>94</v>
      </c>
      <c r="ED463" t="s">
        <v>94</v>
      </c>
      <c r="EE463" t="s">
        <v>89</v>
      </c>
      <c r="EF463" t="s">
        <v>94</v>
      </c>
      <c r="EG463" t="s">
        <v>543</v>
      </c>
      <c r="EJ463" t="s">
        <v>166</v>
      </c>
      <c r="EK463" t="b">
        <v>0</v>
      </c>
      <c r="EL463" t="b">
        <v>0</v>
      </c>
      <c r="EM463" t="b">
        <v>0</v>
      </c>
    </row>
    <row r="464" spans="3:143" ht="15">
      <c r="C464" s="82">
        <v>13</v>
      </c>
      <c r="D464" s="5"/>
      <c r="E464" s="4">
        <v>1</v>
      </c>
      <c r="F464" s="5">
        <v>4.0999999999999996</v>
      </c>
      <c r="G464" s="5" t="s">
        <v>6187</v>
      </c>
      <c r="H464" s="4" t="s">
        <v>6188</v>
      </c>
      <c r="I464" s="81" t="s">
        <v>920</v>
      </c>
      <c r="J464" s="21"/>
      <c r="K464" s="22">
        <v>153455094</v>
      </c>
      <c r="L464" s="84" t="s">
        <v>6141</v>
      </c>
      <c r="M464" s="23" t="s">
        <v>905</v>
      </c>
      <c r="N464" s="23">
        <v>43887</v>
      </c>
      <c r="O464" s="24" t="s">
        <v>102</v>
      </c>
      <c r="P464" s="24" t="s">
        <v>181</v>
      </c>
      <c r="Q464" s="24">
        <v>1</v>
      </c>
      <c r="R464" s="24">
        <v>4.0999999999999996</v>
      </c>
      <c r="S464" t="s">
        <v>319</v>
      </c>
      <c r="T464">
        <v>102.9</v>
      </c>
      <c r="U464" s="2" t="s">
        <v>163</v>
      </c>
      <c r="V464">
        <v>43887.802719907406</v>
      </c>
      <c r="W464" s="2" t="s">
        <v>444</v>
      </c>
      <c r="X464">
        <v>43887.802986111114</v>
      </c>
      <c r="AB464" t="s">
        <v>9</v>
      </c>
      <c r="AC464" t="s">
        <v>6142</v>
      </c>
      <c r="AD464" t="s">
        <v>191</v>
      </c>
      <c r="AE464">
        <v>24853</v>
      </c>
      <c r="AF464">
        <v>24853</v>
      </c>
      <c r="AG464" t="s">
        <v>183</v>
      </c>
      <c r="AH464" t="s">
        <v>6143</v>
      </c>
      <c r="AI464" t="s">
        <v>6143</v>
      </c>
      <c r="AJ464" t="s">
        <v>3000</v>
      </c>
      <c r="AK464" t="s">
        <v>3001</v>
      </c>
      <c r="AL464" t="s">
        <v>6144</v>
      </c>
      <c r="AM464" t="s">
        <v>6145</v>
      </c>
      <c r="AN464" t="s">
        <v>6146</v>
      </c>
      <c r="AO464" t="s">
        <v>6145</v>
      </c>
      <c r="AP464" t="s">
        <v>6147</v>
      </c>
      <c r="AQ464" t="s">
        <v>6148</v>
      </c>
      <c r="AR464" t="s">
        <v>6149</v>
      </c>
      <c r="AS464">
        <v>890676</v>
      </c>
      <c r="AT464" t="s">
        <v>6150</v>
      </c>
      <c r="AU464" t="s">
        <v>10</v>
      </c>
      <c r="AV464" t="s">
        <v>6151</v>
      </c>
      <c r="AW464" t="s">
        <v>6151</v>
      </c>
      <c r="AX464" t="s">
        <v>6152</v>
      </c>
      <c r="AY464" s="2" t="s">
        <v>6153</v>
      </c>
      <c r="AZ464" t="s">
        <v>6154</v>
      </c>
      <c r="BA464" t="s">
        <v>371</v>
      </c>
      <c r="BB464" t="s">
        <v>192</v>
      </c>
      <c r="BC464" t="s">
        <v>188</v>
      </c>
      <c r="BD464">
        <v>523071</v>
      </c>
      <c r="BE464">
        <v>-8676923127018</v>
      </c>
      <c r="BF464" t="s">
        <v>6155</v>
      </c>
      <c r="BG464" t="b">
        <v>0</v>
      </c>
      <c r="BH464" s="6" t="s">
        <v>6156</v>
      </c>
      <c r="BI464" t="s">
        <v>6157</v>
      </c>
      <c r="BJ464">
        <v>4453163191</v>
      </c>
      <c r="BK464" t="s">
        <v>162</v>
      </c>
      <c r="BL464" t="s">
        <v>161</v>
      </c>
      <c r="BM464" s="2"/>
      <c r="BO464" t="s">
        <v>89</v>
      </c>
      <c r="BP464">
        <v>4101201190</v>
      </c>
      <c r="BR464" t="s">
        <v>180</v>
      </c>
      <c r="BS464" t="s">
        <v>103</v>
      </c>
      <c r="BU464">
        <v>0</v>
      </c>
      <c r="BV464">
        <v>0</v>
      </c>
      <c r="BW464">
        <v>0</v>
      </c>
      <c r="BX464">
        <v>0</v>
      </c>
      <c r="BY464">
        <v>0</v>
      </c>
      <c r="BZ464">
        <v>0</v>
      </c>
      <c r="CA464">
        <v>0</v>
      </c>
      <c r="CF464" s="2"/>
      <c r="CH464" s="2"/>
      <c r="CJ464">
        <v>5.3142020950032102E+17</v>
      </c>
      <c r="CK464" t="s">
        <v>1509</v>
      </c>
      <c r="CL464">
        <v>43887.557372685187</v>
      </c>
      <c r="CO464" t="s">
        <v>11</v>
      </c>
      <c r="CP464">
        <v>708.42</v>
      </c>
      <c r="CQ464" t="s">
        <v>11</v>
      </c>
      <c r="CR464">
        <v>708.42</v>
      </c>
      <c r="CV464" t="s">
        <v>190</v>
      </c>
      <c r="CW464" t="s">
        <v>12</v>
      </c>
      <c r="CX464" t="s">
        <v>12</v>
      </c>
      <c r="CY464" t="s">
        <v>12</v>
      </c>
      <c r="DA464" t="s">
        <v>104</v>
      </c>
      <c r="DD464" t="s">
        <v>93</v>
      </c>
      <c r="DQ464" t="s">
        <v>94</v>
      </c>
      <c r="DR464" t="s">
        <v>94</v>
      </c>
      <c r="DS464" t="s">
        <v>94</v>
      </c>
      <c r="DT464" t="s">
        <v>94</v>
      </c>
      <c r="DU464" t="s">
        <v>94</v>
      </c>
      <c r="DV464" t="s">
        <v>94</v>
      </c>
      <c r="DW464" t="s">
        <v>94</v>
      </c>
      <c r="DX464" s="2" t="s">
        <v>94</v>
      </c>
      <c r="DY464" t="s">
        <v>94</v>
      </c>
      <c r="DZ464" t="s">
        <v>94</v>
      </c>
      <c r="EA464" t="s">
        <v>94</v>
      </c>
      <c r="EB464" t="s">
        <v>94</v>
      </c>
      <c r="EC464" t="s">
        <v>94</v>
      </c>
      <c r="ED464" t="s">
        <v>94</v>
      </c>
      <c r="EE464" t="s">
        <v>89</v>
      </c>
      <c r="EF464" t="s">
        <v>425</v>
      </c>
      <c r="EG464" t="s">
        <v>105</v>
      </c>
      <c r="EJ464" t="s">
        <v>166</v>
      </c>
      <c r="EK464" t="b">
        <v>0</v>
      </c>
      <c r="EL464" t="b">
        <v>0</v>
      </c>
      <c r="EM464" t="b">
        <v>0</v>
      </c>
    </row>
    <row r="465" spans="3:143" ht="15">
      <c r="C465" s="82">
        <v>23</v>
      </c>
      <c r="D465" s="5"/>
      <c r="E465" s="4">
        <v>1</v>
      </c>
      <c r="F465" s="5">
        <v>0.5</v>
      </c>
      <c r="G465" s="5" t="s">
        <v>6189</v>
      </c>
      <c r="H465" s="4" t="s">
        <v>5103</v>
      </c>
      <c r="I465" s="81" t="s">
        <v>817</v>
      </c>
      <c r="J465" s="21"/>
      <c r="K465" s="22">
        <v>153992098</v>
      </c>
      <c r="L465" s="84" t="s">
        <v>6158</v>
      </c>
      <c r="M465" s="23" t="s">
        <v>6159</v>
      </c>
      <c r="N465" s="23">
        <v>43889</v>
      </c>
      <c r="O465" s="24" t="s">
        <v>102</v>
      </c>
      <c r="P465" s="24" t="s">
        <v>179</v>
      </c>
      <c r="Q465" s="24">
        <v>1</v>
      </c>
      <c r="R465" s="24">
        <v>0.5</v>
      </c>
      <c r="S465" t="s">
        <v>528</v>
      </c>
      <c r="T465">
        <v>18</v>
      </c>
      <c r="U465" s="2" t="s">
        <v>163</v>
      </c>
      <c r="V465">
        <v>43889.816481481481</v>
      </c>
      <c r="W465" s="2" t="s">
        <v>444</v>
      </c>
      <c r="X465">
        <v>43891.518449074072</v>
      </c>
      <c r="AB465" t="s">
        <v>9</v>
      </c>
      <c r="AC465" t="s">
        <v>1552</v>
      </c>
      <c r="AD465" t="s">
        <v>191</v>
      </c>
      <c r="AE465">
        <v>73005111</v>
      </c>
      <c r="AF465">
        <v>73005111</v>
      </c>
      <c r="AG465" t="s">
        <v>183</v>
      </c>
      <c r="AH465" t="s">
        <v>6160</v>
      </c>
      <c r="AI465" t="s">
        <v>6160</v>
      </c>
      <c r="AJ465" t="s">
        <v>776</v>
      </c>
      <c r="AK465" t="s">
        <v>777</v>
      </c>
      <c r="AL465" t="s">
        <v>6161</v>
      </c>
      <c r="AO465" t="s">
        <v>6162</v>
      </c>
      <c r="AP465" t="s">
        <v>1556</v>
      </c>
      <c r="AQ465" t="s">
        <v>1386</v>
      </c>
      <c r="AR465">
        <v>72768</v>
      </c>
      <c r="AS465">
        <v>7121966073</v>
      </c>
      <c r="AT465" t="s">
        <v>6163</v>
      </c>
      <c r="AU465" t="s">
        <v>10</v>
      </c>
      <c r="AV465" t="s">
        <v>6164</v>
      </c>
      <c r="AW465" t="s">
        <v>6164</v>
      </c>
      <c r="AX465" t="s">
        <v>6165</v>
      </c>
      <c r="AY465" s="2" t="s">
        <v>6166</v>
      </c>
      <c r="AZ465" t="s">
        <v>6167</v>
      </c>
      <c r="BA465" t="s">
        <v>726</v>
      </c>
      <c r="BB465" t="s">
        <v>192</v>
      </c>
      <c r="BC465" t="s">
        <v>188</v>
      </c>
      <c r="BD465">
        <v>523119</v>
      </c>
      <c r="BE465">
        <v>-8676989198992</v>
      </c>
      <c r="BF465" t="s">
        <v>6168</v>
      </c>
      <c r="BG465" t="b">
        <v>0</v>
      </c>
      <c r="BH465" s="6"/>
      <c r="BI465" t="s">
        <v>6169</v>
      </c>
      <c r="BJ465">
        <v>4453163191</v>
      </c>
      <c r="BK465" t="s">
        <v>162</v>
      </c>
      <c r="BL465" t="s">
        <v>161</v>
      </c>
      <c r="BM465" s="2"/>
      <c r="BO465" t="s">
        <v>89</v>
      </c>
      <c r="BP465">
        <v>9603290090</v>
      </c>
      <c r="BR465" t="s">
        <v>189</v>
      </c>
      <c r="BS465" t="s">
        <v>103</v>
      </c>
      <c r="BU465">
        <v>0</v>
      </c>
      <c r="BV465">
        <v>0</v>
      </c>
      <c r="BW465">
        <v>0</v>
      </c>
      <c r="BX465">
        <v>0</v>
      </c>
      <c r="BY465">
        <v>0</v>
      </c>
      <c r="BZ465">
        <v>0</v>
      </c>
      <c r="CA465">
        <v>0</v>
      </c>
      <c r="CF465" s="2"/>
      <c r="CH465" s="2"/>
      <c r="CJ465">
        <v>5.31420209500352E+17</v>
      </c>
      <c r="CK465" t="s">
        <v>1509</v>
      </c>
      <c r="CL465">
        <v>43889.376655092594</v>
      </c>
      <c r="CO465" t="s">
        <v>11</v>
      </c>
      <c r="CP465">
        <v>137.91</v>
      </c>
      <c r="CQ465" t="s">
        <v>11</v>
      </c>
      <c r="CR465">
        <v>137.91</v>
      </c>
      <c r="CV465" t="s">
        <v>190</v>
      </c>
      <c r="CW465" t="s">
        <v>12</v>
      </c>
      <c r="CX465" t="s">
        <v>12</v>
      </c>
      <c r="CY465" t="s">
        <v>12</v>
      </c>
      <c r="DA465" t="s">
        <v>104</v>
      </c>
      <c r="DD465" t="s">
        <v>93</v>
      </c>
      <c r="DQ465" t="s">
        <v>94</v>
      </c>
      <c r="DR465" t="s">
        <v>94</v>
      </c>
      <c r="DS465" t="s">
        <v>94</v>
      </c>
      <c r="DT465" t="s">
        <v>94</v>
      </c>
      <c r="DU465" t="s">
        <v>94</v>
      </c>
      <c r="DV465" t="s">
        <v>94</v>
      </c>
      <c r="DW465" t="s">
        <v>94</v>
      </c>
      <c r="DX465" s="2" t="s">
        <v>94</v>
      </c>
      <c r="DY465" t="s">
        <v>94</v>
      </c>
      <c r="DZ465" t="s">
        <v>94</v>
      </c>
      <c r="EA465" t="s">
        <v>94</v>
      </c>
      <c r="EB465" t="s">
        <v>94</v>
      </c>
      <c r="EC465" t="s">
        <v>94</v>
      </c>
      <c r="ED465" t="s">
        <v>94</v>
      </c>
      <c r="EE465" t="s">
        <v>89</v>
      </c>
      <c r="EF465" t="s">
        <v>425</v>
      </c>
      <c r="EG465" t="s">
        <v>105</v>
      </c>
      <c r="EJ465" t="s">
        <v>166</v>
      </c>
      <c r="EK465" t="b">
        <v>0</v>
      </c>
      <c r="EL465" t="b">
        <v>0</v>
      </c>
      <c r="EM465" t="b">
        <v>0</v>
      </c>
    </row>
    <row r="466" spans="3:143">
      <c r="C466" s="4">
        <v>23</v>
      </c>
      <c r="D466" s="4"/>
      <c r="E466" s="4">
        <v>1</v>
      </c>
      <c r="F466" s="4">
        <v>0.7</v>
      </c>
      <c r="G466" s="5" t="s">
        <v>6189</v>
      </c>
      <c r="H466" s="4" t="s">
        <v>6190</v>
      </c>
      <c r="I466" s="4" t="s">
        <v>817</v>
      </c>
      <c r="J466" s="5"/>
      <c r="K466" s="22">
        <v>156529919</v>
      </c>
      <c r="L466" s="84" t="s">
        <v>6158</v>
      </c>
      <c r="M466" s="23" t="s">
        <v>6159</v>
      </c>
      <c r="N466" s="23">
        <v>43889</v>
      </c>
      <c r="O466" s="24" t="s">
        <v>102</v>
      </c>
      <c r="P466" s="24" t="s">
        <v>179</v>
      </c>
      <c r="Q466" s="24">
        <v>1</v>
      </c>
      <c r="R466" s="24">
        <v>0.7</v>
      </c>
      <c r="S466" t="s">
        <v>319</v>
      </c>
      <c r="T466">
        <v>41</v>
      </c>
      <c r="U466" s="2" t="s">
        <v>163</v>
      </c>
      <c r="V466">
        <v>43889.816157407404</v>
      </c>
      <c r="W466" s="2" t="s">
        <v>444</v>
      </c>
      <c r="X466">
        <v>43891.518449074072</v>
      </c>
      <c r="AB466" t="s">
        <v>9</v>
      </c>
      <c r="AC466" t="s">
        <v>2131</v>
      </c>
      <c r="AD466" t="s">
        <v>182</v>
      </c>
      <c r="AE466">
        <v>34515</v>
      </c>
      <c r="AF466">
        <v>34515</v>
      </c>
      <c r="AG466" t="s">
        <v>183</v>
      </c>
      <c r="AH466" t="s">
        <v>4078</v>
      </c>
      <c r="AI466" t="s">
        <v>4078</v>
      </c>
      <c r="AJ466" t="s">
        <v>1257</v>
      </c>
      <c r="AK466" t="s">
        <v>1258</v>
      </c>
      <c r="AL466" t="s">
        <v>4079</v>
      </c>
      <c r="AM466" t="s">
        <v>4080</v>
      </c>
      <c r="AO466" t="s">
        <v>4081</v>
      </c>
      <c r="AP466" t="s">
        <v>2135</v>
      </c>
      <c r="AR466">
        <v>4700</v>
      </c>
      <c r="AS466">
        <v>55777590</v>
      </c>
      <c r="AT466" t="s">
        <v>4082</v>
      </c>
      <c r="AU466" t="s">
        <v>10</v>
      </c>
      <c r="AV466" t="s">
        <v>6170</v>
      </c>
      <c r="AW466" t="s">
        <v>6170</v>
      </c>
      <c r="AX466" t="s">
        <v>6171</v>
      </c>
      <c r="AY466" t="s">
        <v>6172</v>
      </c>
      <c r="BA466" t="s">
        <v>186</v>
      </c>
      <c r="BB466" t="s">
        <v>187</v>
      </c>
      <c r="BC466" t="s">
        <v>188</v>
      </c>
      <c r="BD466">
        <v>518110</v>
      </c>
      <c r="BE466">
        <v>-8618820981681</v>
      </c>
      <c r="BF466" t="s">
        <v>6173</v>
      </c>
      <c r="BG466" t="b">
        <v>0</v>
      </c>
      <c r="BH466" s="6" t="s">
        <v>6174</v>
      </c>
      <c r="BI466" t="s">
        <v>6175</v>
      </c>
      <c r="BJ466">
        <v>4453163191</v>
      </c>
      <c r="BK466" t="s">
        <v>162</v>
      </c>
      <c r="BL466" t="s">
        <v>161</v>
      </c>
      <c r="BM466" s="2"/>
      <c r="BO466" t="s">
        <v>89</v>
      </c>
      <c r="BP466">
        <v>85312000</v>
      </c>
      <c r="BR466" t="s">
        <v>180</v>
      </c>
      <c r="BS466" t="s">
        <v>103</v>
      </c>
      <c r="BU466">
        <v>0</v>
      </c>
      <c r="BV466">
        <v>0</v>
      </c>
      <c r="BW466">
        <v>0</v>
      </c>
      <c r="BX466">
        <v>0</v>
      </c>
      <c r="BY466">
        <v>0</v>
      </c>
      <c r="BZ466">
        <v>0</v>
      </c>
      <c r="CA466">
        <v>0</v>
      </c>
      <c r="CF466" s="2"/>
      <c r="CH466" s="2"/>
      <c r="CJ466">
        <v>5.31420209500352E+17</v>
      </c>
      <c r="CK466" t="s">
        <v>1509</v>
      </c>
      <c r="CL466">
        <v>43889.37835648148</v>
      </c>
      <c r="CO466" t="s">
        <v>11</v>
      </c>
      <c r="CP466">
        <v>282.26</v>
      </c>
      <c r="CQ466" t="s">
        <v>11</v>
      </c>
      <c r="CR466">
        <v>282.26</v>
      </c>
      <c r="CV466" t="s">
        <v>190</v>
      </c>
      <c r="CW466" t="s">
        <v>12</v>
      </c>
      <c r="CX466" t="s">
        <v>12</v>
      </c>
      <c r="CY466" t="s">
        <v>12</v>
      </c>
      <c r="DA466" t="s">
        <v>104</v>
      </c>
      <c r="DD466" t="s">
        <v>93</v>
      </c>
      <c r="DQ466" t="s">
        <v>94</v>
      </c>
      <c r="DR466" t="s">
        <v>94</v>
      </c>
      <c r="DS466" t="s">
        <v>94</v>
      </c>
      <c r="DT466" t="s">
        <v>94</v>
      </c>
      <c r="DU466" t="s">
        <v>94</v>
      </c>
      <c r="DV466" t="s">
        <v>94</v>
      </c>
      <c r="DW466" t="s">
        <v>94</v>
      </c>
      <c r="DX466" s="2" t="s">
        <v>94</v>
      </c>
      <c r="DY466" t="s">
        <v>94</v>
      </c>
      <c r="DZ466" t="s">
        <v>94</v>
      </c>
      <c r="EA466" t="s">
        <v>94</v>
      </c>
      <c r="EB466" t="s">
        <v>94</v>
      </c>
      <c r="EC466" t="s">
        <v>94</v>
      </c>
      <c r="ED466" t="s">
        <v>94</v>
      </c>
      <c r="EE466" t="s">
        <v>89</v>
      </c>
      <c r="EF466" t="s">
        <v>425</v>
      </c>
      <c r="EG466" t="s">
        <v>105</v>
      </c>
      <c r="EJ466" t="s">
        <v>166</v>
      </c>
      <c r="EK466" t="b">
        <v>0</v>
      </c>
      <c r="EL466" t="b">
        <v>0</v>
      </c>
      <c r="EM466" t="b">
        <v>0</v>
      </c>
    </row>
    <row r="467" spans="3:143" ht="15">
      <c r="C467" s="82">
        <v>323</v>
      </c>
      <c r="D467" s="5"/>
      <c r="E467" s="4">
        <v>1</v>
      </c>
      <c r="F467" s="5">
        <v>7.95</v>
      </c>
      <c r="G467" s="5" t="s">
        <v>6191</v>
      </c>
      <c r="H467" s="4" t="s">
        <v>6192</v>
      </c>
      <c r="I467" s="81" t="s">
        <v>466</v>
      </c>
      <c r="J467" s="21"/>
      <c r="K467" s="22">
        <v>466221122</v>
      </c>
      <c r="L467" s="84" t="s">
        <v>6176</v>
      </c>
      <c r="M467" s="23" t="s">
        <v>466</v>
      </c>
      <c r="N467" s="23">
        <v>43890</v>
      </c>
      <c r="O467" s="24" t="s">
        <v>102</v>
      </c>
      <c r="P467" s="24" t="s">
        <v>181</v>
      </c>
      <c r="Q467" s="24">
        <v>1</v>
      </c>
      <c r="R467" s="24">
        <v>7.95</v>
      </c>
      <c r="S467" t="s">
        <v>11</v>
      </c>
      <c r="T467">
        <v>400</v>
      </c>
      <c r="U467" s="2" t="s">
        <v>163</v>
      </c>
      <c r="V467">
        <v>43890.804594907408</v>
      </c>
      <c r="W467" s="2" t="s">
        <v>444</v>
      </c>
      <c r="X467">
        <v>43892.467210648145</v>
      </c>
      <c r="AB467" t="s">
        <v>9</v>
      </c>
      <c r="AC467" t="s">
        <v>1711</v>
      </c>
      <c r="AD467" t="s">
        <v>275</v>
      </c>
      <c r="AE467">
        <v>21645114</v>
      </c>
      <c r="AF467">
        <v>21645114</v>
      </c>
      <c r="AG467" t="s">
        <v>183</v>
      </c>
      <c r="AH467" t="s">
        <v>6177</v>
      </c>
      <c r="AI467" t="s">
        <v>6177</v>
      </c>
      <c r="AJ467" t="s">
        <v>369</v>
      </c>
      <c r="AK467" t="s">
        <v>370</v>
      </c>
      <c r="AL467" t="s">
        <v>6178</v>
      </c>
      <c r="AO467" t="s">
        <v>6179</v>
      </c>
      <c r="AP467" t="s">
        <v>1715</v>
      </c>
      <c r="AQ467" t="s">
        <v>1716</v>
      </c>
      <c r="AR467">
        <v>6111</v>
      </c>
      <c r="AS467">
        <v>610893993934</v>
      </c>
      <c r="AT467" t="s">
        <v>6180</v>
      </c>
      <c r="AU467" t="s">
        <v>10</v>
      </c>
      <c r="AV467" t="s">
        <v>6181</v>
      </c>
      <c r="AW467" t="s">
        <v>6181</v>
      </c>
      <c r="AX467" t="s">
        <v>6182</v>
      </c>
      <c r="AY467" s="2" t="s">
        <v>6183</v>
      </c>
      <c r="BA467" t="s">
        <v>1156</v>
      </c>
      <c r="BB467" t="s">
        <v>286</v>
      </c>
      <c r="BC467" t="s">
        <v>287</v>
      </c>
      <c r="BD467">
        <v>610001</v>
      </c>
      <c r="BE467">
        <v>8613980863467</v>
      </c>
      <c r="BF467" t="s">
        <v>6184</v>
      </c>
      <c r="BG467" t="b">
        <v>0</v>
      </c>
      <c r="BH467" s="6" t="s">
        <v>6185</v>
      </c>
      <c r="BI467" t="s">
        <v>6186</v>
      </c>
      <c r="BJ467">
        <v>4453163191</v>
      </c>
      <c r="BK467" t="s">
        <v>162</v>
      </c>
      <c r="BL467" t="s">
        <v>161</v>
      </c>
      <c r="BM467" s="2"/>
      <c r="BO467" t="s">
        <v>89</v>
      </c>
      <c r="BP467">
        <v>2530909902</v>
      </c>
      <c r="BR467" t="s">
        <v>180</v>
      </c>
      <c r="BS467" t="s">
        <v>103</v>
      </c>
      <c r="BU467">
        <v>0</v>
      </c>
      <c r="BV467">
        <v>52</v>
      </c>
      <c r="BW467">
        <v>0</v>
      </c>
      <c r="BX467">
        <v>0</v>
      </c>
      <c r="BY467">
        <v>0</v>
      </c>
      <c r="BZ467">
        <v>0</v>
      </c>
      <c r="CA467">
        <v>52</v>
      </c>
      <c r="CF467" s="2"/>
      <c r="CH467" s="2"/>
      <c r="CJ467">
        <v>5.3142020950036499E+17</v>
      </c>
      <c r="CK467" t="s">
        <v>2648</v>
      </c>
      <c r="CL467">
        <v>43890.376782407409</v>
      </c>
      <c r="CO467" t="s">
        <v>11</v>
      </c>
      <c r="CP467">
        <v>400</v>
      </c>
      <c r="CQ467" t="s">
        <v>11</v>
      </c>
      <c r="CR467">
        <v>400</v>
      </c>
      <c r="CV467" t="s">
        <v>190</v>
      </c>
      <c r="CW467" t="s">
        <v>12</v>
      </c>
      <c r="CX467" t="s">
        <v>12</v>
      </c>
      <c r="CY467" t="s">
        <v>12</v>
      </c>
      <c r="DA467" t="s">
        <v>104</v>
      </c>
      <c r="DD467" t="s">
        <v>93</v>
      </c>
      <c r="DQ467" t="s">
        <v>94</v>
      </c>
      <c r="DR467" t="s">
        <v>94</v>
      </c>
      <c r="DS467" t="s">
        <v>94</v>
      </c>
      <c r="DT467" t="s">
        <v>94</v>
      </c>
      <c r="DU467" t="s">
        <v>94</v>
      </c>
      <c r="DV467" t="s">
        <v>94</v>
      </c>
      <c r="DW467" t="s">
        <v>94</v>
      </c>
      <c r="DX467" s="2" t="s">
        <v>94</v>
      </c>
      <c r="DY467" t="s">
        <v>94</v>
      </c>
      <c r="DZ467" t="s">
        <v>94</v>
      </c>
      <c r="EA467" t="s">
        <v>94</v>
      </c>
      <c r="EB467" t="s">
        <v>94</v>
      </c>
      <c r="EC467" t="s">
        <v>94</v>
      </c>
      <c r="ED467" t="s">
        <v>94</v>
      </c>
      <c r="EE467" t="s">
        <v>89</v>
      </c>
      <c r="EF467" t="s">
        <v>425</v>
      </c>
      <c r="EG467" t="s">
        <v>105</v>
      </c>
      <c r="EJ467" t="s">
        <v>166</v>
      </c>
      <c r="EK467" t="b">
        <v>0</v>
      </c>
      <c r="EL467" t="b">
        <v>0</v>
      </c>
      <c r="EM467" t="b">
        <v>0</v>
      </c>
    </row>
    <row r="468" spans="3:143" ht="15">
      <c r="C468" s="82">
        <v>12</v>
      </c>
      <c r="D468" s="5"/>
      <c r="E468" s="4">
        <v>1</v>
      </c>
      <c r="F468" s="5">
        <v>94.5</v>
      </c>
      <c r="G468" s="5" t="s">
        <v>6205</v>
      </c>
      <c r="H468" s="4" t="s">
        <v>6206</v>
      </c>
      <c r="I468" s="81" t="s">
        <v>6207</v>
      </c>
      <c r="J468" s="21"/>
      <c r="K468" s="22">
        <v>328333611</v>
      </c>
      <c r="L468" s="84" t="s">
        <v>6193</v>
      </c>
      <c r="M468" s="23" t="s">
        <v>6194</v>
      </c>
      <c r="N468" s="23">
        <v>43891</v>
      </c>
      <c r="O468" s="24" t="s">
        <v>102</v>
      </c>
      <c r="P468" s="24" t="s">
        <v>480</v>
      </c>
      <c r="Q468" s="24">
        <v>1</v>
      </c>
      <c r="R468" s="24">
        <v>94.5</v>
      </c>
      <c r="S468" t="s">
        <v>319</v>
      </c>
      <c r="T468">
        <v>1042</v>
      </c>
      <c r="U468" s="2"/>
      <c r="W468" s="2"/>
      <c r="AB468" t="s">
        <v>9</v>
      </c>
      <c r="AC468" t="s">
        <v>2360</v>
      </c>
      <c r="AD468" t="s">
        <v>6195</v>
      </c>
      <c r="AE468" t="s">
        <v>6196</v>
      </c>
      <c r="AF468" t="s">
        <v>6196</v>
      </c>
      <c r="AH468" t="s">
        <v>6197</v>
      </c>
      <c r="AI468" t="s">
        <v>6197</v>
      </c>
      <c r="AJ468" t="s">
        <v>1214</v>
      </c>
      <c r="AK468" t="s">
        <v>1215</v>
      </c>
      <c r="AL468" t="s">
        <v>6198</v>
      </c>
      <c r="AO468" t="s">
        <v>6199</v>
      </c>
      <c r="AP468" t="s">
        <v>2364</v>
      </c>
      <c r="AR468">
        <v>0</v>
      </c>
      <c r="AS468">
        <v>443815544</v>
      </c>
      <c r="AU468" t="s">
        <v>10</v>
      </c>
      <c r="AV468" t="s">
        <v>6200</v>
      </c>
      <c r="AW468" t="s">
        <v>6200</v>
      </c>
      <c r="AX468" t="s">
        <v>6201</v>
      </c>
      <c r="AY468" s="2"/>
      <c r="BA468" t="s">
        <v>6202</v>
      </c>
      <c r="BB468" t="s">
        <v>2871</v>
      </c>
      <c r="BD468">
        <v>0</v>
      </c>
      <c r="BE468">
        <v>5925703743</v>
      </c>
      <c r="BG468" t="b">
        <v>0</v>
      </c>
      <c r="BH468" s="6" t="s">
        <v>6203</v>
      </c>
      <c r="BI468" t="s">
        <v>6204</v>
      </c>
      <c r="BJ468">
        <v>4453163191</v>
      </c>
      <c r="BK468" t="s">
        <v>162</v>
      </c>
      <c r="BL468" t="s">
        <v>161</v>
      </c>
      <c r="BM468" s="2"/>
      <c r="BR468" t="s">
        <v>180</v>
      </c>
      <c r="BU468">
        <v>0</v>
      </c>
      <c r="BV468">
        <v>0</v>
      </c>
      <c r="BW468">
        <v>0</v>
      </c>
      <c r="BX468">
        <v>0</v>
      </c>
      <c r="BY468">
        <v>0</v>
      </c>
      <c r="BZ468">
        <v>0</v>
      </c>
      <c r="CA468">
        <v>0</v>
      </c>
      <c r="CF468" s="2"/>
      <c r="CH468" s="2"/>
      <c r="CK468" t="s">
        <v>165</v>
      </c>
      <c r="CL468">
        <v>43891.624016203707</v>
      </c>
      <c r="CO468" t="s">
        <v>11</v>
      </c>
      <c r="CP468">
        <v>7173.65</v>
      </c>
      <c r="CQ468" t="s">
        <v>11</v>
      </c>
      <c r="CR468">
        <v>7173.65</v>
      </c>
      <c r="CW468" t="s">
        <v>12</v>
      </c>
      <c r="CX468" t="s">
        <v>12</v>
      </c>
      <c r="CY468" t="s">
        <v>12</v>
      </c>
      <c r="DA468" t="s">
        <v>104</v>
      </c>
      <c r="DQ468" t="s">
        <v>94</v>
      </c>
      <c r="DR468" t="s">
        <v>94</v>
      </c>
      <c r="DS468" t="s">
        <v>94</v>
      </c>
      <c r="DT468" t="s">
        <v>94</v>
      </c>
      <c r="DU468" t="s">
        <v>94</v>
      </c>
      <c r="DV468" t="s">
        <v>94</v>
      </c>
      <c r="DW468" t="s">
        <v>94</v>
      </c>
      <c r="DX468" s="2" t="s">
        <v>94</v>
      </c>
      <c r="DY468" t="s">
        <v>94</v>
      </c>
      <c r="DZ468" t="s">
        <v>94</v>
      </c>
      <c r="EA468" t="s">
        <v>94</v>
      </c>
      <c r="EB468" t="s">
        <v>94</v>
      </c>
      <c r="EC468" t="s">
        <v>94</v>
      </c>
      <c r="ED468" t="s">
        <v>94</v>
      </c>
      <c r="EE468" t="s">
        <v>89</v>
      </c>
      <c r="EF468" t="s">
        <v>94</v>
      </c>
      <c r="EG468" t="s">
        <v>105</v>
      </c>
      <c r="EJ468" t="s">
        <v>166</v>
      </c>
    </row>
    <row r="469" spans="3:143" ht="15">
      <c r="C469" s="82">
        <v>132</v>
      </c>
      <c r="D469" s="5"/>
      <c r="E469" s="4">
        <v>1</v>
      </c>
      <c r="F469" s="5">
        <v>94.5</v>
      </c>
      <c r="G469" s="5" t="s">
        <v>6208</v>
      </c>
      <c r="H469" s="4" t="s">
        <v>6206</v>
      </c>
      <c r="I469" s="81" t="s">
        <v>817</v>
      </c>
      <c r="J469" s="21"/>
      <c r="K469" s="22">
        <v>328333611</v>
      </c>
      <c r="L469" s="84" t="s">
        <v>6193</v>
      </c>
      <c r="M469" s="23" t="s">
        <v>817</v>
      </c>
      <c r="N469" s="23">
        <v>43891</v>
      </c>
      <c r="O469" s="24" t="s">
        <v>102</v>
      </c>
      <c r="P469" s="24" t="s">
        <v>480</v>
      </c>
      <c r="Q469" s="24">
        <v>1</v>
      </c>
      <c r="R469" s="24">
        <v>94.5</v>
      </c>
      <c r="S469" t="s">
        <v>319</v>
      </c>
      <c r="T469">
        <v>1042</v>
      </c>
      <c r="U469" s="2"/>
      <c r="W469" s="2"/>
      <c r="AB469" t="s">
        <v>9</v>
      </c>
      <c r="AC469" t="s">
        <v>2360</v>
      </c>
      <c r="AD469" t="s">
        <v>6195</v>
      </c>
      <c r="AE469" t="s">
        <v>6196</v>
      </c>
      <c r="AF469" t="s">
        <v>6196</v>
      </c>
      <c r="AH469" t="s">
        <v>6197</v>
      </c>
      <c r="AI469" t="s">
        <v>6197</v>
      </c>
      <c r="AJ469" t="s">
        <v>1214</v>
      </c>
      <c r="AK469" t="s">
        <v>1215</v>
      </c>
      <c r="AL469" t="s">
        <v>6198</v>
      </c>
      <c r="AO469" t="s">
        <v>6199</v>
      </c>
      <c r="AP469" t="s">
        <v>2364</v>
      </c>
      <c r="AR469">
        <v>0</v>
      </c>
      <c r="AS469">
        <v>443815544</v>
      </c>
      <c r="AU469" t="s">
        <v>10</v>
      </c>
      <c r="AV469" t="s">
        <v>6200</v>
      </c>
      <c r="AW469" t="s">
        <v>6200</v>
      </c>
      <c r="AX469" t="s">
        <v>6201</v>
      </c>
      <c r="AY469" s="2"/>
      <c r="BA469" t="s">
        <v>6202</v>
      </c>
      <c r="BB469" t="s">
        <v>2871</v>
      </c>
      <c r="BD469">
        <v>0</v>
      </c>
      <c r="BE469">
        <v>5925703743</v>
      </c>
      <c r="BG469" t="b">
        <v>0</v>
      </c>
      <c r="BH469" s="6" t="s">
        <v>6203</v>
      </c>
      <c r="BI469" t="s">
        <v>6204</v>
      </c>
      <c r="BJ469">
        <v>4453163191</v>
      </c>
      <c r="BK469" t="s">
        <v>162</v>
      </c>
      <c r="BL469" t="s">
        <v>161</v>
      </c>
      <c r="BM469" s="2"/>
      <c r="BR469" t="s">
        <v>180</v>
      </c>
      <c r="BU469">
        <v>0</v>
      </c>
      <c r="BV469">
        <v>0</v>
      </c>
      <c r="BW469">
        <v>0</v>
      </c>
      <c r="BX469">
        <v>0</v>
      </c>
      <c r="BY469">
        <v>0</v>
      </c>
      <c r="BZ469">
        <v>0</v>
      </c>
      <c r="CA469">
        <v>0</v>
      </c>
      <c r="CF469" s="2"/>
      <c r="CH469" s="2"/>
      <c r="CK469" t="s">
        <v>165</v>
      </c>
      <c r="CL469">
        <v>43891.624016203707</v>
      </c>
      <c r="CO469" t="s">
        <v>11</v>
      </c>
      <c r="CP469">
        <v>7173.65</v>
      </c>
      <c r="CQ469" t="s">
        <v>11</v>
      </c>
      <c r="CR469">
        <v>7173.65</v>
      </c>
      <c r="CW469" t="s">
        <v>12</v>
      </c>
      <c r="CX469" t="s">
        <v>12</v>
      </c>
      <c r="CY469" t="s">
        <v>12</v>
      </c>
      <c r="DA469" t="s">
        <v>104</v>
      </c>
      <c r="DQ469" t="s">
        <v>94</v>
      </c>
      <c r="DR469" t="s">
        <v>94</v>
      </c>
      <c r="DS469" t="s">
        <v>94</v>
      </c>
      <c r="DT469" t="s">
        <v>94</v>
      </c>
      <c r="DU469" t="s">
        <v>94</v>
      </c>
      <c r="DV469" t="s">
        <v>94</v>
      </c>
      <c r="DW469" t="s">
        <v>94</v>
      </c>
      <c r="DX469" s="2" t="s">
        <v>94</v>
      </c>
      <c r="DY469" t="s">
        <v>94</v>
      </c>
      <c r="DZ469" t="s">
        <v>94</v>
      </c>
      <c r="EA469" t="s">
        <v>94</v>
      </c>
      <c r="EB469" t="s">
        <v>94</v>
      </c>
      <c r="EC469" t="s">
        <v>94</v>
      </c>
      <c r="ED469" t="s">
        <v>94</v>
      </c>
      <c r="EE469" t="s">
        <v>89</v>
      </c>
      <c r="EF469" t="s">
        <v>94</v>
      </c>
      <c r="EG469" t="s">
        <v>105</v>
      </c>
      <c r="EJ469" t="s">
        <v>166</v>
      </c>
    </row>
    <row r="470" spans="3:143" ht="15">
      <c r="C470" s="82">
        <v>132</v>
      </c>
      <c r="D470" s="5"/>
      <c r="E470" s="4">
        <v>1</v>
      </c>
      <c r="F470" s="5">
        <v>94.5</v>
      </c>
      <c r="G470" s="5" t="s">
        <v>6210</v>
      </c>
      <c r="H470" s="4" t="s">
        <v>6206</v>
      </c>
      <c r="I470" s="81" t="s">
        <v>817</v>
      </c>
      <c r="J470" s="21"/>
      <c r="K470" s="22">
        <v>328333611</v>
      </c>
      <c r="L470" s="84" t="s">
        <v>6158</v>
      </c>
      <c r="M470" s="23" t="s">
        <v>817</v>
      </c>
      <c r="N470" s="23">
        <v>43891</v>
      </c>
      <c r="O470" s="24" t="s">
        <v>102</v>
      </c>
      <c r="P470" s="24" t="s">
        <v>480</v>
      </c>
      <c r="Q470" s="24">
        <v>1</v>
      </c>
      <c r="R470" s="24">
        <v>94.5</v>
      </c>
      <c r="S470" t="s">
        <v>319</v>
      </c>
      <c r="T470">
        <v>1042</v>
      </c>
      <c r="U470" s="2"/>
      <c r="W470" s="2"/>
      <c r="AB470" t="s">
        <v>9</v>
      </c>
      <c r="AC470" t="s">
        <v>2360</v>
      </c>
      <c r="AD470" t="s">
        <v>6195</v>
      </c>
      <c r="AE470" t="s">
        <v>6196</v>
      </c>
      <c r="AF470" t="s">
        <v>6196</v>
      </c>
      <c r="AH470" t="s">
        <v>6197</v>
      </c>
      <c r="AI470" t="s">
        <v>6197</v>
      </c>
      <c r="AJ470" t="s">
        <v>1214</v>
      </c>
      <c r="AK470" t="s">
        <v>1215</v>
      </c>
      <c r="AL470" t="s">
        <v>6198</v>
      </c>
      <c r="AO470" t="s">
        <v>6199</v>
      </c>
      <c r="AP470" t="s">
        <v>2364</v>
      </c>
      <c r="AR470">
        <v>0</v>
      </c>
      <c r="AS470">
        <v>443815544</v>
      </c>
      <c r="AU470" t="s">
        <v>10</v>
      </c>
      <c r="AV470" t="s">
        <v>6200</v>
      </c>
      <c r="AW470" t="s">
        <v>6200</v>
      </c>
      <c r="AX470" t="s">
        <v>6201</v>
      </c>
      <c r="AY470" s="2"/>
      <c r="BA470" t="s">
        <v>6202</v>
      </c>
      <c r="BB470" t="s">
        <v>2871</v>
      </c>
      <c r="BD470">
        <v>0</v>
      </c>
      <c r="BE470">
        <v>5925703743</v>
      </c>
      <c r="BG470" t="b">
        <v>0</v>
      </c>
      <c r="BH470" s="6" t="s">
        <v>6203</v>
      </c>
      <c r="BI470" t="s">
        <v>6204</v>
      </c>
      <c r="BJ470">
        <v>4453163191</v>
      </c>
      <c r="BK470" t="s">
        <v>162</v>
      </c>
      <c r="BL470" t="s">
        <v>161</v>
      </c>
      <c r="BM470" s="2"/>
      <c r="BR470" t="s">
        <v>180</v>
      </c>
      <c r="BU470">
        <v>0</v>
      </c>
      <c r="BV470">
        <v>0</v>
      </c>
      <c r="BW470">
        <v>0</v>
      </c>
      <c r="BX470">
        <v>0</v>
      </c>
      <c r="BY470">
        <v>0</v>
      </c>
      <c r="BZ470">
        <v>0</v>
      </c>
      <c r="CA470">
        <v>0</v>
      </c>
      <c r="CF470" s="2"/>
      <c r="CH470" s="2"/>
      <c r="CK470" t="s">
        <v>165</v>
      </c>
      <c r="CL470">
        <v>43891.624016203707</v>
      </c>
      <c r="CO470" t="s">
        <v>11</v>
      </c>
      <c r="CP470">
        <v>7173.65</v>
      </c>
      <c r="CQ470" t="s">
        <v>11</v>
      </c>
      <c r="CR470">
        <v>7173.65</v>
      </c>
      <c r="CW470" t="s">
        <v>12</v>
      </c>
      <c r="CX470" t="s">
        <v>12</v>
      </c>
      <c r="CY470" t="s">
        <v>12</v>
      </c>
      <c r="DA470" t="s">
        <v>104</v>
      </c>
      <c r="DQ470" t="s">
        <v>94</v>
      </c>
      <c r="DR470" t="s">
        <v>94</v>
      </c>
      <c r="DS470" t="s">
        <v>94</v>
      </c>
      <c r="DT470" t="s">
        <v>94</v>
      </c>
      <c r="DU470" t="s">
        <v>94</v>
      </c>
      <c r="DV470" t="s">
        <v>94</v>
      </c>
      <c r="DW470" t="s">
        <v>94</v>
      </c>
      <c r="DX470" s="2" t="s">
        <v>94</v>
      </c>
      <c r="DY470" t="s">
        <v>94</v>
      </c>
      <c r="DZ470" t="s">
        <v>94</v>
      </c>
      <c r="EA470" t="s">
        <v>94</v>
      </c>
      <c r="EB470" t="s">
        <v>94</v>
      </c>
      <c r="EC470" t="s">
        <v>94</v>
      </c>
      <c r="ED470" t="s">
        <v>94</v>
      </c>
      <c r="EE470" t="s">
        <v>89</v>
      </c>
      <c r="EF470" t="s">
        <v>94</v>
      </c>
      <c r="EG470" t="s">
        <v>105</v>
      </c>
      <c r="EJ470" t="s">
        <v>166</v>
      </c>
    </row>
    <row r="471" spans="3:143" ht="15">
      <c r="C471" s="82">
        <v>132</v>
      </c>
      <c r="D471" s="5"/>
      <c r="E471" s="4">
        <v>1</v>
      </c>
      <c r="F471" s="5">
        <v>17.55</v>
      </c>
      <c r="G471" s="5" t="s">
        <v>6216</v>
      </c>
      <c r="H471" s="4" t="s">
        <v>6217</v>
      </c>
      <c r="I471" s="81" t="s">
        <v>466</v>
      </c>
      <c r="J471" s="21"/>
      <c r="K471" s="22">
        <v>753632374</v>
      </c>
      <c r="L471" s="84" t="s">
        <v>6211</v>
      </c>
      <c r="M471" s="23" t="s">
        <v>409</v>
      </c>
      <c r="N471" s="23">
        <v>43896</v>
      </c>
      <c r="O471" s="24" t="s">
        <v>102</v>
      </c>
      <c r="P471" s="24" t="s">
        <v>181</v>
      </c>
      <c r="Q471" s="24">
        <v>1</v>
      </c>
      <c r="R471" s="24">
        <v>17.55</v>
      </c>
      <c r="S471" t="s">
        <v>319</v>
      </c>
      <c r="T471">
        <v>180</v>
      </c>
      <c r="U471" s="2" t="s">
        <v>163</v>
      </c>
      <c r="V471">
        <v>43896.7893287037</v>
      </c>
      <c r="W471" s="2" t="s">
        <v>444</v>
      </c>
      <c r="X471">
        <v>43896.803680555553</v>
      </c>
      <c r="AB471" t="s">
        <v>9</v>
      </c>
      <c r="AC471" t="s">
        <v>1531</v>
      </c>
      <c r="AD471" t="s">
        <v>191</v>
      </c>
      <c r="AE471">
        <v>532675</v>
      </c>
      <c r="AF471">
        <v>532675</v>
      </c>
      <c r="AG471" t="s">
        <v>183</v>
      </c>
      <c r="AH471" t="s">
        <v>2415</v>
      </c>
      <c r="AI471" t="s">
        <v>2415</v>
      </c>
      <c r="AJ471" t="s">
        <v>1533</v>
      </c>
      <c r="AK471" t="s">
        <v>1534</v>
      </c>
      <c r="AL471" t="s">
        <v>2416</v>
      </c>
      <c r="AO471" t="s">
        <v>2417</v>
      </c>
      <c r="AP471" t="s">
        <v>1538</v>
      </c>
      <c r="AQ471" t="s">
        <v>2418</v>
      </c>
      <c r="AR471">
        <v>9820251</v>
      </c>
      <c r="AS471" t="s">
        <v>6212</v>
      </c>
      <c r="AT471" t="s">
        <v>6213</v>
      </c>
      <c r="AU471" t="s">
        <v>10</v>
      </c>
      <c r="AV471" t="s">
        <v>2420</v>
      </c>
      <c r="AW471" t="s">
        <v>2420</v>
      </c>
      <c r="AX471" t="s">
        <v>2421</v>
      </c>
      <c r="AY471" s="2" t="s">
        <v>2422</v>
      </c>
      <c r="AZ471" t="s">
        <v>2423</v>
      </c>
      <c r="BA471" t="s">
        <v>726</v>
      </c>
      <c r="BB471" t="s">
        <v>192</v>
      </c>
      <c r="BC471" t="s">
        <v>188</v>
      </c>
      <c r="BD471">
        <v>523926</v>
      </c>
      <c r="BE471">
        <v>18718925231</v>
      </c>
      <c r="BF471" t="s">
        <v>2424</v>
      </c>
      <c r="BG471" t="b">
        <v>0</v>
      </c>
      <c r="BH471" s="6" t="s">
        <v>6214</v>
      </c>
      <c r="BI471" t="s">
        <v>6215</v>
      </c>
      <c r="BJ471">
        <v>4453163191</v>
      </c>
      <c r="BK471" t="s">
        <v>162</v>
      </c>
      <c r="BL471" t="s">
        <v>161</v>
      </c>
      <c r="BM471" s="2"/>
      <c r="BO471" t="s">
        <v>89</v>
      </c>
      <c r="BP471">
        <v>32071000</v>
      </c>
      <c r="BR471" t="s">
        <v>180</v>
      </c>
      <c r="BS471" t="s">
        <v>103</v>
      </c>
      <c r="BU471">
        <v>61.96</v>
      </c>
      <c r="BV471">
        <v>169.15</v>
      </c>
      <c r="BW471">
        <v>0</v>
      </c>
      <c r="BX471">
        <v>0</v>
      </c>
      <c r="BY471">
        <v>0</v>
      </c>
      <c r="BZ471">
        <v>0</v>
      </c>
      <c r="CA471">
        <v>231.11</v>
      </c>
      <c r="CF471" s="2"/>
      <c r="CH471" s="2"/>
      <c r="CJ471">
        <v>5.3142020950042099E+17</v>
      </c>
      <c r="CK471" t="s">
        <v>445</v>
      </c>
      <c r="CL471">
        <v>43896.562777777777</v>
      </c>
      <c r="CO471" t="s">
        <v>11</v>
      </c>
      <c r="CP471">
        <v>1239.21</v>
      </c>
      <c r="CQ471" t="s">
        <v>11</v>
      </c>
      <c r="CR471">
        <v>1239.21</v>
      </c>
      <c r="CV471" t="s">
        <v>190</v>
      </c>
      <c r="CW471" t="s">
        <v>12</v>
      </c>
      <c r="CX471" t="s">
        <v>12</v>
      </c>
      <c r="CY471" t="s">
        <v>12</v>
      </c>
      <c r="DA471" t="s">
        <v>104</v>
      </c>
      <c r="DD471" t="s">
        <v>93</v>
      </c>
      <c r="DQ471" t="s">
        <v>94</v>
      </c>
      <c r="DR471" t="s">
        <v>94</v>
      </c>
      <c r="DS471" t="s">
        <v>94</v>
      </c>
      <c r="DT471" t="s">
        <v>94</v>
      </c>
      <c r="DU471" t="s">
        <v>94</v>
      </c>
      <c r="DV471" t="s">
        <v>94</v>
      </c>
      <c r="DW471" t="s">
        <v>94</v>
      </c>
      <c r="DX471" s="2" t="s">
        <v>94</v>
      </c>
      <c r="DY471" t="s">
        <v>94</v>
      </c>
      <c r="DZ471" t="s">
        <v>94</v>
      </c>
      <c r="EA471" t="s">
        <v>94</v>
      </c>
      <c r="EB471" t="s">
        <v>94</v>
      </c>
      <c r="EC471" t="s">
        <v>94</v>
      </c>
      <c r="ED471" t="s">
        <v>94</v>
      </c>
      <c r="EE471" t="s">
        <v>89</v>
      </c>
      <c r="EF471" t="s">
        <v>425</v>
      </c>
      <c r="EG471" t="s">
        <v>105</v>
      </c>
      <c r="EJ471" t="s">
        <v>166</v>
      </c>
      <c r="EK471" t="b">
        <v>0</v>
      </c>
      <c r="EL471" t="b">
        <v>0</v>
      </c>
      <c r="EM471" t="b">
        <v>0</v>
      </c>
    </row>
    <row r="472" spans="3:143" ht="15">
      <c r="C472" s="82">
        <v>2</v>
      </c>
      <c r="D472" s="5">
        <v>44</v>
      </c>
      <c r="E472" s="4">
        <v>6</v>
      </c>
      <c r="F472" s="5">
        <v>44</v>
      </c>
      <c r="G472" s="5" t="s">
        <v>6256</v>
      </c>
      <c r="H472" s="4" t="s">
        <v>6257</v>
      </c>
      <c r="I472" s="81" t="s">
        <v>466</v>
      </c>
      <c r="J472" s="21" t="b">
        <v>1</v>
      </c>
      <c r="K472" s="22">
        <v>328780104</v>
      </c>
      <c r="L472" s="84" t="s">
        <v>6218</v>
      </c>
      <c r="M472" s="23" t="s">
        <v>409</v>
      </c>
      <c r="N472" s="23">
        <v>43903</v>
      </c>
      <c r="O472" s="24" t="s">
        <v>102</v>
      </c>
      <c r="P472" s="24" t="s">
        <v>480</v>
      </c>
      <c r="Q472" s="24">
        <v>6</v>
      </c>
      <c r="R472" s="24">
        <v>2.7</v>
      </c>
      <c r="S472" t="s">
        <v>528</v>
      </c>
      <c r="T472">
        <v>12077.12</v>
      </c>
      <c r="U472" s="2"/>
      <c r="W472" s="2"/>
      <c r="AB472" t="s">
        <v>9</v>
      </c>
      <c r="AC472" t="s">
        <v>4904</v>
      </c>
      <c r="AD472" t="s">
        <v>182</v>
      </c>
      <c r="AE472" t="s">
        <v>183</v>
      </c>
      <c r="AF472" t="s">
        <v>183</v>
      </c>
      <c r="AG472" t="s">
        <v>6258</v>
      </c>
      <c r="AH472" t="s">
        <v>6219</v>
      </c>
      <c r="AI472" t="s">
        <v>6219</v>
      </c>
      <c r="AJ472" t="s">
        <v>776</v>
      </c>
      <c r="AK472" t="s">
        <v>777</v>
      </c>
      <c r="AL472" t="s">
        <v>6220</v>
      </c>
      <c r="AO472" t="s">
        <v>6221</v>
      </c>
      <c r="AP472" t="s">
        <v>4908</v>
      </c>
      <c r="AQ472" t="s">
        <v>1059</v>
      </c>
      <c r="AR472">
        <v>83075</v>
      </c>
      <c r="AS472">
        <v>4980649063058</v>
      </c>
      <c r="AT472" t="s">
        <v>6222</v>
      </c>
      <c r="AU472" t="s">
        <v>10</v>
      </c>
      <c r="AV472" t="s">
        <v>6223</v>
      </c>
      <c r="AW472" t="s">
        <v>6223</v>
      </c>
      <c r="AX472" t="s">
        <v>6224</v>
      </c>
      <c r="AY472" s="2" t="s">
        <v>6225</v>
      </c>
      <c r="AZ472" t="s">
        <v>6226</v>
      </c>
      <c r="BA472" t="s">
        <v>2257</v>
      </c>
      <c r="BB472" t="s">
        <v>1576</v>
      </c>
      <c r="BC472" t="s">
        <v>188</v>
      </c>
      <c r="BD472">
        <v>510800</v>
      </c>
      <c r="BE472">
        <v>86997307</v>
      </c>
      <c r="BF472" t="s">
        <v>6227</v>
      </c>
      <c r="BG472" t="b">
        <v>0</v>
      </c>
      <c r="BH472" s="6" t="s">
        <v>6228</v>
      </c>
      <c r="BI472" t="s">
        <v>6229</v>
      </c>
      <c r="BJ472">
        <v>4453163191</v>
      </c>
      <c r="BK472" t="s">
        <v>162</v>
      </c>
      <c r="BL472" t="s">
        <v>161</v>
      </c>
      <c r="BM472" s="2"/>
      <c r="BN472">
        <v>9.1440114661836403E+17</v>
      </c>
      <c r="BR472" t="s">
        <v>189</v>
      </c>
      <c r="BS472" t="s">
        <v>103</v>
      </c>
      <c r="BU472">
        <v>0</v>
      </c>
      <c r="BV472">
        <v>0</v>
      </c>
      <c r="BW472">
        <v>0</v>
      </c>
      <c r="BX472">
        <v>0</v>
      </c>
      <c r="BY472">
        <v>0</v>
      </c>
      <c r="BZ472">
        <v>0</v>
      </c>
      <c r="CA472">
        <v>0</v>
      </c>
      <c r="CF472" s="2"/>
      <c r="CH472" s="2"/>
      <c r="CK472" t="s">
        <v>445</v>
      </c>
      <c r="CL472">
        <v>43903.56</v>
      </c>
      <c r="CO472" t="s">
        <v>11</v>
      </c>
      <c r="CP472">
        <v>92528.85</v>
      </c>
      <c r="CQ472" t="s">
        <v>11</v>
      </c>
      <c r="CR472">
        <v>92528.85</v>
      </c>
      <c r="CV472" t="s">
        <v>525</v>
      </c>
      <c r="CW472" t="s">
        <v>12</v>
      </c>
      <c r="CX472" t="s">
        <v>12</v>
      </c>
      <c r="CY472" t="s">
        <v>12</v>
      </c>
      <c r="DA472" t="s">
        <v>104</v>
      </c>
      <c r="DD472" t="s">
        <v>93</v>
      </c>
      <c r="DQ472" t="s">
        <v>94</v>
      </c>
      <c r="DR472" t="s">
        <v>94</v>
      </c>
      <c r="DS472" t="s">
        <v>94</v>
      </c>
      <c r="DT472" t="s">
        <v>94</v>
      </c>
      <c r="DU472" t="s">
        <v>94</v>
      </c>
      <c r="DV472" t="s">
        <v>94</v>
      </c>
      <c r="DW472" t="s">
        <v>94</v>
      </c>
      <c r="DX472" s="2" t="s">
        <v>94</v>
      </c>
      <c r="DY472" t="s">
        <v>94</v>
      </c>
      <c r="DZ472" t="s">
        <v>94</v>
      </c>
      <c r="EA472" t="s">
        <v>94</v>
      </c>
      <c r="EB472" t="s">
        <v>94</v>
      </c>
      <c r="EC472" t="s">
        <v>94</v>
      </c>
      <c r="ED472" t="s">
        <v>94</v>
      </c>
      <c r="EE472" t="s">
        <v>89</v>
      </c>
      <c r="EF472" t="s">
        <v>425</v>
      </c>
      <c r="EG472" t="s">
        <v>105</v>
      </c>
      <c r="EJ472" t="s">
        <v>166</v>
      </c>
      <c r="EK472" t="b">
        <v>0</v>
      </c>
      <c r="EL472" t="b">
        <v>0</v>
      </c>
      <c r="EM472" t="b">
        <v>0</v>
      </c>
    </row>
    <row r="473" spans="3:143" ht="15">
      <c r="C473" s="82">
        <v>12</v>
      </c>
      <c r="D473" s="5"/>
      <c r="E473" s="4">
        <v>1</v>
      </c>
      <c r="F473" s="5">
        <v>10.199999999999999</v>
      </c>
      <c r="G473" s="5" t="s">
        <v>6259</v>
      </c>
      <c r="H473" s="4" t="s">
        <v>6260</v>
      </c>
      <c r="I473" s="81" t="s">
        <v>920</v>
      </c>
      <c r="J473" s="21"/>
      <c r="K473" s="22">
        <v>725099084</v>
      </c>
      <c r="L473" s="84" t="s">
        <v>6230</v>
      </c>
      <c r="M473" s="23" t="s">
        <v>920</v>
      </c>
      <c r="N473" s="23">
        <v>43841</v>
      </c>
      <c r="O473" s="24" t="s">
        <v>102</v>
      </c>
      <c r="P473" s="24" t="s">
        <v>179</v>
      </c>
      <c r="Q473" s="24">
        <v>1</v>
      </c>
      <c r="R473" s="24">
        <v>10.199999999999999</v>
      </c>
      <c r="S473" t="s">
        <v>11</v>
      </c>
      <c r="T473">
        <v>4920</v>
      </c>
      <c r="U473" s="2" t="s">
        <v>163</v>
      </c>
      <c r="V473">
        <v>43849.566030092596</v>
      </c>
      <c r="W473" s="2" t="s">
        <v>444</v>
      </c>
      <c r="X473">
        <v>43866.607754629629</v>
      </c>
      <c r="AB473" t="s">
        <v>9</v>
      </c>
      <c r="AC473" t="s">
        <v>6231</v>
      </c>
      <c r="AD473" t="s">
        <v>209</v>
      </c>
      <c r="AE473">
        <v>27395</v>
      </c>
      <c r="AF473">
        <v>27395</v>
      </c>
      <c r="AG473" t="s">
        <v>183</v>
      </c>
      <c r="AH473" t="s">
        <v>6232</v>
      </c>
      <c r="AI473" t="s">
        <v>6232</v>
      </c>
      <c r="AJ473" t="s">
        <v>821</v>
      </c>
      <c r="AK473" t="s">
        <v>822</v>
      </c>
      <c r="AL473" t="s">
        <v>6233</v>
      </c>
      <c r="AM473" t="s">
        <v>6234</v>
      </c>
      <c r="AO473" t="s">
        <v>6235</v>
      </c>
      <c r="AP473" t="s">
        <v>6236</v>
      </c>
      <c r="AR473">
        <v>1300</v>
      </c>
      <c r="AS473">
        <v>10231604</v>
      </c>
      <c r="AT473" t="s">
        <v>6237</v>
      </c>
      <c r="AU473" t="s">
        <v>10</v>
      </c>
      <c r="AV473" t="s">
        <v>6238</v>
      </c>
      <c r="AW473" t="s">
        <v>6238</v>
      </c>
      <c r="AX473" t="s">
        <v>6239</v>
      </c>
      <c r="AY473" s="2" t="s">
        <v>6240</v>
      </c>
      <c r="AZ473" t="s">
        <v>6241</v>
      </c>
      <c r="BA473" t="s">
        <v>1048</v>
      </c>
      <c r="BB473" t="s">
        <v>1049</v>
      </c>
      <c r="BC473" t="s">
        <v>188</v>
      </c>
      <c r="BD473">
        <v>511356</v>
      </c>
      <c r="BE473">
        <v>862032222569</v>
      </c>
      <c r="BF473" t="s">
        <v>6242</v>
      </c>
      <c r="BG473" t="b">
        <v>0</v>
      </c>
      <c r="BH473" s="6" t="s">
        <v>6243</v>
      </c>
      <c r="BI473" t="s">
        <v>6244</v>
      </c>
      <c r="BJ473">
        <v>4453163191</v>
      </c>
      <c r="BK473" t="s">
        <v>162</v>
      </c>
      <c r="BL473" t="s">
        <v>161</v>
      </c>
      <c r="BM473" s="2"/>
      <c r="BO473" t="s">
        <v>89</v>
      </c>
      <c r="BP473">
        <v>3204170090</v>
      </c>
      <c r="BR473" t="s">
        <v>189</v>
      </c>
      <c r="BS473" t="s">
        <v>103</v>
      </c>
      <c r="BU473">
        <v>319.8</v>
      </c>
      <c r="BV473">
        <v>681.17</v>
      </c>
      <c r="BW473">
        <v>0</v>
      </c>
      <c r="BX473">
        <v>0</v>
      </c>
      <c r="BY473">
        <v>0</v>
      </c>
      <c r="BZ473">
        <v>0</v>
      </c>
      <c r="CA473">
        <v>1000.97</v>
      </c>
      <c r="CF473" s="2"/>
      <c r="CH473" s="2"/>
      <c r="CJ473">
        <v>5.3142020950005299E+17</v>
      </c>
      <c r="CK473" t="s">
        <v>4402</v>
      </c>
      <c r="CL473">
        <v>43841.378657407404</v>
      </c>
      <c r="CO473" t="s">
        <v>11</v>
      </c>
      <c r="CP473">
        <v>4920</v>
      </c>
      <c r="CQ473" t="s">
        <v>11</v>
      </c>
      <c r="CR473">
        <v>4920</v>
      </c>
      <c r="CV473" t="s">
        <v>190</v>
      </c>
      <c r="CW473" t="s">
        <v>12</v>
      </c>
      <c r="CX473" t="s">
        <v>12</v>
      </c>
      <c r="CY473" t="s">
        <v>12</v>
      </c>
      <c r="DA473" t="s">
        <v>104</v>
      </c>
      <c r="DD473" t="s">
        <v>93</v>
      </c>
      <c r="DQ473" t="s">
        <v>94</v>
      </c>
      <c r="DR473" t="s">
        <v>94</v>
      </c>
      <c r="DS473" t="s">
        <v>94</v>
      </c>
      <c r="DT473" t="s">
        <v>94</v>
      </c>
      <c r="DU473" t="s">
        <v>94</v>
      </c>
      <c r="DV473" t="s">
        <v>94</v>
      </c>
      <c r="DW473" t="s">
        <v>94</v>
      </c>
      <c r="DX473" s="2" t="s">
        <v>94</v>
      </c>
      <c r="DY473" t="s">
        <v>94</v>
      </c>
      <c r="DZ473" t="s">
        <v>94</v>
      </c>
      <c r="EA473" t="s">
        <v>94</v>
      </c>
      <c r="EB473" t="s">
        <v>94</v>
      </c>
      <c r="EC473" t="s">
        <v>94</v>
      </c>
      <c r="ED473" t="s">
        <v>94</v>
      </c>
      <c r="EE473" t="s">
        <v>89</v>
      </c>
      <c r="EF473" t="s">
        <v>425</v>
      </c>
      <c r="EG473" t="s">
        <v>543</v>
      </c>
      <c r="EJ473" t="s">
        <v>526</v>
      </c>
      <c r="EK473" t="b">
        <v>0</v>
      </c>
      <c r="EL473" t="b">
        <v>0</v>
      </c>
      <c r="EM473" t="b">
        <v>0</v>
      </c>
    </row>
    <row r="474" spans="3:143" ht="15">
      <c r="C474" s="82">
        <v>11</v>
      </c>
      <c r="D474" s="5"/>
      <c r="E474" s="4">
        <v>1</v>
      </c>
      <c r="F474" s="5">
        <v>4</v>
      </c>
      <c r="G474" s="5" t="s">
        <v>6261</v>
      </c>
      <c r="H474" s="4" t="s">
        <v>6262</v>
      </c>
      <c r="I474" s="81" t="s">
        <v>817</v>
      </c>
      <c r="J474" s="21"/>
      <c r="K474" s="22">
        <v>750239883</v>
      </c>
      <c r="L474" s="84" t="s">
        <v>6245</v>
      </c>
      <c r="M474" s="23" t="s">
        <v>817</v>
      </c>
      <c r="N474" s="23">
        <v>43898</v>
      </c>
      <c r="O474" s="24" t="s">
        <v>102</v>
      </c>
      <c r="P474" s="24" t="s">
        <v>181</v>
      </c>
      <c r="Q474" s="24">
        <v>1</v>
      </c>
      <c r="R474" s="24">
        <v>4</v>
      </c>
      <c r="S474" t="s">
        <v>528</v>
      </c>
      <c r="T474">
        <v>70</v>
      </c>
      <c r="U474" s="2" t="s">
        <v>163</v>
      </c>
      <c r="V474">
        <v>43898.818912037037</v>
      </c>
      <c r="W474" s="2" t="s">
        <v>444</v>
      </c>
      <c r="X474">
        <v>43900.418888888889</v>
      </c>
      <c r="AB474" t="s">
        <v>9</v>
      </c>
      <c r="AC474" t="s">
        <v>3118</v>
      </c>
      <c r="AD474" t="s">
        <v>819</v>
      </c>
      <c r="AE474">
        <v>832736</v>
      </c>
      <c r="AF474">
        <v>832736</v>
      </c>
      <c r="AG474" t="s">
        <v>183</v>
      </c>
      <c r="AH474" t="s">
        <v>6246</v>
      </c>
      <c r="AI474" t="s">
        <v>6246</v>
      </c>
      <c r="AJ474" t="s">
        <v>601</v>
      </c>
      <c r="AK474" t="s">
        <v>602</v>
      </c>
      <c r="AL474" t="s">
        <v>6247</v>
      </c>
      <c r="AO474" t="s">
        <v>1291</v>
      </c>
      <c r="AP474" t="s">
        <v>3122</v>
      </c>
      <c r="AQ474" t="s">
        <v>1293</v>
      </c>
      <c r="AR474">
        <v>10154</v>
      </c>
      <c r="AS474">
        <v>112400208</v>
      </c>
      <c r="AT474" t="s">
        <v>6248</v>
      </c>
      <c r="AU474" t="s">
        <v>10</v>
      </c>
      <c r="AV474" t="s">
        <v>6249</v>
      </c>
      <c r="AW474" t="s">
        <v>6249</v>
      </c>
      <c r="AX474" t="s">
        <v>6250</v>
      </c>
      <c r="AY474" s="2" t="s">
        <v>6251</v>
      </c>
      <c r="AZ474" t="s">
        <v>6252</v>
      </c>
      <c r="BA474" t="s">
        <v>1561</v>
      </c>
      <c r="BB474" t="s">
        <v>832</v>
      </c>
      <c r="BC474" t="s">
        <v>188</v>
      </c>
      <c r="BD474">
        <v>519000</v>
      </c>
      <c r="BE474">
        <v>8615916332251</v>
      </c>
      <c r="BF474" t="s">
        <v>6253</v>
      </c>
      <c r="BG474" t="b">
        <v>0</v>
      </c>
      <c r="BH474" s="6" t="s">
        <v>6254</v>
      </c>
      <c r="BI474" t="s">
        <v>6255</v>
      </c>
      <c r="BJ474">
        <v>4453163191</v>
      </c>
      <c r="BK474" t="s">
        <v>162</v>
      </c>
      <c r="BL474" t="s">
        <v>161</v>
      </c>
      <c r="BM474" s="2"/>
      <c r="BO474" t="s">
        <v>89</v>
      </c>
      <c r="BP474">
        <v>83014000</v>
      </c>
      <c r="BR474" t="s">
        <v>180</v>
      </c>
      <c r="BS474" t="s">
        <v>103</v>
      </c>
      <c r="BU474">
        <v>0</v>
      </c>
      <c r="BV474">
        <v>76</v>
      </c>
      <c r="BW474">
        <v>0</v>
      </c>
      <c r="BX474">
        <v>0</v>
      </c>
      <c r="BY474">
        <v>0</v>
      </c>
      <c r="BZ474">
        <v>0</v>
      </c>
      <c r="CA474">
        <v>76</v>
      </c>
      <c r="CF474" s="2"/>
      <c r="CH474" s="2"/>
      <c r="CJ474">
        <v>5.3142020950043398E+17</v>
      </c>
      <c r="CK474" t="s">
        <v>165</v>
      </c>
      <c r="CL474">
        <v>43898.583877314813</v>
      </c>
      <c r="CO474" t="s">
        <v>11</v>
      </c>
      <c r="CP474">
        <v>536.30999999999995</v>
      </c>
      <c r="CQ474" t="s">
        <v>11</v>
      </c>
      <c r="CR474">
        <v>536.30999999999995</v>
      </c>
      <c r="CV474" t="s">
        <v>190</v>
      </c>
      <c r="CW474" t="s">
        <v>12</v>
      </c>
      <c r="CX474" t="s">
        <v>12</v>
      </c>
      <c r="CY474" t="s">
        <v>12</v>
      </c>
      <c r="DA474" t="s">
        <v>104</v>
      </c>
      <c r="DD474" t="s">
        <v>93</v>
      </c>
      <c r="DQ474" t="s">
        <v>94</v>
      </c>
      <c r="DR474" t="s">
        <v>94</v>
      </c>
      <c r="DS474" t="s">
        <v>94</v>
      </c>
      <c r="DT474" t="s">
        <v>94</v>
      </c>
      <c r="DU474" t="s">
        <v>94</v>
      </c>
      <c r="DV474" t="s">
        <v>94</v>
      </c>
      <c r="DW474" t="s">
        <v>94</v>
      </c>
      <c r="DX474" s="2" t="s">
        <v>94</v>
      </c>
      <c r="DY474" t="s">
        <v>94</v>
      </c>
      <c r="DZ474" t="s">
        <v>94</v>
      </c>
      <c r="EA474" t="s">
        <v>94</v>
      </c>
      <c r="EB474" t="s">
        <v>94</v>
      </c>
      <c r="EC474" t="s">
        <v>94</v>
      </c>
      <c r="ED474" t="s">
        <v>94</v>
      </c>
      <c r="EE474" t="s">
        <v>89</v>
      </c>
      <c r="EF474" t="s">
        <v>425</v>
      </c>
      <c r="EG474" t="s">
        <v>105</v>
      </c>
      <c r="EJ474" t="s">
        <v>166</v>
      </c>
      <c r="EK474" t="b">
        <v>0</v>
      </c>
      <c r="EL474" t="b">
        <v>0</v>
      </c>
      <c r="EM474" t="b">
        <v>0</v>
      </c>
    </row>
    <row r="475" spans="3:143" ht="15">
      <c r="C475" s="82">
        <v>2</v>
      </c>
      <c r="D475" s="5">
        <v>39</v>
      </c>
      <c r="E475" s="4">
        <v>7</v>
      </c>
      <c r="F475" s="5">
        <v>39</v>
      </c>
      <c r="G475" s="5" t="s">
        <v>6280</v>
      </c>
      <c r="H475" s="4" t="s">
        <v>6281</v>
      </c>
      <c r="I475" s="81" t="s">
        <v>164</v>
      </c>
      <c r="J475" s="21"/>
      <c r="K475" s="22" t="s">
        <v>6278</v>
      </c>
      <c r="L475" s="84" t="s">
        <v>6263</v>
      </c>
      <c r="M475" s="23" t="s">
        <v>447</v>
      </c>
      <c r="N475" s="23">
        <v>43907</v>
      </c>
      <c r="O475" s="24" t="s">
        <v>102</v>
      </c>
      <c r="P475" s="24" t="s">
        <v>480</v>
      </c>
      <c r="Q475" s="24">
        <v>7</v>
      </c>
      <c r="R475" s="24">
        <v>44</v>
      </c>
      <c r="S475" t="s">
        <v>3738</v>
      </c>
      <c r="T475">
        <v>19280.28</v>
      </c>
      <c r="U475" s="2"/>
      <c r="W475" s="2"/>
      <c r="AB475" t="s">
        <v>9</v>
      </c>
      <c r="AC475" t="s">
        <v>2360</v>
      </c>
      <c r="AD475" t="s">
        <v>6195</v>
      </c>
      <c r="AE475" t="s">
        <v>183</v>
      </c>
      <c r="AF475" t="s">
        <v>183</v>
      </c>
      <c r="AG475">
        <v>114560</v>
      </c>
      <c r="AH475" t="s">
        <v>6264</v>
      </c>
      <c r="AI475" t="s">
        <v>6264</v>
      </c>
      <c r="AJ475" t="s">
        <v>1214</v>
      </c>
      <c r="AK475" t="s">
        <v>1215</v>
      </c>
      <c r="AL475" t="s">
        <v>6265</v>
      </c>
      <c r="AO475" t="s">
        <v>6266</v>
      </c>
      <c r="AP475" t="s">
        <v>2364</v>
      </c>
      <c r="AR475">
        <v>8050</v>
      </c>
      <c r="AS475">
        <v>41585859749</v>
      </c>
      <c r="AT475" t="s">
        <v>6267</v>
      </c>
      <c r="AU475" t="s">
        <v>10</v>
      </c>
      <c r="AV475" t="s">
        <v>6268</v>
      </c>
      <c r="AW475" t="s">
        <v>6200</v>
      </c>
      <c r="AX475" t="s">
        <v>6269</v>
      </c>
      <c r="AY475" s="2" t="s">
        <v>6270</v>
      </c>
      <c r="AZ475" t="s">
        <v>6271</v>
      </c>
      <c r="BA475" t="s">
        <v>6201</v>
      </c>
      <c r="BB475" t="s">
        <v>6272</v>
      </c>
      <c r="BC475" t="s">
        <v>2872</v>
      </c>
      <c r="BD475">
        <v>361101</v>
      </c>
      <c r="BE475" t="s">
        <v>6273</v>
      </c>
      <c r="BF475" t="s">
        <v>6274</v>
      </c>
      <c r="BG475" t="b">
        <v>0</v>
      </c>
      <c r="BH475" s="6" t="s">
        <v>6275</v>
      </c>
      <c r="BI475" t="s">
        <v>6276</v>
      </c>
      <c r="BJ475">
        <v>4453163191</v>
      </c>
      <c r="BK475" t="s">
        <v>162</v>
      </c>
      <c r="BL475" t="s">
        <v>161</v>
      </c>
      <c r="BM475" s="2"/>
      <c r="BN475" t="s">
        <v>6277</v>
      </c>
      <c r="BR475" t="s">
        <v>189</v>
      </c>
      <c r="BS475" t="s">
        <v>103</v>
      </c>
      <c r="BU475">
        <v>0</v>
      </c>
      <c r="BV475">
        <v>0</v>
      </c>
      <c r="BW475">
        <v>0</v>
      </c>
      <c r="BX475">
        <v>0</v>
      </c>
      <c r="BY475">
        <v>0</v>
      </c>
      <c r="BZ475">
        <v>0</v>
      </c>
      <c r="CA475">
        <v>0</v>
      </c>
      <c r="CF475" s="2"/>
      <c r="CH475" s="2"/>
      <c r="CK475" t="s">
        <v>445</v>
      </c>
      <c r="CL475">
        <v>43907.557974537034</v>
      </c>
      <c r="CO475" t="s">
        <v>11</v>
      </c>
      <c r="CP475">
        <v>137237.03</v>
      </c>
      <c r="CQ475" t="s">
        <v>11</v>
      </c>
      <c r="CR475">
        <v>137237.03</v>
      </c>
      <c r="CV475" t="s">
        <v>525</v>
      </c>
      <c r="CW475" t="s">
        <v>12</v>
      </c>
      <c r="CX475" t="s">
        <v>12</v>
      </c>
      <c r="CY475" t="s">
        <v>12</v>
      </c>
      <c r="DA475" t="s">
        <v>104</v>
      </c>
      <c r="DD475" t="s">
        <v>93</v>
      </c>
      <c r="DQ475" t="s">
        <v>94</v>
      </c>
      <c r="DR475" t="s">
        <v>94</v>
      </c>
      <c r="DS475" t="s">
        <v>94</v>
      </c>
      <c r="DT475" t="s">
        <v>94</v>
      </c>
      <c r="DU475" t="s">
        <v>94</v>
      </c>
      <c r="DV475" t="s">
        <v>94</v>
      </c>
      <c r="DW475" t="s">
        <v>94</v>
      </c>
      <c r="DX475" s="2" t="s">
        <v>94</v>
      </c>
      <c r="DY475" t="s">
        <v>94</v>
      </c>
      <c r="DZ475" t="s">
        <v>94</v>
      </c>
      <c r="EA475" t="s">
        <v>94</v>
      </c>
      <c r="EB475" t="s">
        <v>94</v>
      </c>
      <c r="EC475" t="s">
        <v>94</v>
      </c>
      <c r="ED475" t="s">
        <v>94</v>
      </c>
      <c r="EE475" t="s">
        <v>89</v>
      </c>
      <c r="EF475" t="s">
        <v>94</v>
      </c>
      <c r="EG475" t="s">
        <v>543</v>
      </c>
      <c r="EJ475" t="s">
        <v>166</v>
      </c>
      <c r="EK475" t="b">
        <v>0</v>
      </c>
      <c r="EL475" t="b">
        <v>0</v>
      </c>
      <c r="EM475" t="b">
        <v>0</v>
      </c>
    </row>
    <row r="476" spans="3:143">
      <c r="C476" s="4">
        <v>2</v>
      </c>
      <c r="D476" s="4">
        <v>5</v>
      </c>
      <c r="E476" s="4">
        <v>2</v>
      </c>
      <c r="F476" s="4">
        <v>5</v>
      </c>
      <c r="G476" s="5" t="s">
        <v>6280</v>
      </c>
      <c r="H476" s="4" t="s">
        <v>6281</v>
      </c>
      <c r="I476" s="4" t="s">
        <v>164</v>
      </c>
      <c r="J476" s="5"/>
      <c r="K476" s="22" t="s">
        <v>6279</v>
      </c>
      <c r="L476" s="84" t="s">
        <v>6263</v>
      </c>
      <c r="M476" s="23" t="s">
        <v>447</v>
      </c>
      <c r="N476" s="23">
        <v>43907</v>
      </c>
      <c r="O476" s="24" t="s">
        <v>102</v>
      </c>
      <c r="P476" s="24" t="s">
        <v>480</v>
      </c>
      <c r="Q476" s="24">
        <v>2</v>
      </c>
      <c r="R476" s="24">
        <v>44</v>
      </c>
      <c r="S476" t="s">
        <v>3738</v>
      </c>
      <c r="T476">
        <v>19280.28</v>
      </c>
      <c r="U476" s="2"/>
      <c r="W476" s="2"/>
      <c r="AB476" t="s">
        <v>9</v>
      </c>
      <c r="AC476" t="s">
        <v>2360</v>
      </c>
      <c r="AD476" t="s">
        <v>6195</v>
      </c>
      <c r="AE476" t="s">
        <v>183</v>
      </c>
      <c r="AF476" t="s">
        <v>183</v>
      </c>
      <c r="AG476">
        <v>114560</v>
      </c>
      <c r="AH476" t="s">
        <v>6264</v>
      </c>
      <c r="AI476" t="s">
        <v>6264</v>
      </c>
      <c r="AJ476" t="s">
        <v>1214</v>
      </c>
      <c r="AK476" t="s">
        <v>1215</v>
      </c>
      <c r="AL476" t="s">
        <v>6265</v>
      </c>
      <c r="AO476" t="s">
        <v>6266</v>
      </c>
      <c r="AP476" t="s">
        <v>2364</v>
      </c>
      <c r="AR476">
        <v>8050</v>
      </c>
      <c r="AS476">
        <v>41585859749</v>
      </c>
      <c r="AT476" t="s">
        <v>6267</v>
      </c>
      <c r="AU476" t="s">
        <v>10</v>
      </c>
      <c r="AV476" t="s">
        <v>6268</v>
      </c>
      <c r="AW476" t="s">
        <v>6200</v>
      </c>
      <c r="AX476" t="s">
        <v>6269</v>
      </c>
      <c r="AY476" t="s">
        <v>6270</v>
      </c>
      <c r="AZ476" t="s">
        <v>6271</v>
      </c>
      <c r="BA476" t="s">
        <v>6201</v>
      </c>
      <c r="BB476" t="s">
        <v>6272</v>
      </c>
      <c r="BC476" t="s">
        <v>2872</v>
      </c>
      <c r="BD476">
        <v>361101</v>
      </c>
      <c r="BE476" t="s">
        <v>6273</v>
      </c>
      <c r="BF476" t="s">
        <v>6274</v>
      </c>
      <c r="BG476" t="b">
        <v>0</v>
      </c>
      <c r="BH476" s="6" t="s">
        <v>6275</v>
      </c>
      <c r="BI476" t="s">
        <v>6276</v>
      </c>
      <c r="BJ476">
        <v>4453163191</v>
      </c>
      <c r="BK476" t="s">
        <v>162</v>
      </c>
      <c r="BL476" t="s">
        <v>161</v>
      </c>
      <c r="BM476" s="2"/>
      <c r="BN476" t="s">
        <v>6277</v>
      </c>
      <c r="BR476" t="s">
        <v>189</v>
      </c>
      <c r="BS476" t="s">
        <v>103</v>
      </c>
      <c r="BU476">
        <v>0</v>
      </c>
      <c r="BV476">
        <v>0</v>
      </c>
      <c r="BW476">
        <v>0</v>
      </c>
      <c r="BX476">
        <v>0</v>
      </c>
      <c r="BY476">
        <v>0</v>
      </c>
      <c r="BZ476">
        <v>0</v>
      </c>
      <c r="CA476">
        <v>0</v>
      </c>
      <c r="CF476" s="2"/>
      <c r="CH476" s="2"/>
      <c r="CK476" t="s">
        <v>445</v>
      </c>
      <c r="CL476">
        <v>43907.557974537034</v>
      </c>
      <c r="CO476" t="s">
        <v>11</v>
      </c>
      <c r="CP476">
        <v>137237.03</v>
      </c>
      <c r="CQ476" t="s">
        <v>11</v>
      </c>
      <c r="CR476">
        <v>137237.03</v>
      </c>
      <c r="CV476" t="s">
        <v>525</v>
      </c>
      <c r="CW476" t="s">
        <v>12</v>
      </c>
      <c r="CX476" t="s">
        <v>12</v>
      </c>
      <c r="CY476" t="s">
        <v>12</v>
      </c>
      <c r="DA476" t="s">
        <v>104</v>
      </c>
      <c r="DD476" t="s">
        <v>93</v>
      </c>
      <c r="DQ476" t="s">
        <v>94</v>
      </c>
      <c r="DR476" t="s">
        <v>94</v>
      </c>
      <c r="DS476" t="s">
        <v>94</v>
      </c>
      <c r="DT476" t="s">
        <v>94</v>
      </c>
      <c r="DU476" t="s">
        <v>94</v>
      </c>
      <c r="DV476" t="s">
        <v>94</v>
      </c>
      <c r="DW476" t="s">
        <v>94</v>
      </c>
      <c r="DX476" s="2" t="s">
        <v>94</v>
      </c>
      <c r="DY476" t="s">
        <v>94</v>
      </c>
      <c r="DZ476" t="s">
        <v>94</v>
      </c>
      <c r="EA476" t="s">
        <v>94</v>
      </c>
      <c r="EB476" t="s">
        <v>94</v>
      </c>
      <c r="EC476" t="s">
        <v>94</v>
      </c>
      <c r="ED476" t="s">
        <v>94</v>
      </c>
      <c r="EE476" t="s">
        <v>89</v>
      </c>
      <c r="EF476" t="s">
        <v>94</v>
      </c>
      <c r="EG476" t="s">
        <v>543</v>
      </c>
      <c r="EJ476" t="s">
        <v>166</v>
      </c>
      <c r="EK476" t="b">
        <v>0</v>
      </c>
      <c r="EL476" t="b">
        <v>0</v>
      </c>
      <c r="EM476" t="b">
        <v>0</v>
      </c>
    </row>
    <row r="477" spans="3:143" ht="15">
      <c r="C477" s="82">
        <v>23</v>
      </c>
      <c r="D477" s="5"/>
      <c r="E477" s="4">
        <v>1</v>
      </c>
      <c r="F477" s="5">
        <v>2.35</v>
      </c>
      <c r="G477" s="5" t="s">
        <v>6307</v>
      </c>
      <c r="H477" s="4" t="s">
        <v>6308</v>
      </c>
      <c r="I477" s="81" t="s">
        <v>466</v>
      </c>
      <c r="J477" s="21"/>
      <c r="K477" s="22" t="s">
        <v>6282</v>
      </c>
      <c r="L477" s="84" t="s">
        <v>6211</v>
      </c>
      <c r="M477" s="23" t="s">
        <v>466</v>
      </c>
      <c r="N477" s="23">
        <v>43896</v>
      </c>
      <c r="O477" s="24" t="s">
        <v>102</v>
      </c>
      <c r="P477" s="24" t="s">
        <v>181</v>
      </c>
      <c r="Q477" s="24">
        <v>1</v>
      </c>
      <c r="R477" s="24">
        <v>2.35</v>
      </c>
      <c r="S477" t="s">
        <v>990</v>
      </c>
      <c r="T477">
        <v>150</v>
      </c>
      <c r="U477" s="2" t="s">
        <v>163</v>
      </c>
      <c r="V477">
        <v>43896.789027777777</v>
      </c>
      <c r="W477" s="2" t="s">
        <v>444</v>
      </c>
      <c r="X477">
        <v>43898.449733796297</v>
      </c>
      <c r="AB477" t="s">
        <v>9</v>
      </c>
      <c r="AC477" t="s">
        <v>6283</v>
      </c>
      <c r="AD477" t="s">
        <v>191</v>
      </c>
      <c r="AE477">
        <v>30010711</v>
      </c>
      <c r="AF477">
        <v>30010711</v>
      </c>
      <c r="AG477" t="s">
        <v>183</v>
      </c>
      <c r="AH477" t="s">
        <v>6284</v>
      </c>
      <c r="AI477" t="s">
        <v>6284</v>
      </c>
      <c r="AJ477" t="s">
        <v>369</v>
      </c>
      <c r="AK477" t="s">
        <v>370</v>
      </c>
      <c r="AL477" t="s">
        <v>6285</v>
      </c>
      <c r="AO477" t="s">
        <v>6286</v>
      </c>
      <c r="AP477" t="s">
        <v>6287</v>
      </c>
      <c r="AQ477" t="s">
        <v>1352</v>
      </c>
      <c r="AR477">
        <v>3215</v>
      </c>
      <c r="AS477">
        <v>61393304541</v>
      </c>
      <c r="AT477" t="s">
        <v>6288</v>
      </c>
      <c r="AU477" t="s">
        <v>10</v>
      </c>
      <c r="AV477" t="s">
        <v>6289</v>
      </c>
      <c r="AW477" t="s">
        <v>6289</v>
      </c>
      <c r="AX477" t="s">
        <v>6290</v>
      </c>
      <c r="AY477" s="2" t="s">
        <v>6291</v>
      </c>
      <c r="BA477" t="s">
        <v>726</v>
      </c>
      <c r="BB477" t="s">
        <v>192</v>
      </c>
      <c r="BC477" t="s">
        <v>188</v>
      </c>
      <c r="BD477">
        <v>523285</v>
      </c>
      <c r="BE477" t="s">
        <v>6292</v>
      </c>
      <c r="BF477" t="s">
        <v>6293</v>
      </c>
      <c r="BG477" t="b">
        <v>0</v>
      </c>
      <c r="BH477" s="6" t="s">
        <v>6294</v>
      </c>
      <c r="BI477" t="s">
        <v>6295</v>
      </c>
      <c r="BJ477">
        <v>4453163191</v>
      </c>
      <c r="BK477" t="s">
        <v>162</v>
      </c>
      <c r="BL477" t="s">
        <v>161</v>
      </c>
      <c r="BM477" s="2"/>
      <c r="BO477" t="s">
        <v>89</v>
      </c>
      <c r="BP477">
        <v>3926909090</v>
      </c>
      <c r="BR477" t="s">
        <v>180</v>
      </c>
      <c r="BS477" t="s">
        <v>103</v>
      </c>
      <c r="BU477">
        <v>57.94</v>
      </c>
      <c r="BV477">
        <v>100.14</v>
      </c>
      <c r="BW477">
        <v>0</v>
      </c>
      <c r="BX477">
        <v>0</v>
      </c>
      <c r="BY477">
        <v>0</v>
      </c>
      <c r="BZ477">
        <v>0</v>
      </c>
      <c r="CA477">
        <v>158.08000000000001</v>
      </c>
      <c r="CF477" s="2"/>
      <c r="CH477" s="2"/>
      <c r="CJ477">
        <v>5.3142020950042099E+17</v>
      </c>
      <c r="CK477" t="s">
        <v>445</v>
      </c>
      <c r="CL477">
        <v>43896.562662037039</v>
      </c>
      <c r="CO477" t="s">
        <v>11</v>
      </c>
      <c r="CP477">
        <v>712.32</v>
      </c>
      <c r="CQ477" t="s">
        <v>11</v>
      </c>
      <c r="CR477">
        <v>712.32</v>
      </c>
      <c r="CV477" t="s">
        <v>190</v>
      </c>
      <c r="CW477" t="s">
        <v>12</v>
      </c>
      <c r="CX477" t="s">
        <v>12</v>
      </c>
      <c r="CY477" t="s">
        <v>12</v>
      </c>
      <c r="DA477" t="s">
        <v>104</v>
      </c>
      <c r="DD477" t="s">
        <v>93</v>
      </c>
      <c r="DQ477" t="s">
        <v>94</v>
      </c>
      <c r="DR477" t="s">
        <v>94</v>
      </c>
      <c r="DS477" t="s">
        <v>94</v>
      </c>
      <c r="DT477" t="s">
        <v>94</v>
      </c>
      <c r="DU477" t="s">
        <v>94</v>
      </c>
      <c r="DV477" t="s">
        <v>94</v>
      </c>
      <c r="DW477" t="s">
        <v>94</v>
      </c>
      <c r="DX477" s="2" t="s">
        <v>94</v>
      </c>
      <c r="DY477" t="s">
        <v>94</v>
      </c>
      <c r="DZ477" t="s">
        <v>94</v>
      </c>
      <c r="EA477" t="s">
        <v>94</v>
      </c>
      <c r="EB477" t="s">
        <v>94</v>
      </c>
      <c r="EC477" t="s">
        <v>94</v>
      </c>
      <c r="ED477" t="s">
        <v>94</v>
      </c>
      <c r="EE477" t="s">
        <v>89</v>
      </c>
      <c r="EF477" t="s">
        <v>425</v>
      </c>
      <c r="EG477" t="s">
        <v>105</v>
      </c>
      <c r="EJ477" t="s">
        <v>166</v>
      </c>
      <c r="EK477" t="b">
        <v>0</v>
      </c>
      <c r="EL477" t="b">
        <v>0</v>
      </c>
      <c r="EM477" t="b">
        <v>0</v>
      </c>
    </row>
    <row r="478" spans="3:143" ht="15">
      <c r="C478" s="82">
        <v>23</v>
      </c>
      <c r="D478" s="5"/>
      <c r="E478" s="4">
        <v>1</v>
      </c>
      <c r="F478" s="5">
        <v>8.35</v>
      </c>
      <c r="G478" s="5" t="s">
        <v>6309</v>
      </c>
      <c r="H478" s="4" t="s">
        <v>3942</v>
      </c>
      <c r="I478" s="81" t="s">
        <v>466</v>
      </c>
      <c r="J478" s="21"/>
      <c r="K478" s="22" t="s">
        <v>6296</v>
      </c>
      <c r="L478" s="84" t="s">
        <v>6218</v>
      </c>
      <c r="M478" s="23" t="s">
        <v>409</v>
      </c>
      <c r="N478" s="23">
        <v>43903</v>
      </c>
      <c r="O478" s="24" t="s">
        <v>102</v>
      </c>
      <c r="P478" s="24" t="s">
        <v>181</v>
      </c>
      <c r="Q478" s="24">
        <v>1</v>
      </c>
      <c r="R478" s="24">
        <v>8.35</v>
      </c>
      <c r="S478" t="s">
        <v>11</v>
      </c>
      <c r="T478">
        <v>415</v>
      </c>
      <c r="U478" s="2" t="s">
        <v>163</v>
      </c>
      <c r="V478">
        <v>43903.793391203704</v>
      </c>
      <c r="W478" s="2" t="s">
        <v>444</v>
      </c>
      <c r="X478">
        <v>43905.45621527778</v>
      </c>
      <c r="AB478" t="s">
        <v>9</v>
      </c>
      <c r="AC478" t="s">
        <v>1347</v>
      </c>
      <c r="AD478" t="s">
        <v>209</v>
      </c>
      <c r="AE478">
        <v>20024556</v>
      </c>
      <c r="AF478">
        <v>20024556</v>
      </c>
      <c r="AG478" t="s">
        <v>183</v>
      </c>
      <c r="AH478" t="s">
        <v>6297</v>
      </c>
      <c r="AI478" t="s">
        <v>6297</v>
      </c>
      <c r="AJ478" t="s">
        <v>369</v>
      </c>
      <c r="AK478" t="s">
        <v>370</v>
      </c>
      <c r="AL478" t="s">
        <v>6298</v>
      </c>
      <c r="AO478" t="s">
        <v>6299</v>
      </c>
      <c r="AP478" t="s">
        <v>1351</v>
      </c>
      <c r="AQ478" t="s">
        <v>1352</v>
      </c>
      <c r="AR478">
        <v>3130</v>
      </c>
      <c r="AS478">
        <v>399825000</v>
      </c>
      <c r="AT478" t="s">
        <v>6300</v>
      </c>
      <c r="AU478" t="s">
        <v>10</v>
      </c>
      <c r="AV478" t="s">
        <v>6301</v>
      </c>
      <c r="AW478" t="s">
        <v>6301</v>
      </c>
      <c r="AX478" t="s">
        <v>6302</v>
      </c>
      <c r="AY478" s="2" t="s">
        <v>6303</v>
      </c>
      <c r="AZ478" t="s">
        <v>6304</v>
      </c>
      <c r="BA478" t="s">
        <v>299</v>
      </c>
      <c r="BB478" t="s">
        <v>300</v>
      </c>
      <c r="BC478" t="s">
        <v>188</v>
      </c>
      <c r="BD478">
        <v>511431</v>
      </c>
      <c r="BE478" t="s">
        <v>6310</v>
      </c>
      <c r="BF478" t="s">
        <v>6305</v>
      </c>
      <c r="BG478" t="b">
        <v>0</v>
      </c>
      <c r="BH478" s="6" t="s">
        <v>6306</v>
      </c>
      <c r="BI478" t="s">
        <v>3875</v>
      </c>
      <c r="BJ478">
        <v>4453163191</v>
      </c>
      <c r="BK478" t="s">
        <v>162</v>
      </c>
      <c r="BL478" t="s">
        <v>161</v>
      </c>
      <c r="BM478" s="2"/>
      <c r="BO478" t="s">
        <v>89</v>
      </c>
      <c r="BP478">
        <v>9405200090</v>
      </c>
      <c r="BR478" t="s">
        <v>189</v>
      </c>
      <c r="BS478" t="s">
        <v>103</v>
      </c>
      <c r="BU478">
        <v>0</v>
      </c>
      <c r="BV478">
        <v>59.34</v>
      </c>
      <c r="BW478">
        <v>0</v>
      </c>
      <c r="BX478">
        <v>0</v>
      </c>
      <c r="BY478">
        <v>0</v>
      </c>
      <c r="BZ478">
        <v>0</v>
      </c>
      <c r="CA478">
        <v>59.34</v>
      </c>
      <c r="CF478" s="2"/>
      <c r="CH478" s="2"/>
      <c r="CJ478">
        <v>5.3142020950048102E+17</v>
      </c>
      <c r="CK478" t="s">
        <v>445</v>
      </c>
      <c r="CL478">
        <v>43903.559317129628</v>
      </c>
      <c r="CO478" t="s">
        <v>11</v>
      </c>
      <c r="CP478">
        <v>415</v>
      </c>
      <c r="CQ478" t="s">
        <v>11</v>
      </c>
      <c r="CR478">
        <v>415</v>
      </c>
      <c r="CV478" t="s">
        <v>190</v>
      </c>
      <c r="CW478" t="s">
        <v>12</v>
      </c>
      <c r="CX478" t="s">
        <v>12</v>
      </c>
      <c r="CY478" t="s">
        <v>12</v>
      </c>
      <c r="DA478" t="s">
        <v>104</v>
      </c>
      <c r="DD478" t="s">
        <v>93</v>
      </c>
      <c r="DQ478" t="s">
        <v>94</v>
      </c>
      <c r="DR478" t="s">
        <v>94</v>
      </c>
      <c r="DS478" t="s">
        <v>94</v>
      </c>
      <c r="DT478" t="s">
        <v>94</v>
      </c>
      <c r="DU478" t="s">
        <v>94</v>
      </c>
      <c r="DV478" t="s">
        <v>94</v>
      </c>
      <c r="DW478" t="s">
        <v>94</v>
      </c>
      <c r="DX478" s="2" t="s">
        <v>94</v>
      </c>
      <c r="DY478" t="s">
        <v>94</v>
      </c>
      <c r="DZ478" t="s">
        <v>94</v>
      </c>
      <c r="EA478" t="s">
        <v>94</v>
      </c>
      <c r="EB478" t="s">
        <v>94</v>
      </c>
      <c r="EC478" t="s">
        <v>94</v>
      </c>
      <c r="ED478" t="s">
        <v>94</v>
      </c>
      <c r="EE478" t="s">
        <v>89</v>
      </c>
      <c r="EF478" t="s">
        <v>425</v>
      </c>
      <c r="EG478" t="s">
        <v>105</v>
      </c>
      <c r="EJ478" t="s">
        <v>166</v>
      </c>
      <c r="EK478" t="b">
        <v>0</v>
      </c>
      <c r="EL478" t="b">
        <v>0</v>
      </c>
      <c r="EM478" t="b">
        <v>0</v>
      </c>
    </row>
    <row r="479" spans="3:143" ht="15">
      <c r="C479" s="82">
        <v>23</v>
      </c>
      <c r="D479" s="5"/>
      <c r="E479" s="4">
        <v>1</v>
      </c>
      <c r="F479" s="5">
        <v>5</v>
      </c>
      <c r="G479" s="5" t="s">
        <v>6338</v>
      </c>
      <c r="H479" s="4" t="s">
        <v>203</v>
      </c>
      <c r="I479" s="81" t="s">
        <v>920</v>
      </c>
      <c r="J479" s="21"/>
      <c r="K479" s="22" t="s">
        <v>6311</v>
      </c>
      <c r="L479" s="84" t="s">
        <v>6312</v>
      </c>
      <c r="M479" s="23" t="s">
        <v>905</v>
      </c>
      <c r="N479" s="23">
        <v>43908</v>
      </c>
      <c r="O479" s="24" t="s">
        <v>102</v>
      </c>
      <c r="P479" s="24" t="s">
        <v>195</v>
      </c>
      <c r="Q479" s="24">
        <v>1</v>
      </c>
      <c r="R479" s="24">
        <v>5</v>
      </c>
      <c r="S479" t="s">
        <v>319</v>
      </c>
      <c r="T479">
        <v>5</v>
      </c>
      <c r="U479" s="2" t="s">
        <v>163</v>
      </c>
      <c r="V479">
        <v>43908.823310185187</v>
      </c>
      <c r="W479" s="2" t="s">
        <v>444</v>
      </c>
      <c r="X479">
        <v>43910.472557870373</v>
      </c>
      <c r="AB479" t="s">
        <v>9</v>
      </c>
      <c r="AC479" t="s">
        <v>1230</v>
      </c>
      <c r="AD479" t="s">
        <v>209</v>
      </c>
      <c r="AE479">
        <v>85277</v>
      </c>
      <c r="AF479">
        <v>85277</v>
      </c>
      <c r="AG479" t="s">
        <v>183</v>
      </c>
      <c r="AH479" t="s">
        <v>6313</v>
      </c>
      <c r="AI479" t="s">
        <v>6313</v>
      </c>
      <c r="AJ479" t="s">
        <v>1232</v>
      </c>
      <c r="AK479" t="s">
        <v>1233</v>
      </c>
      <c r="AL479" t="s">
        <v>6314</v>
      </c>
      <c r="AO479" t="s">
        <v>1236</v>
      </c>
      <c r="AP479" t="s">
        <v>1233</v>
      </c>
      <c r="AR479">
        <v>609024</v>
      </c>
      <c r="AS479" t="s">
        <v>6339</v>
      </c>
      <c r="AT479" t="s">
        <v>6315</v>
      </c>
      <c r="AU479" t="s">
        <v>10</v>
      </c>
      <c r="AV479" t="s">
        <v>6316</v>
      </c>
      <c r="AW479" t="s">
        <v>6316</v>
      </c>
      <c r="AX479" t="s">
        <v>6317</v>
      </c>
      <c r="AY479" s="2" t="s">
        <v>6318</v>
      </c>
      <c r="AZ479" t="s">
        <v>6319</v>
      </c>
      <c r="BA479" t="s">
        <v>520</v>
      </c>
      <c r="BB479" t="s">
        <v>223</v>
      </c>
      <c r="BC479" t="s">
        <v>188</v>
      </c>
      <c r="BD479">
        <v>510053</v>
      </c>
      <c r="BE479" t="s">
        <v>6340</v>
      </c>
      <c r="BF479" t="s">
        <v>6320</v>
      </c>
      <c r="BG479" t="b">
        <v>0</v>
      </c>
      <c r="BH479" s="6" t="s">
        <v>6321</v>
      </c>
      <c r="BI479" t="s">
        <v>198</v>
      </c>
      <c r="BJ479">
        <v>4453163191</v>
      </c>
      <c r="BK479" t="s">
        <v>162</v>
      </c>
      <c r="BL479" t="s">
        <v>161</v>
      </c>
      <c r="BM479" s="2"/>
      <c r="BO479" t="s">
        <v>89</v>
      </c>
      <c r="BR479" t="s">
        <v>180</v>
      </c>
      <c r="BS479" t="s">
        <v>103</v>
      </c>
      <c r="BU479">
        <v>0</v>
      </c>
      <c r="BV479">
        <v>0</v>
      </c>
      <c r="BW479">
        <v>0</v>
      </c>
      <c r="BX479">
        <v>0</v>
      </c>
      <c r="BY479">
        <v>0</v>
      </c>
      <c r="BZ479">
        <v>0</v>
      </c>
      <c r="CA479">
        <v>0</v>
      </c>
      <c r="CF479" s="2"/>
      <c r="CH479" s="2"/>
      <c r="CJ479">
        <v>5.3142020910036198E+17</v>
      </c>
      <c r="CK479" t="s">
        <v>445</v>
      </c>
      <c r="CL479">
        <v>43908.375740740739</v>
      </c>
      <c r="CO479" t="s">
        <v>11</v>
      </c>
      <c r="CP479">
        <v>34.42</v>
      </c>
      <c r="CQ479" t="s">
        <v>11</v>
      </c>
      <c r="CR479">
        <v>34.42</v>
      </c>
      <c r="CV479" t="s">
        <v>190</v>
      </c>
      <c r="CW479" t="s">
        <v>12</v>
      </c>
      <c r="CX479" t="s">
        <v>12</v>
      </c>
      <c r="CY479" t="s">
        <v>12</v>
      </c>
      <c r="DA479" t="s">
        <v>104</v>
      </c>
      <c r="DD479" t="s">
        <v>93</v>
      </c>
      <c r="DQ479" t="s">
        <v>94</v>
      </c>
      <c r="DR479" t="s">
        <v>94</v>
      </c>
      <c r="DS479" t="s">
        <v>94</v>
      </c>
      <c r="DT479" t="s">
        <v>94</v>
      </c>
      <c r="DU479" t="s">
        <v>94</v>
      </c>
      <c r="DV479" t="s">
        <v>94</v>
      </c>
      <c r="DW479" t="s">
        <v>94</v>
      </c>
      <c r="DX479" s="2" t="s">
        <v>94</v>
      </c>
      <c r="DY479" t="s">
        <v>94</v>
      </c>
      <c r="DZ479" t="s">
        <v>94</v>
      </c>
      <c r="EA479" t="s">
        <v>94</v>
      </c>
      <c r="EB479" t="s">
        <v>94</v>
      </c>
      <c r="EC479" t="s">
        <v>94</v>
      </c>
      <c r="ED479" t="s">
        <v>94</v>
      </c>
      <c r="EE479" t="s">
        <v>89</v>
      </c>
      <c r="EF479" t="s">
        <v>425</v>
      </c>
      <c r="EG479" t="s">
        <v>105</v>
      </c>
      <c r="EJ479" t="s">
        <v>166</v>
      </c>
      <c r="EK479" t="b">
        <v>0</v>
      </c>
      <c r="EL479" t="b">
        <v>0</v>
      </c>
      <c r="EM479" t="b">
        <v>0</v>
      </c>
    </row>
    <row r="480" spans="3:143" ht="15">
      <c r="C480" s="82" t="s">
        <v>6341</v>
      </c>
      <c r="D480" s="5"/>
      <c r="E480" s="4">
        <v>1</v>
      </c>
      <c r="F480" s="5">
        <v>0.2</v>
      </c>
      <c r="G480" s="5" t="s">
        <v>6342</v>
      </c>
      <c r="H480" s="4" t="s">
        <v>1253</v>
      </c>
      <c r="I480" s="81" t="s">
        <v>466</v>
      </c>
      <c r="J480" s="21"/>
      <c r="K480" s="22" t="s">
        <v>6322</v>
      </c>
      <c r="L480" s="84" t="s">
        <v>6323</v>
      </c>
      <c r="M480" s="23" t="s">
        <v>409</v>
      </c>
      <c r="N480" s="23">
        <v>43910</v>
      </c>
      <c r="O480" s="24" t="s">
        <v>102</v>
      </c>
      <c r="P480" s="24" t="s">
        <v>179</v>
      </c>
      <c r="Q480" s="24">
        <v>1</v>
      </c>
      <c r="R480" s="24">
        <v>0.2</v>
      </c>
      <c r="S480" t="s">
        <v>319</v>
      </c>
      <c r="T480">
        <v>33</v>
      </c>
      <c r="U480" s="2" t="s">
        <v>163</v>
      </c>
      <c r="V480">
        <v>43910.810555555552</v>
      </c>
      <c r="W480" s="2" t="s">
        <v>444</v>
      </c>
      <c r="X480">
        <v>43910.881666666668</v>
      </c>
      <c r="AB480" t="s">
        <v>9</v>
      </c>
      <c r="AC480" t="s">
        <v>1531</v>
      </c>
      <c r="AD480" t="s">
        <v>241</v>
      </c>
      <c r="AE480">
        <v>3001714</v>
      </c>
      <c r="AF480">
        <v>3001714</v>
      </c>
      <c r="AG480" t="s">
        <v>6343</v>
      </c>
      <c r="AH480" t="s">
        <v>6324</v>
      </c>
      <c r="AI480" t="s">
        <v>6324</v>
      </c>
      <c r="AJ480" t="s">
        <v>1533</v>
      </c>
      <c r="AK480" t="s">
        <v>1534</v>
      </c>
      <c r="AL480" t="s">
        <v>6325</v>
      </c>
      <c r="AM480" t="s">
        <v>6326</v>
      </c>
      <c r="AO480" t="s">
        <v>6327</v>
      </c>
      <c r="AP480" t="s">
        <v>1538</v>
      </c>
      <c r="AQ480" t="s">
        <v>1539</v>
      </c>
      <c r="AR480">
        <v>2010012</v>
      </c>
      <c r="AS480" t="s">
        <v>6328</v>
      </c>
      <c r="AT480" t="s">
        <v>6329</v>
      </c>
      <c r="AU480" t="s">
        <v>10</v>
      </c>
      <c r="AV480" t="s">
        <v>6330</v>
      </c>
      <c r="AW480" t="s">
        <v>6330</v>
      </c>
      <c r="AX480" t="s">
        <v>6331</v>
      </c>
      <c r="AY480" s="2" t="s">
        <v>6332</v>
      </c>
      <c r="BA480" t="s">
        <v>1226</v>
      </c>
      <c r="BB480" t="s">
        <v>246</v>
      </c>
      <c r="BC480" t="s">
        <v>188</v>
      </c>
      <c r="BD480">
        <v>516003</v>
      </c>
      <c r="BE480" t="s">
        <v>6333</v>
      </c>
      <c r="BF480" t="s">
        <v>6334</v>
      </c>
      <c r="BG480" t="b">
        <v>0</v>
      </c>
      <c r="BH480" s="6" t="s">
        <v>6335</v>
      </c>
      <c r="BI480" t="s">
        <v>6336</v>
      </c>
      <c r="BJ480">
        <v>4453163191</v>
      </c>
      <c r="BK480" t="s">
        <v>162</v>
      </c>
      <c r="BL480" t="s">
        <v>161</v>
      </c>
      <c r="BM480" s="2"/>
      <c r="BN480" t="s">
        <v>6337</v>
      </c>
      <c r="BO480" t="s">
        <v>89</v>
      </c>
      <c r="BP480">
        <v>85369090</v>
      </c>
      <c r="BR480" t="s">
        <v>189</v>
      </c>
      <c r="BS480" t="s">
        <v>103</v>
      </c>
      <c r="BU480">
        <v>0</v>
      </c>
      <c r="BV480">
        <v>0</v>
      </c>
      <c r="BW480">
        <v>0</v>
      </c>
      <c r="BX480">
        <v>0</v>
      </c>
      <c r="BY480">
        <v>0</v>
      </c>
      <c r="BZ480">
        <v>0</v>
      </c>
      <c r="CA480">
        <v>0</v>
      </c>
      <c r="CF480" s="2"/>
      <c r="CH480" s="2"/>
      <c r="CJ480">
        <v>5.3142020950053901E+17</v>
      </c>
      <c r="CK480" t="s">
        <v>445</v>
      </c>
      <c r="CL480">
        <v>43910.377592592595</v>
      </c>
      <c r="CO480" t="s">
        <v>11</v>
      </c>
      <c r="CP480">
        <v>227.19</v>
      </c>
      <c r="CQ480" t="s">
        <v>11</v>
      </c>
      <c r="CR480">
        <v>227.19</v>
      </c>
      <c r="CV480" t="s">
        <v>525</v>
      </c>
      <c r="CW480" t="s">
        <v>12</v>
      </c>
      <c r="CX480" t="s">
        <v>12</v>
      </c>
      <c r="CY480" t="s">
        <v>12</v>
      </c>
      <c r="DA480" t="s">
        <v>104</v>
      </c>
      <c r="DD480" t="s">
        <v>93</v>
      </c>
      <c r="DQ480" t="s">
        <v>94</v>
      </c>
      <c r="DR480" t="s">
        <v>94</v>
      </c>
      <c r="DS480" t="s">
        <v>94</v>
      </c>
      <c r="DT480" t="s">
        <v>94</v>
      </c>
      <c r="DU480" t="s">
        <v>94</v>
      </c>
      <c r="DV480" t="s">
        <v>94</v>
      </c>
      <c r="DW480" t="s">
        <v>94</v>
      </c>
      <c r="DX480" s="2" t="s">
        <v>94</v>
      </c>
      <c r="DY480" t="s">
        <v>94</v>
      </c>
      <c r="DZ480" t="s">
        <v>94</v>
      </c>
      <c r="EA480" t="s">
        <v>94</v>
      </c>
      <c r="EB480" t="s">
        <v>94</v>
      </c>
      <c r="EC480" t="s">
        <v>94</v>
      </c>
      <c r="ED480" t="s">
        <v>94</v>
      </c>
      <c r="EE480" t="s">
        <v>89</v>
      </c>
      <c r="EF480" t="s">
        <v>425</v>
      </c>
      <c r="EG480" t="s">
        <v>105</v>
      </c>
      <c r="EJ480" t="s">
        <v>166</v>
      </c>
      <c r="EK480" t="b">
        <v>0</v>
      </c>
      <c r="EL480" t="b">
        <v>0</v>
      </c>
      <c r="EM480" t="b">
        <v>0</v>
      </c>
    </row>
    <row r="481" spans="3:143" ht="15">
      <c r="C481" s="82">
        <v>3</v>
      </c>
      <c r="D481" s="5"/>
      <c r="E481" s="4">
        <v>1</v>
      </c>
      <c r="F481" s="5">
        <v>6</v>
      </c>
      <c r="G481" s="5" t="s">
        <v>6419</v>
      </c>
      <c r="H481" s="4" t="s">
        <v>812</v>
      </c>
      <c r="I481" s="81" t="s">
        <v>466</v>
      </c>
      <c r="J481" s="21"/>
      <c r="K481" s="22" t="s">
        <v>6344</v>
      </c>
      <c r="L481" s="84" t="s">
        <v>6211</v>
      </c>
      <c r="M481" s="23" t="s">
        <v>466</v>
      </c>
      <c r="N481" s="23">
        <v>43896</v>
      </c>
      <c r="O481" s="24" t="s">
        <v>102</v>
      </c>
      <c r="P481" s="24" t="s">
        <v>181</v>
      </c>
      <c r="Q481" s="24">
        <v>1</v>
      </c>
      <c r="R481" s="24">
        <v>6</v>
      </c>
      <c r="S481" t="s">
        <v>11</v>
      </c>
      <c r="T481">
        <v>800</v>
      </c>
      <c r="U481" s="2" t="s">
        <v>163</v>
      </c>
      <c r="V481">
        <v>43896.789270833331</v>
      </c>
      <c r="W481" s="2" t="s">
        <v>444</v>
      </c>
      <c r="X481">
        <v>43898.449733796297</v>
      </c>
      <c r="AB481" t="s">
        <v>9</v>
      </c>
      <c r="AC481" t="s">
        <v>6345</v>
      </c>
      <c r="AD481" t="s">
        <v>182</v>
      </c>
      <c r="AE481">
        <v>252308</v>
      </c>
      <c r="AF481">
        <v>252308</v>
      </c>
      <c r="AG481" t="s">
        <v>183</v>
      </c>
      <c r="AH481" t="s">
        <v>6346</v>
      </c>
      <c r="AI481" t="s">
        <v>6346</v>
      </c>
      <c r="AJ481" t="s">
        <v>1272</v>
      </c>
      <c r="AK481" t="s">
        <v>1273</v>
      </c>
      <c r="AL481" t="s">
        <v>6347</v>
      </c>
      <c r="AO481" t="s">
        <v>6348</v>
      </c>
      <c r="AP481" t="s">
        <v>6349</v>
      </c>
      <c r="AR481" t="s">
        <v>6350</v>
      </c>
      <c r="AS481">
        <v>-48697927669</v>
      </c>
      <c r="AT481" t="s">
        <v>6351</v>
      </c>
      <c r="AU481" t="s">
        <v>10</v>
      </c>
      <c r="AV481" t="s">
        <v>6352</v>
      </c>
      <c r="AW481" t="s">
        <v>6352</v>
      </c>
      <c r="AX481" t="s">
        <v>6353</v>
      </c>
      <c r="AY481" s="2" t="s">
        <v>6354</v>
      </c>
      <c r="AZ481" t="s">
        <v>6355</v>
      </c>
      <c r="BA481" t="s">
        <v>194</v>
      </c>
      <c r="BB481" t="s">
        <v>272</v>
      </c>
      <c r="BC481" t="s">
        <v>188</v>
      </c>
      <c r="BD481">
        <v>518047</v>
      </c>
      <c r="BE481" t="s">
        <v>6356</v>
      </c>
      <c r="BF481" t="s">
        <v>6357</v>
      </c>
      <c r="BG481" t="b">
        <v>0</v>
      </c>
      <c r="BH481" s="6" t="s">
        <v>6358</v>
      </c>
      <c r="BI481" t="s">
        <v>6359</v>
      </c>
      <c r="BJ481">
        <v>4453163191</v>
      </c>
      <c r="BK481" t="s">
        <v>162</v>
      </c>
      <c r="BL481" t="s">
        <v>161</v>
      </c>
      <c r="BM481" s="2"/>
      <c r="BO481" t="s">
        <v>89</v>
      </c>
      <c r="BP481">
        <v>85312000</v>
      </c>
      <c r="BR481" t="s">
        <v>180</v>
      </c>
      <c r="BS481" t="s">
        <v>103</v>
      </c>
      <c r="BU481">
        <v>0</v>
      </c>
      <c r="BV481">
        <v>104</v>
      </c>
      <c r="BW481">
        <v>0</v>
      </c>
      <c r="BX481">
        <v>0</v>
      </c>
      <c r="BY481">
        <v>0</v>
      </c>
      <c r="BZ481">
        <v>0</v>
      </c>
      <c r="CA481">
        <v>104</v>
      </c>
      <c r="CF481" s="2"/>
      <c r="CH481" s="2"/>
      <c r="CJ481">
        <v>5.3142020950042099E+17</v>
      </c>
      <c r="CK481" t="s">
        <v>445</v>
      </c>
      <c r="CL481">
        <v>43896.384687500002</v>
      </c>
      <c r="CO481" t="s">
        <v>11</v>
      </c>
      <c r="CP481" t="s">
        <v>6420</v>
      </c>
      <c r="CQ481" t="s">
        <v>11</v>
      </c>
      <c r="CR481">
        <v>800</v>
      </c>
      <c r="CV481" t="s">
        <v>190</v>
      </c>
      <c r="CW481" t="s">
        <v>12</v>
      </c>
      <c r="CX481" t="s">
        <v>12</v>
      </c>
      <c r="CY481" t="s">
        <v>12</v>
      </c>
      <c r="DA481" t="s">
        <v>104</v>
      </c>
      <c r="DD481" t="s">
        <v>93</v>
      </c>
      <c r="DQ481" t="s">
        <v>94</v>
      </c>
      <c r="DR481" t="s">
        <v>94</v>
      </c>
      <c r="DS481" t="s">
        <v>94</v>
      </c>
      <c r="DT481" t="s">
        <v>94</v>
      </c>
      <c r="DU481" t="s">
        <v>94</v>
      </c>
      <c r="DV481" t="s">
        <v>94</v>
      </c>
      <c r="DW481" t="s">
        <v>94</v>
      </c>
      <c r="DX481" s="2" t="s">
        <v>94</v>
      </c>
      <c r="DY481" t="s">
        <v>94</v>
      </c>
      <c r="DZ481" t="s">
        <v>94</v>
      </c>
      <c r="EA481" t="s">
        <v>94</v>
      </c>
      <c r="EB481" t="s">
        <v>94</v>
      </c>
      <c r="EC481" t="s">
        <v>94</v>
      </c>
      <c r="ED481" t="s">
        <v>94</v>
      </c>
      <c r="EE481" t="s">
        <v>89</v>
      </c>
      <c r="EF481" t="s">
        <v>425</v>
      </c>
      <c r="EG481" t="s">
        <v>105</v>
      </c>
      <c r="EJ481" t="s">
        <v>166</v>
      </c>
      <c r="EK481" t="b">
        <v>0</v>
      </c>
      <c r="EL481" t="b">
        <v>0</v>
      </c>
      <c r="EM481" t="b">
        <v>0</v>
      </c>
    </row>
    <row r="482" spans="3:143" ht="15">
      <c r="C482" s="82">
        <v>23</v>
      </c>
      <c r="D482" s="5"/>
      <c r="E482" s="4">
        <v>1</v>
      </c>
      <c r="F482" s="5">
        <v>6.2</v>
      </c>
      <c r="G482" s="5" t="s">
        <v>6421</v>
      </c>
      <c r="H482" s="4" t="s">
        <v>6422</v>
      </c>
      <c r="I482" s="81" t="s">
        <v>164</v>
      </c>
      <c r="J482" s="21"/>
      <c r="K482" s="22" t="s">
        <v>6360</v>
      </c>
      <c r="L482" s="84" t="s">
        <v>6361</v>
      </c>
      <c r="M482" s="23" t="s">
        <v>164</v>
      </c>
      <c r="N482" s="23">
        <v>43906</v>
      </c>
      <c r="O482" s="24" t="s">
        <v>102</v>
      </c>
      <c r="P482" s="24" t="s">
        <v>181</v>
      </c>
      <c r="Q482" s="24">
        <v>1</v>
      </c>
      <c r="R482" s="24">
        <v>6.2</v>
      </c>
      <c r="S482" t="s">
        <v>11</v>
      </c>
      <c r="T482">
        <v>1102</v>
      </c>
      <c r="U482" s="2" t="s">
        <v>163</v>
      </c>
      <c r="V482">
        <v>43910.803148148145</v>
      </c>
      <c r="W482" s="2" t="s">
        <v>444</v>
      </c>
      <c r="X482">
        <v>43912.474502314813</v>
      </c>
      <c r="AB482" t="s">
        <v>9</v>
      </c>
      <c r="AC482" t="s">
        <v>6362</v>
      </c>
      <c r="AD482" t="s">
        <v>182</v>
      </c>
      <c r="AE482">
        <v>22116</v>
      </c>
      <c r="AF482">
        <v>22116</v>
      </c>
      <c r="AG482" t="s">
        <v>6423</v>
      </c>
      <c r="AH482" t="s">
        <v>6363</v>
      </c>
      <c r="AI482" t="s">
        <v>6364</v>
      </c>
      <c r="AJ482" t="s">
        <v>1171</v>
      </c>
      <c r="AK482" t="s">
        <v>1172</v>
      </c>
      <c r="AL482" t="s">
        <v>6365</v>
      </c>
      <c r="AO482" t="s">
        <v>6366</v>
      </c>
      <c r="AP482" t="s">
        <v>6367</v>
      </c>
      <c r="AQ482" t="s">
        <v>6368</v>
      </c>
      <c r="AR482" t="s">
        <v>6369</v>
      </c>
      <c r="AS482">
        <v>539176948</v>
      </c>
      <c r="AT482" t="s">
        <v>6370</v>
      </c>
      <c r="AU482" t="s">
        <v>10</v>
      </c>
      <c r="AV482" t="s">
        <v>6371</v>
      </c>
      <c r="AW482" t="s">
        <v>6371</v>
      </c>
      <c r="AX482" t="s">
        <v>6372</v>
      </c>
      <c r="AY482" s="2" t="s">
        <v>6373</v>
      </c>
      <c r="AZ482" t="s">
        <v>6374</v>
      </c>
      <c r="BA482" t="s">
        <v>194</v>
      </c>
      <c r="BB482" t="s">
        <v>187</v>
      </c>
      <c r="BC482" t="s">
        <v>188</v>
      </c>
      <c r="BD482">
        <v>518126</v>
      </c>
      <c r="BE482" t="s">
        <v>6375</v>
      </c>
      <c r="BF482" t="s">
        <v>6376</v>
      </c>
      <c r="BG482" t="b">
        <v>0</v>
      </c>
      <c r="BH482" s="6" t="s">
        <v>6377</v>
      </c>
      <c r="BI482" t="s">
        <v>6378</v>
      </c>
      <c r="BJ482">
        <v>4453163191</v>
      </c>
      <c r="BK482" t="s">
        <v>162</v>
      </c>
      <c r="BL482" t="s">
        <v>161</v>
      </c>
      <c r="BM482" s="2"/>
      <c r="BN482" t="s">
        <v>6379</v>
      </c>
      <c r="BO482" t="s">
        <v>89</v>
      </c>
      <c r="BP482">
        <v>85340010</v>
      </c>
      <c r="BR482" t="s">
        <v>189</v>
      </c>
      <c r="BS482" t="s">
        <v>103</v>
      </c>
      <c r="BU482">
        <v>0</v>
      </c>
      <c r="BV482">
        <v>143.26</v>
      </c>
      <c r="BW482">
        <v>0</v>
      </c>
      <c r="BX482">
        <v>0</v>
      </c>
      <c r="BY482">
        <v>0</v>
      </c>
      <c r="BZ482">
        <v>0</v>
      </c>
      <c r="CA482">
        <v>143.26</v>
      </c>
      <c r="CF482" s="2"/>
      <c r="CH482" s="2"/>
      <c r="CJ482">
        <v>5.3142020950049798E+17</v>
      </c>
      <c r="CK482" t="s">
        <v>445</v>
      </c>
      <c r="CL482">
        <v>43906.379270833335</v>
      </c>
      <c r="CO482" t="s">
        <v>11</v>
      </c>
      <c r="CP482" t="s">
        <v>6424</v>
      </c>
      <c r="CQ482" t="s">
        <v>11</v>
      </c>
      <c r="CR482">
        <v>1102</v>
      </c>
      <c r="CV482" t="s">
        <v>525</v>
      </c>
      <c r="CW482" t="s">
        <v>12</v>
      </c>
      <c r="CX482" t="s">
        <v>12</v>
      </c>
      <c r="CY482" t="s">
        <v>12</v>
      </c>
      <c r="DA482" t="s">
        <v>104</v>
      </c>
      <c r="DD482" t="s">
        <v>93</v>
      </c>
      <c r="DQ482" t="s">
        <v>94</v>
      </c>
      <c r="DR482" t="s">
        <v>94</v>
      </c>
      <c r="DS482" t="s">
        <v>94</v>
      </c>
      <c r="DT482" t="s">
        <v>94</v>
      </c>
      <c r="DU482" t="s">
        <v>94</v>
      </c>
      <c r="DV482" t="s">
        <v>94</v>
      </c>
      <c r="DW482" t="s">
        <v>94</v>
      </c>
      <c r="DX482" s="2" t="s">
        <v>94</v>
      </c>
      <c r="DY482" t="s">
        <v>94</v>
      </c>
      <c r="DZ482" t="s">
        <v>94</v>
      </c>
      <c r="EA482" t="s">
        <v>94</v>
      </c>
      <c r="EB482" t="s">
        <v>94</v>
      </c>
      <c r="EC482" t="s">
        <v>94</v>
      </c>
      <c r="ED482" t="s">
        <v>94</v>
      </c>
      <c r="EE482" t="s">
        <v>89</v>
      </c>
      <c r="EF482" t="s">
        <v>425</v>
      </c>
      <c r="EG482" t="s">
        <v>105</v>
      </c>
      <c r="EJ482" t="s">
        <v>526</v>
      </c>
      <c r="EK482" t="b">
        <v>0</v>
      </c>
      <c r="EL482" t="b">
        <v>0</v>
      </c>
      <c r="EM482" t="b">
        <v>0</v>
      </c>
    </row>
    <row r="483" spans="3:143" ht="15">
      <c r="C483" s="82">
        <v>45</v>
      </c>
      <c r="D483" s="5"/>
      <c r="E483" s="4">
        <v>1</v>
      </c>
      <c r="F483" s="5">
        <v>16.600000000000001</v>
      </c>
      <c r="G483" s="5" t="s">
        <v>6425</v>
      </c>
      <c r="H483" s="4" t="s">
        <v>6426</v>
      </c>
      <c r="I483" s="81" t="s">
        <v>466</v>
      </c>
      <c r="J483" s="21"/>
      <c r="K483" s="22" t="s">
        <v>6380</v>
      </c>
      <c r="L483" s="84" t="s">
        <v>6381</v>
      </c>
      <c r="M483" s="23" t="s">
        <v>409</v>
      </c>
      <c r="N483" s="23">
        <v>43911</v>
      </c>
      <c r="O483" s="24" t="s">
        <v>102</v>
      </c>
      <c r="P483" s="24" t="s">
        <v>181</v>
      </c>
      <c r="Q483" s="24">
        <v>1</v>
      </c>
      <c r="R483" s="24">
        <v>16.600000000000001</v>
      </c>
      <c r="S483" t="s">
        <v>11</v>
      </c>
      <c r="T483">
        <v>664</v>
      </c>
      <c r="U483" s="2" t="s">
        <v>163</v>
      </c>
      <c r="V483">
        <v>43911.785532407404</v>
      </c>
      <c r="W483" s="2" t="s">
        <v>444</v>
      </c>
      <c r="X483">
        <v>43913.442280092589</v>
      </c>
      <c r="AB483" t="s">
        <v>9</v>
      </c>
      <c r="AC483" t="s">
        <v>6382</v>
      </c>
      <c r="AD483" t="s">
        <v>191</v>
      </c>
      <c r="AE483">
        <v>101923</v>
      </c>
      <c r="AF483">
        <v>101923</v>
      </c>
      <c r="AG483" t="s">
        <v>183</v>
      </c>
      <c r="AH483" t="s">
        <v>6383</v>
      </c>
      <c r="AI483" t="s">
        <v>6383</v>
      </c>
      <c r="AJ483" t="s">
        <v>4609</v>
      </c>
      <c r="AK483" t="s">
        <v>4610</v>
      </c>
      <c r="AL483" t="s">
        <v>6384</v>
      </c>
      <c r="AM483" t="s">
        <v>6385</v>
      </c>
      <c r="AO483" t="s">
        <v>6386</v>
      </c>
      <c r="AP483" t="s">
        <v>4610</v>
      </c>
      <c r="AS483">
        <v>25918219</v>
      </c>
      <c r="AT483" t="s">
        <v>6387</v>
      </c>
      <c r="AU483" t="s">
        <v>10</v>
      </c>
      <c r="AV483" t="s">
        <v>6388</v>
      </c>
      <c r="AW483" t="s">
        <v>6388</v>
      </c>
      <c r="AX483" t="s">
        <v>6389</v>
      </c>
      <c r="AY483" s="2" t="s">
        <v>6390</v>
      </c>
      <c r="BA483" t="s">
        <v>726</v>
      </c>
      <c r="BB483" t="s">
        <v>192</v>
      </c>
      <c r="BC483" t="s">
        <v>188</v>
      </c>
      <c r="BD483">
        <v>523473</v>
      </c>
      <c r="BE483" t="s">
        <v>6427</v>
      </c>
      <c r="BF483" t="s">
        <v>6391</v>
      </c>
      <c r="BG483" t="b">
        <v>0</v>
      </c>
      <c r="BH483" s="6" t="s">
        <v>6392</v>
      </c>
      <c r="BI483" t="s">
        <v>6393</v>
      </c>
      <c r="BJ483">
        <v>4453163191</v>
      </c>
      <c r="BK483" t="s">
        <v>162</v>
      </c>
      <c r="BL483" t="s">
        <v>161</v>
      </c>
      <c r="BM483" s="2"/>
      <c r="BO483" t="s">
        <v>89</v>
      </c>
      <c r="BP483">
        <v>3902100090</v>
      </c>
      <c r="BR483" t="s">
        <v>189</v>
      </c>
      <c r="BS483" t="s">
        <v>103</v>
      </c>
      <c r="BU483">
        <v>0</v>
      </c>
      <c r="BV483">
        <v>91.93</v>
      </c>
      <c r="BW483">
        <v>0</v>
      </c>
      <c r="BX483">
        <v>0</v>
      </c>
      <c r="BY483">
        <v>0</v>
      </c>
      <c r="BZ483">
        <v>0</v>
      </c>
      <c r="CA483">
        <v>91.93</v>
      </c>
      <c r="CF483" s="2"/>
      <c r="CH483" s="2"/>
      <c r="CJ483">
        <v>5.3142020950055098E+17</v>
      </c>
      <c r="CK483" t="s">
        <v>2648</v>
      </c>
      <c r="CL483">
        <v>43911.376527777778</v>
      </c>
      <c r="CO483" t="s">
        <v>11</v>
      </c>
      <c r="CP483" t="s">
        <v>6428</v>
      </c>
      <c r="CQ483" t="s">
        <v>11</v>
      </c>
      <c r="CR483">
        <v>664</v>
      </c>
      <c r="CV483" t="s">
        <v>190</v>
      </c>
      <c r="CW483" t="s">
        <v>12</v>
      </c>
      <c r="CX483" t="s">
        <v>12</v>
      </c>
      <c r="CY483" t="s">
        <v>12</v>
      </c>
      <c r="DA483" t="s">
        <v>104</v>
      </c>
      <c r="DD483" t="s">
        <v>93</v>
      </c>
      <c r="DQ483" t="s">
        <v>94</v>
      </c>
      <c r="DR483" t="s">
        <v>94</v>
      </c>
      <c r="DS483" t="s">
        <v>94</v>
      </c>
      <c r="DT483" t="s">
        <v>94</v>
      </c>
      <c r="DU483" t="s">
        <v>94</v>
      </c>
      <c r="DV483" t="s">
        <v>94</v>
      </c>
      <c r="DW483" t="s">
        <v>94</v>
      </c>
      <c r="DX483" s="2" t="s">
        <v>94</v>
      </c>
      <c r="DY483" t="s">
        <v>94</v>
      </c>
      <c r="DZ483" t="s">
        <v>94</v>
      </c>
      <c r="EA483" t="s">
        <v>94</v>
      </c>
      <c r="EB483" t="s">
        <v>94</v>
      </c>
      <c r="EC483" t="s">
        <v>94</v>
      </c>
      <c r="ED483" t="s">
        <v>94</v>
      </c>
      <c r="EE483" t="s">
        <v>89</v>
      </c>
      <c r="EF483" t="s">
        <v>425</v>
      </c>
      <c r="EG483" t="s">
        <v>105</v>
      </c>
      <c r="EJ483" t="s">
        <v>166</v>
      </c>
      <c r="EK483" t="b">
        <v>0</v>
      </c>
      <c r="EL483" t="b">
        <v>0</v>
      </c>
      <c r="EM483" t="b">
        <v>0</v>
      </c>
    </row>
    <row r="484" spans="3:143" ht="15">
      <c r="C484" s="82">
        <v>232</v>
      </c>
      <c r="D484" s="5"/>
      <c r="E484" s="4">
        <v>1</v>
      </c>
      <c r="F484" s="5">
        <v>0.15</v>
      </c>
      <c r="G484" s="5" t="s">
        <v>6429</v>
      </c>
      <c r="H484" s="4" t="s">
        <v>6430</v>
      </c>
      <c r="I484" s="81" t="s">
        <v>466</v>
      </c>
      <c r="J484" s="21"/>
      <c r="K484" s="22" t="s">
        <v>6394</v>
      </c>
      <c r="L484" s="84" t="s">
        <v>6323</v>
      </c>
      <c r="M484" s="23" t="s">
        <v>409</v>
      </c>
      <c r="N484" s="23">
        <v>43910</v>
      </c>
      <c r="O484" s="24" t="s">
        <v>102</v>
      </c>
      <c r="P484" s="24" t="s">
        <v>179</v>
      </c>
      <c r="Q484" s="24">
        <v>1</v>
      </c>
      <c r="R484" s="24">
        <v>0.15</v>
      </c>
      <c r="S484" t="s">
        <v>528</v>
      </c>
      <c r="T484">
        <v>30</v>
      </c>
      <c r="U484" s="2" t="s">
        <v>163</v>
      </c>
      <c r="V484">
        <v>43910.81082175926</v>
      </c>
      <c r="W484" s="2" t="s">
        <v>444</v>
      </c>
      <c r="X484">
        <v>43912.462766203702</v>
      </c>
      <c r="AB484" t="s">
        <v>9</v>
      </c>
      <c r="AC484" t="s">
        <v>1499</v>
      </c>
      <c r="AD484" t="s">
        <v>1125</v>
      </c>
      <c r="AE484">
        <v>70322896</v>
      </c>
      <c r="AF484">
        <v>70322896</v>
      </c>
      <c r="AG484" t="s">
        <v>183</v>
      </c>
      <c r="AH484" t="s">
        <v>6395</v>
      </c>
      <c r="AI484" t="s">
        <v>6395</v>
      </c>
      <c r="AJ484" t="s">
        <v>776</v>
      </c>
      <c r="AK484" t="s">
        <v>777</v>
      </c>
      <c r="AL484" t="s">
        <v>6396</v>
      </c>
      <c r="AO484" t="s">
        <v>6397</v>
      </c>
      <c r="AP484" t="s">
        <v>1502</v>
      </c>
      <c r="AQ484" t="s">
        <v>1386</v>
      </c>
      <c r="AR484" t="s">
        <v>6431</v>
      </c>
      <c r="AS484">
        <v>6201807517</v>
      </c>
      <c r="AT484" t="s">
        <v>6398</v>
      </c>
      <c r="AU484" t="s">
        <v>10</v>
      </c>
      <c r="AV484" t="s">
        <v>6399</v>
      </c>
      <c r="AW484" t="s">
        <v>6399</v>
      </c>
      <c r="AX484" t="s">
        <v>6400</v>
      </c>
      <c r="AY484" s="2" t="s">
        <v>6401</v>
      </c>
      <c r="BA484" t="s">
        <v>2748</v>
      </c>
      <c r="BB484" t="s">
        <v>1138</v>
      </c>
      <c r="BC484" t="s">
        <v>188</v>
      </c>
      <c r="BD484">
        <v>528300</v>
      </c>
      <c r="BE484" t="s">
        <v>6432</v>
      </c>
      <c r="BF484" t="s">
        <v>6402</v>
      </c>
      <c r="BG484" t="b">
        <v>0</v>
      </c>
      <c r="BH484" s="6" t="s">
        <v>6403</v>
      </c>
      <c r="BI484" t="s">
        <v>6404</v>
      </c>
      <c r="BJ484">
        <v>4453163191</v>
      </c>
      <c r="BK484" t="s">
        <v>162</v>
      </c>
      <c r="BL484" t="s">
        <v>161</v>
      </c>
      <c r="BM484" s="2"/>
      <c r="BO484" t="s">
        <v>89</v>
      </c>
      <c r="BP484">
        <v>85366900</v>
      </c>
      <c r="BR484" t="s">
        <v>180</v>
      </c>
      <c r="BS484" t="s">
        <v>103</v>
      </c>
      <c r="BU484">
        <v>0</v>
      </c>
      <c r="BV484">
        <v>0</v>
      </c>
      <c r="BW484">
        <v>0</v>
      </c>
      <c r="BX484">
        <v>0</v>
      </c>
      <c r="BY484">
        <v>0</v>
      </c>
      <c r="BZ484">
        <v>0</v>
      </c>
      <c r="CA484">
        <v>0</v>
      </c>
      <c r="CF484" s="2"/>
      <c r="CH484" s="2"/>
      <c r="CJ484">
        <v>5.3142020950054003E+17</v>
      </c>
      <c r="CK484" t="s">
        <v>445</v>
      </c>
      <c r="CL484">
        <v>43910.377326388887</v>
      </c>
      <c r="CO484" t="s">
        <v>11</v>
      </c>
      <c r="CP484" t="s">
        <v>6433</v>
      </c>
      <c r="CQ484" t="s">
        <v>11</v>
      </c>
      <c r="CR484">
        <v>229.85</v>
      </c>
      <c r="CV484" t="s">
        <v>190</v>
      </c>
      <c r="CW484" t="s">
        <v>12</v>
      </c>
      <c r="CX484" t="s">
        <v>12</v>
      </c>
      <c r="CY484" t="s">
        <v>12</v>
      </c>
      <c r="DA484" t="s">
        <v>104</v>
      </c>
      <c r="DD484" t="s">
        <v>93</v>
      </c>
      <c r="DQ484" t="s">
        <v>94</v>
      </c>
      <c r="DR484" t="s">
        <v>94</v>
      </c>
      <c r="DS484" t="s">
        <v>94</v>
      </c>
      <c r="DT484" t="s">
        <v>94</v>
      </c>
      <c r="DU484" t="s">
        <v>94</v>
      </c>
      <c r="DV484" t="s">
        <v>94</v>
      </c>
      <c r="DW484" t="s">
        <v>94</v>
      </c>
      <c r="DX484" s="2" t="s">
        <v>94</v>
      </c>
      <c r="DY484" t="s">
        <v>94</v>
      </c>
      <c r="DZ484" t="s">
        <v>94</v>
      </c>
      <c r="EA484" t="s">
        <v>94</v>
      </c>
      <c r="EB484" t="s">
        <v>94</v>
      </c>
      <c r="EC484" t="s">
        <v>94</v>
      </c>
      <c r="ED484" t="s">
        <v>94</v>
      </c>
      <c r="EE484" t="s">
        <v>89</v>
      </c>
      <c r="EF484" t="s">
        <v>425</v>
      </c>
      <c r="EG484" t="s">
        <v>105</v>
      </c>
      <c r="EJ484" t="s">
        <v>166</v>
      </c>
      <c r="EK484" t="b">
        <v>0</v>
      </c>
      <c r="EL484" t="b">
        <v>0</v>
      </c>
      <c r="EM484" t="b">
        <v>0</v>
      </c>
    </row>
    <row r="485" spans="3:143" ht="15">
      <c r="C485" s="82">
        <v>23</v>
      </c>
      <c r="D485" s="5"/>
      <c r="E485" s="4">
        <v>1</v>
      </c>
      <c r="F485" s="5">
        <v>10.06</v>
      </c>
      <c r="G485" s="5" t="s">
        <v>6434</v>
      </c>
      <c r="H485" s="4" t="s">
        <v>6435</v>
      </c>
      <c r="I485" s="81" t="s">
        <v>164</v>
      </c>
      <c r="J485" s="21"/>
      <c r="K485" s="22" t="s">
        <v>6405</v>
      </c>
      <c r="L485" s="84" t="s">
        <v>6406</v>
      </c>
      <c r="M485" s="23" t="s">
        <v>447</v>
      </c>
      <c r="N485" s="23">
        <v>43894</v>
      </c>
      <c r="O485" s="24" t="s">
        <v>102</v>
      </c>
      <c r="P485" s="24" t="s">
        <v>181</v>
      </c>
      <c r="Q485" s="24">
        <v>1</v>
      </c>
      <c r="R485" s="24">
        <v>10.06</v>
      </c>
      <c r="S485" t="s">
        <v>319</v>
      </c>
      <c r="T485">
        <v>71</v>
      </c>
      <c r="U485" s="2" t="s">
        <v>163</v>
      </c>
      <c r="V485">
        <v>43894.791747685187</v>
      </c>
      <c r="W485" s="2" t="s">
        <v>427</v>
      </c>
      <c r="X485">
        <v>43894.804444444446</v>
      </c>
      <c r="AB485" t="s">
        <v>9</v>
      </c>
      <c r="AC485" t="s">
        <v>6407</v>
      </c>
      <c r="AD485" t="s">
        <v>182</v>
      </c>
      <c r="AE485">
        <v>52247</v>
      </c>
      <c r="AF485">
        <v>52247</v>
      </c>
      <c r="AH485" t="s">
        <v>6408</v>
      </c>
      <c r="AI485" t="s">
        <v>6408</v>
      </c>
      <c r="AJ485" t="s">
        <v>211</v>
      </c>
      <c r="AK485" t="s">
        <v>212</v>
      </c>
      <c r="AL485" t="s">
        <v>6409</v>
      </c>
      <c r="AM485" t="s">
        <v>6410</v>
      </c>
      <c r="AO485" t="s">
        <v>6410</v>
      </c>
      <c r="AP485" t="s">
        <v>6411</v>
      </c>
      <c r="AQ485" t="s">
        <v>2307</v>
      </c>
      <c r="AR485" t="s">
        <v>6436</v>
      </c>
      <c r="AS485">
        <v>2532205120</v>
      </c>
      <c r="AT485" t="s">
        <v>6412</v>
      </c>
      <c r="AU485" t="s">
        <v>10</v>
      </c>
      <c r="AV485" t="s">
        <v>6413</v>
      </c>
      <c r="AW485" t="s">
        <v>6413</v>
      </c>
      <c r="AX485" t="s">
        <v>6414</v>
      </c>
      <c r="AY485" s="2" t="s">
        <v>6415</v>
      </c>
      <c r="BA485" t="s">
        <v>194</v>
      </c>
      <c r="BB485" t="s">
        <v>272</v>
      </c>
      <c r="BC485" t="s">
        <v>188</v>
      </c>
      <c r="BD485">
        <v>518048</v>
      </c>
      <c r="BE485" t="s">
        <v>6437</v>
      </c>
      <c r="BG485" t="b">
        <v>0</v>
      </c>
      <c r="BH485" s="6" t="s">
        <v>6416</v>
      </c>
      <c r="BI485" t="s">
        <v>6417</v>
      </c>
      <c r="BJ485">
        <v>4453163191</v>
      </c>
      <c r="BK485" t="s">
        <v>162</v>
      </c>
      <c r="BL485" t="s">
        <v>161</v>
      </c>
      <c r="BM485" s="2"/>
      <c r="BO485" t="s">
        <v>89</v>
      </c>
      <c r="BP485">
        <v>85322900</v>
      </c>
      <c r="BR485" t="s">
        <v>180</v>
      </c>
      <c r="BS485" t="s">
        <v>103</v>
      </c>
      <c r="BU485">
        <v>0</v>
      </c>
      <c r="BV485">
        <v>63.54</v>
      </c>
      <c r="BW485">
        <v>0</v>
      </c>
      <c r="BX485">
        <v>0</v>
      </c>
      <c r="BY485">
        <v>0</v>
      </c>
      <c r="BZ485">
        <v>0</v>
      </c>
      <c r="CA485">
        <v>63.54</v>
      </c>
      <c r="CB485" t="s">
        <v>444</v>
      </c>
      <c r="CF485" s="2"/>
      <c r="CH485" s="2"/>
      <c r="CJ485">
        <v>5.3142020950039898E+17</v>
      </c>
      <c r="CK485" t="s">
        <v>1509</v>
      </c>
      <c r="CL485">
        <v>43894.590196759258</v>
      </c>
      <c r="CO485" t="s">
        <v>11</v>
      </c>
      <c r="CP485" t="s">
        <v>6438</v>
      </c>
      <c r="CQ485" t="s">
        <v>11</v>
      </c>
      <c r="CR485">
        <v>488.8</v>
      </c>
      <c r="CV485" t="s">
        <v>190</v>
      </c>
      <c r="CW485" t="s">
        <v>12</v>
      </c>
      <c r="CX485" t="s">
        <v>12</v>
      </c>
      <c r="CY485" t="s">
        <v>12</v>
      </c>
      <c r="DA485" t="s">
        <v>104</v>
      </c>
      <c r="DD485" t="s">
        <v>93</v>
      </c>
      <c r="DQ485" t="s">
        <v>94</v>
      </c>
      <c r="DR485" t="s">
        <v>94</v>
      </c>
      <c r="DS485" t="s">
        <v>94</v>
      </c>
      <c r="DT485" t="s">
        <v>94</v>
      </c>
      <c r="DU485" t="s">
        <v>94</v>
      </c>
      <c r="DV485" t="s">
        <v>94</v>
      </c>
      <c r="DW485" t="s">
        <v>94</v>
      </c>
      <c r="DX485" s="2" t="s">
        <v>94</v>
      </c>
      <c r="DY485" t="s">
        <v>94</v>
      </c>
      <c r="DZ485" t="s">
        <v>94</v>
      </c>
      <c r="EA485" t="s">
        <v>94</v>
      </c>
      <c r="EB485" t="s">
        <v>94</v>
      </c>
      <c r="EC485" t="s">
        <v>94</v>
      </c>
      <c r="ED485" t="s">
        <v>94</v>
      </c>
      <c r="EE485" t="s">
        <v>89</v>
      </c>
      <c r="EF485" t="s">
        <v>425</v>
      </c>
      <c r="EG485" t="s">
        <v>105</v>
      </c>
      <c r="EJ485" t="s">
        <v>166</v>
      </c>
      <c r="EK485" t="b">
        <v>0</v>
      </c>
      <c r="EL485" t="b">
        <v>0</v>
      </c>
      <c r="EM485" t="b">
        <v>0</v>
      </c>
    </row>
    <row r="486" spans="3:143" ht="15">
      <c r="C486" s="82">
        <v>3</v>
      </c>
      <c r="D486" s="5"/>
      <c r="E486" s="4">
        <v>1</v>
      </c>
      <c r="F486" s="5">
        <v>10.06</v>
      </c>
      <c r="G486" s="5" t="s">
        <v>6439</v>
      </c>
      <c r="H486" s="4" t="s">
        <v>6435</v>
      </c>
      <c r="I486" s="81" t="s">
        <v>920</v>
      </c>
      <c r="J486" s="21"/>
      <c r="K486" s="22" t="s">
        <v>6405</v>
      </c>
      <c r="L486" s="84" t="s">
        <v>6312</v>
      </c>
      <c r="M486" s="23" t="s">
        <v>905</v>
      </c>
      <c r="N486" s="23">
        <v>43908</v>
      </c>
      <c r="O486" s="24" t="s">
        <v>102</v>
      </c>
      <c r="P486" s="24" t="s">
        <v>181</v>
      </c>
      <c r="Q486" s="24">
        <v>1</v>
      </c>
      <c r="R486" s="24">
        <v>10.06</v>
      </c>
      <c r="S486" t="s">
        <v>11</v>
      </c>
      <c r="T486">
        <v>600</v>
      </c>
      <c r="U486" s="2" t="s">
        <v>163</v>
      </c>
      <c r="V486">
        <v>43908.823425925926</v>
      </c>
      <c r="W486" s="2" t="s">
        <v>427</v>
      </c>
      <c r="X486">
        <v>43908.830567129633</v>
      </c>
      <c r="AB486" t="s">
        <v>9</v>
      </c>
      <c r="AC486" t="s">
        <v>6407</v>
      </c>
      <c r="AD486" t="s">
        <v>182</v>
      </c>
      <c r="AE486">
        <v>52247</v>
      </c>
      <c r="AF486">
        <v>52247</v>
      </c>
      <c r="AH486" t="s">
        <v>6408</v>
      </c>
      <c r="AI486" t="s">
        <v>6408</v>
      </c>
      <c r="AJ486" t="s">
        <v>211</v>
      </c>
      <c r="AK486" t="s">
        <v>212</v>
      </c>
      <c r="AL486" t="s">
        <v>6409</v>
      </c>
      <c r="AM486" t="s">
        <v>6410</v>
      </c>
      <c r="AO486" t="s">
        <v>6410</v>
      </c>
      <c r="AP486" t="s">
        <v>6411</v>
      </c>
      <c r="AQ486" t="s">
        <v>2307</v>
      </c>
      <c r="AR486" t="s">
        <v>6436</v>
      </c>
      <c r="AS486">
        <v>2532205120</v>
      </c>
      <c r="AT486" t="s">
        <v>6412</v>
      </c>
      <c r="AU486" t="s">
        <v>10</v>
      </c>
      <c r="AV486" t="s">
        <v>6413</v>
      </c>
      <c r="AW486" t="s">
        <v>6413</v>
      </c>
      <c r="AX486" t="s">
        <v>6414</v>
      </c>
      <c r="AY486" s="2" t="s">
        <v>6415</v>
      </c>
      <c r="BA486" t="s">
        <v>194</v>
      </c>
      <c r="BB486" t="s">
        <v>272</v>
      </c>
      <c r="BC486" t="s">
        <v>188</v>
      </c>
      <c r="BD486">
        <v>518048</v>
      </c>
      <c r="BE486" t="s">
        <v>6440</v>
      </c>
      <c r="BG486" t="b">
        <v>0</v>
      </c>
      <c r="BH486" s="6" t="s">
        <v>6416</v>
      </c>
      <c r="BI486" t="s">
        <v>6418</v>
      </c>
      <c r="BJ486">
        <v>4453163191</v>
      </c>
      <c r="BK486" t="s">
        <v>162</v>
      </c>
      <c r="BL486" t="s">
        <v>161</v>
      </c>
      <c r="BM486" s="2"/>
      <c r="BO486" t="s">
        <v>89</v>
      </c>
      <c r="BP486">
        <v>8504401990</v>
      </c>
      <c r="BR486" t="s">
        <v>180</v>
      </c>
      <c r="BS486" t="s">
        <v>103</v>
      </c>
      <c r="BU486">
        <v>0</v>
      </c>
      <c r="BV486">
        <v>78</v>
      </c>
      <c r="BW486">
        <v>0</v>
      </c>
      <c r="BX486">
        <v>0</v>
      </c>
      <c r="BY486">
        <v>0</v>
      </c>
      <c r="BZ486">
        <v>0</v>
      </c>
      <c r="CA486">
        <v>78</v>
      </c>
      <c r="CB486" t="s">
        <v>444</v>
      </c>
      <c r="CF486" s="2"/>
      <c r="CH486" s="2"/>
      <c r="CJ486">
        <v>5.3142020950052102E+17</v>
      </c>
      <c r="CK486" t="s">
        <v>445</v>
      </c>
      <c r="CL486">
        <v>43908.400231481479</v>
      </c>
      <c r="CO486" t="s">
        <v>11</v>
      </c>
      <c r="CP486" t="s">
        <v>3574</v>
      </c>
      <c r="CQ486" t="s">
        <v>11</v>
      </c>
      <c r="CR486">
        <v>600</v>
      </c>
      <c r="CV486" t="s">
        <v>190</v>
      </c>
      <c r="CW486" t="s">
        <v>12</v>
      </c>
      <c r="CX486" t="s">
        <v>12</v>
      </c>
      <c r="CY486" t="s">
        <v>12</v>
      </c>
      <c r="DA486" t="s">
        <v>104</v>
      </c>
      <c r="DD486" t="s">
        <v>93</v>
      </c>
      <c r="DQ486" t="s">
        <v>94</v>
      </c>
      <c r="DR486" t="s">
        <v>94</v>
      </c>
      <c r="DS486" t="s">
        <v>94</v>
      </c>
      <c r="DT486" t="s">
        <v>94</v>
      </c>
      <c r="DU486" t="s">
        <v>94</v>
      </c>
      <c r="DV486" t="s">
        <v>94</v>
      </c>
      <c r="DW486" t="s">
        <v>94</v>
      </c>
      <c r="DX486" s="2" t="s">
        <v>94</v>
      </c>
      <c r="DY486" t="s">
        <v>94</v>
      </c>
      <c r="DZ486" t="s">
        <v>94</v>
      </c>
      <c r="EA486" t="s">
        <v>94</v>
      </c>
      <c r="EB486" t="s">
        <v>94</v>
      </c>
      <c r="EC486" t="s">
        <v>94</v>
      </c>
      <c r="ED486" t="s">
        <v>94</v>
      </c>
      <c r="EE486" t="s">
        <v>89</v>
      </c>
      <c r="EF486" t="s">
        <v>94</v>
      </c>
      <c r="EG486" t="s">
        <v>543</v>
      </c>
      <c r="EJ486" t="s">
        <v>166</v>
      </c>
      <c r="EK486" t="b">
        <v>0</v>
      </c>
      <c r="EL486" t="b">
        <v>0</v>
      </c>
      <c r="EM486" t="b">
        <v>0</v>
      </c>
    </row>
    <row r="487" spans="3:143" ht="15">
      <c r="C487" s="82">
        <v>132</v>
      </c>
      <c r="D487" s="5"/>
      <c r="E487" s="4">
        <v>1</v>
      </c>
      <c r="F487" s="5">
        <v>6</v>
      </c>
      <c r="G487" s="5" t="s">
        <v>6441</v>
      </c>
      <c r="H487" s="4" t="s">
        <v>812</v>
      </c>
      <c r="I487" s="81" t="s">
        <v>466</v>
      </c>
      <c r="J487" s="21"/>
      <c r="K487" s="22" t="s">
        <v>6344</v>
      </c>
      <c r="L487" s="84" t="s">
        <v>6211</v>
      </c>
      <c r="M487" s="23" t="s">
        <v>466</v>
      </c>
      <c r="N487" s="23">
        <v>43896</v>
      </c>
      <c r="O487" s="24" t="s">
        <v>102</v>
      </c>
      <c r="P487" s="24" t="s">
        <v>181</v>
      </c>
      <c r="Q487" s="24">
        <v>1</v>
      </c>
      <c r="R487" s="24">
        <v>6</v>
      </c>
      <c r="S487" t="s">
        <v>11</v>
      </c>
      <c r="T487">
        <v>800</v>
      </c>
      <c r="U487" s="2" t="s">
        <v>163</v>
      </c>
      <c r="V487">
        <v>43896.789270833331</v>
      </c>
      <c r="W487" s="2" t="s">
        <v>444</v>
      </c>
      <c r="X487">
        <v>43898.449733796297</v>
      </c>
      <c r="AB487" t="s">
        <v>9</v>
      </c>
      <c r="AC487" t="s">
        <v>6345</v>
      </c>
      <c r="AD487" t="s">
        <v>182</v>
      </c>
      <c r="AE487">
        <v>252308</v>
      </c>
      <c r="AF487">
        <v>252308</v>
      </c>
      <c r="AG487" t="s">
        <v>183</v>
      </c>
      <c r="AH487" t="s">
        <v>6346</v>
      </c>
      <c r="AI487" t="s">
        <v>6346</v>
      </c>
      <c r="AJ487" t="s">
        <v>1272</v>
      </c>
      <c r="AK487" t="s">
        <v>1273</v>
      </c>
      <c r="AL487" t="s">
        <v>6347</v>
      </c>
      <c r="AO487" t="s">
        <v>6348</v>
      </c>
      <c r="AP487" t="s">
        <v>6349</v>
      </c>
      <c r="AR487" t="s">
        <v>6350</v>
      </c>
      <c r="AS487">
        <v>-48697927669</v>
      </c>
      <c r="AT487" t="s">
        <v>6351</v>
      </c>
      <c r="AU487" t="s">
        <v>10</v>
      </c>
      <c r="AV487" t="s">
        <v>6352</v>
      </c>
      <c r="AW487" t="s">
        <v>6352</v>
      </c>
      <c r="AX487" t="s">
        <v>6353</v>
      </c>
      <c r="AY487" s="2" t="s">
        <v>6354</v>
      </c>
      <c r="AZ487" t="s">
        <v>6355</v>
      </c>
      <c r="BA487" t="s">
        <v>194</v>
      </c>
      <c r="BB487" t="s">
        <v>272</v>
      </c>
      <c r="BC487" t="s">
        <v>188</v>
      </c>
      <c r="BD487">
        <v>518047</v>
      </c>
      <c r="BE487" t="s">
        <v>6356</v>
      </c>
      <c r="BF487" t="s">
        <v>6357</v>
      </c>
      <c r="BG487" t="b">
        <v>0</v>
      </c>
      <c r="BH487" s="6" t="s">
        <v>6358</v>
      </c>
      <c r="BI487" t="s">
        <v>6359</v>
      </c>
      <c r="BJ487">
        <v>4453163191</v>
      </c>
      <c r="BK487" t="s">
        <v>162</v>
      </c>
      <c r="BL487" t="s">
        <v>161</v>
      </c>
      <c r="BM487" s="2"/>
      <c r="BO487" t="s">
        <v>89</v>
      </c>
      <c r="BP487">
        <v>85312000</v>
      </c>
      <c r="BR487" t="s">
        <v>180</v>
      </c>
      <c r="BS487" t="s">
        <v>103</v>
      </c>
      <c r="BU487">
        <v>0</v>
      </c>
      <c r="BV487">
        <v>104</v>
      </c>
      <c r="BW487">
        <v>0</v>
      </c>
      <c r="BX487">
        <v>0</v>
      </c>
      <c r="BY487">
        <v>0</v>
      </c>
      <c r="BZ487">
        <v>0</v>
      </c>
      <c r="CA487">
        <v>104</v>
      </c>
      <c r="CF487" s="2"/>
      <c r="CH487" s="2"/>
      <c r="CJ487">
        <v>5.3142020950042099E+17</v>
      </c>
      <c r="CK487" t="s">
        <v>445</v>
      </c>
      <c r="CL487">
        <v>43896.384687500002</v>
      </c>
      <c r="CO487" t="s">
        <v>11</v>
      </c>
      <c r="CP487" t="s">
        <v>6420</v>
      </c>
      <c r="CQ487" t="s">
        <v>11</v>
      </c>
      <c r="CR487">
        <v>800</v>
      </c>
      <c r="CV487" t="s">
        <v>190</v>
      </c>
      <c r="CW487" t="s">
        <v>12</v>
      </c>
      <c r="CX487" t="s">
        <v>12</v>
      </c>
      <c r="CY487" t="s">
        <v>12</v>
      </c>
      <c r="DA487" t="s">
        <v>104</v>
      </c>
      <c r="DD487" t="s">
        <v>93</v>
      </c>
      <c r="DQ487" t="s">
        <v>94</v>
      </c>
      <c r="DR487" t="s">
        <v>94</v>
      </c>
      <c r="DS487" t="s">
        <v>94</v>
      </c>
      <c r="DT487" t="s">
        <v>94</v>
      </c>
      <c r="DU487" t="s">
        <v>94</v>
      </c>
      <c r="DV487" t="s">
        <v>94</v>
      </c>
      <c r="DW487" t="s">
        <v>94</v>
      </c>
      <c r="DX487" s="2" t="s">
        <v>94</v>
      </c>
      <c r="DY487" t="s">
        <v>94</v>
      </c>
      <c r="DZ487" t="s">
        <v>94</v>
      </c>
      <c r="EA487" t="s">
        <v>94</v>
      </c>
      <c r="EB487" t="s">
        <v>94</v>
      </c>
      <c r="EC487" t="s">
        <v>94</v>
      </c>
      <c r="ED487" t="s">
        <v>94</v>
      </c>
      <c r="EE487" t="s">
        <v>89</v>
      </c>
      <c r="EF487" t="s">
        <v>425</v>
      </c>
      <c r="EG487" t="s">
        <v>105</v>
      </c>
      <c r="EJ487" t="s">
        <v>166</v>
      </c>
      <c r="EK487" t="b">
        <v>0</v>
      </c>
      <c r="EL487" t="b">
        <v>0</v>
      </c>
      <c r="EM487" t="b">
        <v>0</v>
      </c>
    </row>
    <row r="488" spans="3:143" ht="15">
      <c r="C488" s="82">
        <v>565</v>
      </c>
      <c r="D488" s="5"/>
      <c r="E488" s="4">
        <v>1</v>
      </c>
      <c r="F488" s="5">
        <v>6.2</v>
      </c>
      <c r="G488" s="5" t="s">
        <v>6442</v>
      </c>
      <c r="H488" s="4" t="s">
        <v>6422</v>
      </c>
      <c r="I488" s="81" t="s">
        <v>164</v>
      </c>
      <c r="J488" s="21"/>
      <c r="K488" s="22" t="s">
        <v>6360</v>
      </c>
      <c r="L488" s="84" t="s">
        <v>6361</v>
      </c>
      <c r="M488" s="23" t="s">
        <v>164</v>
      </c>
      <c r="N488" s="23">
        <v>43906</v>
      </c>
      <c r="O488" s="24" t="s">
        <v>102</v>
      </c>
      <c r="P488" s="24" t="s">
        <v>181</v>
      </c>
      <c r="Q488" s="24">
        <v>1</v>
      </c>
      <c r="R488" s="24">
        <v>6.2</v>
      </c>
      <c r="S488" t="s">
        <v>11</v>
      </c>
      <c r="T488">
        <v>1102</v>
      </c>
      <c r="U488" s="2" t="s">
        <v>163</v>
      </c>
      <c r="V488">
        <v>43910.803148148145</v>
      </c>
      <c r="W488" s="2" t="s">
        <v>444</v>
      </c>
      <c r="X488">
        <v>43912.474502314813</v>
      </c>
      <c r="AB488" t="s">
        <v>9</v>
      </c>
      <c r="AC488" t="s">
        <v>6362</v>
      </c>
      <c r="AD488" t="s">
        <v>182</v>
      </c>
      <c r="AE488">
        <v>22116</v>
      </c>
      <c r="AF488">
        <v>22116</v>
      </c>
      <c r="AG488" t="s">
        <v>6423</v>
      </c>
      <c r="AH488" t="s">
        <v>6363</v>
      </c>
      <c r="AI488" t="s">
        <v>6364</v>
      </c>
      <c r="AJ488" t="s">
        <v>1171</v>
      </c>
      <c r="AK488" t="s">
        <v>1172</v>
      </c>
      <c r="AL488" t="s">
        <v>6365</v>
      </c>
      <c r="AO488" t="s">
        <v>6366</v>
      </c>
      <c r="AP488" t="s">
        <v>6367</v>
      </c>
      <c r="AQ488" t="s">
        <v>6368</v>
      </c>
      <c r="AR488" t="s">
        <v>6369</v>
      </c>
      <c r="AS488">
        <v>539176948</v>
      </c>
      <c r="AT488" t="s">
        <v>6370</v>
      </c>
      <c r="AU488" t="s">
        <v>10</v>
      </c>
      <c r="AV488" t="s">
        <v>6371</v>
      </c>
      <c r="AW488" t="s">
        <v>6371</v>
      </c>
      <c r="AX488" t="s">
        <v>6372</v>
      </c>
      <c r="AY488" s="2" t="s">
        <v>6373</v>
      </c>
      <c r="AZ488" t="s">
        <v>6374</v>
      </c>
      <c r="BA488" t="s">
        <v>194</v>
      </c>
      <c r="BB488" t="s">
        <v>187</v>
      </c>
      <c r="BC488" t="s">
        <v>188</v>
      </c>
      <c r="BD488">
        <v>518126</v>
      </c>
      <c r="BE488" t="s">
        <v>6375</v>
      </c>
      <c r="BF488" t="s">
        <v>6376</v>
      </c>
      <c r="BG488" t="b">
        <v>0</v>
      </c>
      <c r="BH488" s="6" t="s">
        <v>6377</v>
      </c>
      <c r="BI488" t="s">
        <v>6378</v>
      </c>
      <c r="BJ488">
        <v>4453163191</v>
      </c>
      <c r="BK488" t="s">
        <v>162</v>
      </c>
      <c r="BL488" t="s">
        <v>161</v>
      </c>
      <c r="BM488" s="2"/>
      <c r="BN488" t="s">
        <v>6379</v>
      </c>
      <c r="BO488" t="s">
        <v>89</v>
      </c>
      <c r="BP488">
        <v>85340010</v>
      </c>
      <c r="BR488" t="s">
        <v>189</v>
      </c>
      <c r="BS488" t="s">
        <v>103</v>
      </c>
      <c r="BU488">
        <v>0</v>
      </c>
      <c r="BV488">
        <v>143.26</v>
      </c>
      <c r="BW488">
        <v>0</v>
      </c>
      <c r="BX488">
        <v>0</v>
      </c>
      <c r="BY488">
        <v>0</v>
      </c>
      <c r="BZ488">
        <v>0</v>
      </c>
      <c r="CA488">
        <v>143.26</v>
      </c>
      <c r="CF488" s="2"/>
      <c r="CH488" s="2"/>
      <c r="CJ488">
        <v>5.3142020950049798E+17</v>
      </c>
      <c r="CK488" t="s">
        <v>445</v>
      </c>
      <c r="CL488">
        <v>43906.379270833335</v>
      </c>
      <c r="CO488" t="s">
        <v>11</v>
      </c>
      <c r="CP488" t="s">
        <v>6424</v>
      </c>
      <c r="CQ488" t="s">
        <v>11</v>
      </c>
      <c r="CR488">
        <v>1102</v>
      </c>
      <c r="CV488" t="s">
        <v>525</v>
      </c>
      <c r="CW488" t="s">
        <v>12</v>
      </c>
      <c r="CX488" t="s">
        <v>12</v>
      </c>
      <c r="CY488" t="s">
        <v>12</v>
      </c>
      <c r="DA488" t="s">
        <v>104</v>
      </c>
      <c r="DD488" t="s">
        <v>93</v>
      </c>
      <c r="DQ488" t="s">
        <v>94</v>
      </c>
      <c r="DR488" t="s">
        <v>94</v>
      </c>
      <c r="DS488" t="s">
        <v>94</v>
      </c>
      <c r="DT488" t="s">
        <v>94</v>
      </c>
      <c r="DU488" t="s">
        <v>94</v>
      </c>
      <c r="DV488" t="s">
        <v>94</v>
      </c>
      <c r="DW488" t="s">
        <v>94</v>
      </c>
      <c r="DX488" s="2" t="s">
        <v>94</v>
      </c>
      <c r="DY488" t="s">
        <v>94</v>
      </c>
      <c r="DZ488" t="s">
        <v>94</v>
      </c>
      <c r="EA488" t="s">
        <v>94</v>
      </c>
      <c r="EB488" t="s">
        <v>94</v>
      </c>
      <c r="EC488" t="s">
        <v>94</v>
      </c>
      <c r="ED488" t="s">
        <v>94</v>
      </c>
      <c r="EE488" t="s">
        <v>89</v>
      </c>
      <c r="EF488" t="s">
        <v>425</v>
      </c>
      <c r="EG488" t="s">
        <v>105</v>
      </c>
      <c r="EJ488" t="s">
        <v>526</v>
      </c>
      <c r="EK488" t="b">
        <v>0</v>
      </c>
      <c r="EL488" t="b">
        <v>0</v>
      </c>
      <c r="EM488" t="b">
        <v>0</v>
      </c>
    </row>
    <row r="489" spans="3:143" ht="15">
      <c r="C489" s="82">
        <v>455</v>
      </c>
      <c r="D489" s="5"/>
      <c r="E489" s="4">
        <v>1</v>
      </c>
      <c r="F489" s="5">
        <v>16.600000000000001</v>
      </c>
      <c r="G489" s="5" t="s">
        <v>6443</v>
      </c>
      <c r="H489" s="4" t="s">
        <v>6426</v>
      </c>
      <c r="I489" s="81" t="s">
        <v>466</v>
      </c>
      <c r="J489" s="21"/>
      <c r="K489" s="22" t="s">
        <v>6380</v>
      </c>
      <c r="L489" s="84" t="s">
        <v>6381</v>
      </c>
      <c r="M489" s="23" t="s">
        <v>409</v>
      </c>
      <c r="N489" s="23">
        <v>43911</v>
      </c>
      <c r="O489" s="24" t="s">
        <v>102</v>
      </c>
      <c r="P489" s="24" t="s">
        <v>181</v>
      </c>
      <c r="Q489" s="24">
        <v>1</v>
      </c>
      <c r="R489" s="24">
        <v>16.600000000000001</v>
      </c>
      <c r="S489" t="s">
        <v>11</v>
      </c>
      <c r="T489">
        <v>664</v>
      </c>
      <c r="U489" s="2" t="s">
        <v>163</v>
      </c>
      <c r="V489">
        <v>43911.785532407404</v>
      </c>
      <c r="W489" s="2" t="s">
        <v>444</v>
      </c>
      <c r="X489">
        <v>43913.442280092589</v>
      </c>
      <c r="AB489" t="s">
        <v>9</v>
      </c>
      <c r="AC489" t="s">
        <v>6382</v>
      </c>
      <c r="AD489" t="s">
        <v>191</v>
      </c>
      <c r="AE489">
        <v>101923</v>
      </c>
      <c r="AF489">
        <v>101923</v>
      </c>
      <c r="AG489" t="s">
        <v>183</v>
      </c>
      <c r="AH489" t="s">
        <v>6383</v>
      </c>
      <c r="AI489" t="s">
        <v>6383</v>
      </c>
      <c r="AJ489" t="s">
        <v>4609</v>
      </c>
      <c r="AK489" t="s">
        <v>4610</v>
      </c>
      <c r="AL489" t="s">
        <v>6384</v>
      </c>
      <c r="AM489" t="s">
        <v>6385</v>
      </c>
      <c r="AO489" t="s">
        <v>6386</v>
      </c>
      <c r="AP489" t="s">
        <v>4610</v>
      </c>
      <c r="AS489">
        <v>25918219</v>
      </c>
      <c r="AT489" t="s">
        <v>6387</v>
      </c>
      <c r="AU489" t="s">
        <v>10</v>
      </c>
      <c r="AV489" t="s">
        <v>6388</v>
      </c>
      <c r="AW489" t="s">
        <v>6388</v>
      </c>
      <c r="AX489" t="s">
        <v>6389</v>
      </c>
      <c r="AY489" s="2" t="s">
        <v>6390</v>
      </c>
      <c r="BA489" t="s">
        <v>726</v>
      </c>
      <c r="BB489" t="s">
        <v>192</v>
      </c>
      <c r="BC489" t="s">
        <v>188</v>
      </c>
      <c r="BD489">
        <v>523473</v>
      </c>
      <c r="BE489" t="s">
        <v>6427</v>
      </c>
      <c r="BF489" t="s">
        <v>6391</v>
      </c>
      <c r="BG489" t="b">
        <v>0</v>
      </c>
      <c r="BH489" s="6" t="s">
        <v>6392</v>
      </c>
      <c r="BI489" t="s">
        <v>6393</v>
      </c>
      <c r="BJ489">
        <v>4453163191</v>
      </c>
      <c r="BK489" t="s">
        <v>162</v>
      </c>
      <c r="BL489" t="s">
        <v>161</v>
      </c>
      <c r="BM489" s="2"/>
      <c r="BO489" t="s">
        <v>89</v>
      </c>
      <c r="BP489">
        <v>3902100090</v>
      </c>
      <c r="BR489" t="s">
        <v>189</v>
      </c>
      <c r="BS489" t="s">
        <v>103</v>
      </c>
      <c r="BU489">
        <v>0</v>
      </c>
      <c r="BV489">
        <v>91.93</v>
      </c>
      <c r="BW489">
        <v>0</v>
      </c>
      <c r="BX489">
        <v>0</v>
      </c>
      <c r="BY489">
        <v>0</v>
      </c>
      <c r="BZ489">
        <v>0</v>
      </c>
      <c r="CA489">
        <v>91.93</v>
      </c>
      <c r="CF489" s="2"/>
      <c r="CH489" s="2"/>
      <c r="CJ489">
        <v>5.3142020950055098E+17</v>
      </c>
      <c r="CK489" t="s">
        <v>2648</v>
      </c>
      <c r="CL489">
        <v>43911.376527777778</v>
      </c>
      <c r="CO489" t="s">
        <v>11</v>
      </c>
      <c r="CP489" t="s">
        <v>6428</v>
      </c>
      <c r="CQ489" t="s">
        <v>11</v>
      </c>
      <c r="CR489">
        <v>664</v>
      </c>
      <c r="CV489" t="s">
        <v>190</v>
      </c>
      <c r="CW489" t="s">
        <v>12</v>
      </c>
      <c r="CX489" t="s">
        <v>12</v>
      </c>
      <c r="CY489" t="s">
        <v>12</v>
      </c>
      <c r="DA489" t="s">
        <v>104</v>
      </c>
      <c r="DD489" t="s">
        <v>93</v>
      </c>
      <c r="DQ489" t="s">
        <v>94</v>
      </c>
      <c r="DR489" t="s">
        <v>94</v>
      </c>
      <c r="DS489" t="s">
        <v>94</v>
      </c>
      <c r="DT489" t="s">
        <v>94</v>
      </c>
      <c r="DU489" t="s">
        <v>94</v>
      </c>
      <c r="DV489" t="s">
        <v>94</v>
      </c>
      <c r="DW489" t="s">
        <v>94</v>
      </c>
      <c r="DX489" s="2" t="s">
        <v>94</v>
      </c>
      <c r="DY489" t="s">
        <v>94</v>
      </c>
      <c r="DZ489" t="s">
        <v>94</v>
      </c>
      <c r="EA489" t="s">
        <v>94</v>
      </c>
      <c r="EB489" t="s">
        <v>94</v>
      </c>
      <c r="EC489" t="s">
        <v>94</v>
      </c>
      <c r="ED489" t="s">
        <v>94</v>
      </c>
      <c r="EE489" t="s">
        <v>89</v>
      </c>
      <c r="EF489" t="s">
        <v>425</v>
      </c>
      <c r="EG489" t="s">
        <v>105</v>
      </c>
      <c r="EJ489" t="s">
        <v>166</v>
      </c>
      <c r="EK489" t="b">
        <v>0</v>
      </c>
      <c r="EL489" t="b">
        <v>0</v>
      </c>
      <c r="EM489" t="b">
        <v>0</v>
      </c>
    </row>
    <row r="490" spans="3:143" ht="15">
      <c r="C490" s="82">
        <v>5656</v>
      </c>
      <c r="D490" s="5"/>
      <c r="E490" s="4">
        <v>1</v>
      </c>
      <c r="F490" s="5">
        <v>0.15</v>
      </c>
      <c r="G490" s="5" t="s">
        <v>6444</v>
      </c>
      <c r="H490" s="4" t="s">
        <v>6430</v>
      </c>
      <c r="I490" s="81" t="s">
        <v>466</v>
      </c>
      <c r="J490" s="21"/>
      <c r="K490" s="22" t="s">
        <v>6394</v>
      </c>
      <c r="L490" s="84" t="s">
        <v>6323</v>
      </c>
      <c r="M490" s="23" t="s">
        <v>409</v>
      </c>
      <c r="N490" s="23">
        <v>43910</v>
      </c>
      <c r="O490" s="24" t="s">
        <v>102</v>
      </c>
      <c r="P490" s="24" t="s">
        <v>179</v>
      </c>
      <c r="Q490" s="24">
        <v>1</v>
      </c>
      <c r="R490" s="24">
        <v>0.15</v>
      </c>
      <c r="S490" t="s">
        <v>528</v>
      </c>
      <c r="T490">
        <v>30</v>
      </c>
      <c r="U490" s="2" t="s">
        <v>163</v>
      </c>
      <c r="V490">
        <v>43910.81082175926</v>
      </c>
      <c r="W490" s="2" t="s">
        <v>444</v>
      </c>
      <c r="X490">
        <v>43912.462766203702</v>
      </c>
      <c r="AB490" t="s">
        <v>9</v>
      </c>
      <c r="AC490" t="s">
        <v>1499</v>
      </c>
      <c r="AD490" t="s">
        <v>1125</v>
      </c>
      <c r="AE490">
        <v>70322896</v>
      </c>
      <c r="AF490">
        <v>70322896</v>
      </c>
      <c r="AG490" t="s">
        <v>183</v>
      </c>
      <c r="AH490" t="s">
        <v>6395</v>
      </c>
      <c r="AI490" t="s">
        <v>6395</v>
      </c>
      <c r="AJ490" t="s">
        <v>776</v>
      </c>
      <c r="AK490" t="s">
        <v>777</v>
      </c>
      <c r="AL490" t="s">
        <v>6396</v>
      </c>
      <c r="AO490" t="s">
        <v>6397</v>
      </c>
      <c r="AP490" t="s">
        <v>1502</v>
      </c>
      <c r="AQ490" t="s">
        <v>1386</v>
      </c>
      <c r="AR490" t="s">
        <v>6431</v>
      </c>
      <c r="AS490">
        <v>6201807517</v>
      </c>
      <c r="AT490" t="s">
        <v>6398</v>
      </c>
      <c r="AU490" t="s">
        <v>10</v>
      </c>
      <c r="AV490" t="s">
        <v>6399</v>
      </c>
      <c r="AW490" t="s">
        <v>6399</v>
      </c>
      <c r="AX490" t="s">
        <v>6400</v>
      </c>
      <c r="AY490" s="2" t="s">
        <v>6401</v>
      </c>
      <c r="BA490" t="s">
        <v>2748</v>
      </c>
      <c r="BB490" t="s">
        <v>1138</v>
      </c>
      <c r="BC490" t="s">
        <v>188</v>
      </c>
      <c r="BD490">
        <v>528300</v>
      </c>
      <c r="BE490" t="s">
        <v>6432</v>
      </c>
      <c r="BF490" t="s">
        <v>6402</v>
      </c>
      <c r="BG490" t="b">
        <v>0</v>
      </c>
      <c r="BH490" s="6" t="s">
        <v>6403</v>
      </c>
      <c r="BI490" t="s">
        <v>6404</v>
      </c>
      <c r="BJ490">
        <v>4453163191</v>
      </c>
      <c r="BK490" t="s">
        <v>162</v>
      </c>
      <c r="BL490" t="s">
        <v>161</v>
      </c>
      <c r="BM490" s="2"/>
      <c r="BO490" t="s">
        <v>89</v>
      </c>
      <c r="BP490">
        <v>85366900</v>
      </c>
      <c r="BR490" t="s">
        <v>180</v>
      </c>
      <c r="BS490" t="s">
        <v>103</v>
      </c>
      <c r="BU490">
        <v>0</v>
      </c>
      <c r="BV490">
        <v>0</v>
      </c>
      <c r="BW490">
        <v>0</v>
      </c>
      <c r="BX490">
        <v>0</v>
      </c>
      <c r="BY490">
        <v>0</v>
      </c>
      <c r="BZ490">
        <v>0</v>
      </c>
      <c r="CA490">
        <v>0</v>
      </c>
      <c r="CF490" s="2"/>
      <c r="CH490" s="2"/>
      <c r="CJ490">
        <v>5.3142020950054003E+17</v>
      </c>
      <c r="CK490" t="s">
        <v>445</v>
      </c>
      <c r="CL490">
        <v>43910.377326388887</v>
      </c>
      <c r="CO490" t="s">
        <v>11</v>
      </c>
      <c r="CP490" t="s">
        <v>6433</v>
      </c>
      <c r="CQ490" t="s">
        <v>11</v>
      </c>
      <c r="CR490">
        <v>229.85</v>
      </c>
      <c r="CV490" t="s">
        <v>190</v>
      </c>
      <c r="CW490" t="s">
        <v>12</v>
      </c>
      <c r="CX490" t="s">
        <v>12</v>
      </c>
      <c r="CY490" t="s">
        <v>12</v>
      </c>
      <c r="DA490" t="s">
        <v>104</v>
      </c>
      <c r="DD490" t="s">
        <v>93</v>
      </c>
      <c r="DQ490" t="s">
        <v>94</v>
      </c>
      <c r="DR490" t="s">
        <v>94</v>
      </c>
      <c r="DS490" t="s">
        <v>94</v>
      </c>
      <c r="DT490" t="s">
        <v>94</v>
      </c>
      <c r="DU490" t="s">
        <v>94</v>
      </c>
      <c r="DV490" t="s">
        <v>94</v>
      </c>
      <c r="DW490" t="s">
        <v>94</v>
      </c>
      <c r="DX490" s="2" t="s">
        <v>94</v>
      </c>
      <c r="DY490" t="s">
        <v>94</v>
      </c>
      <c r="DZ490" t="s">
        <v>94</v>
      </c>
      <c r="EA490" t="s">
        <v>94</v>
      </c>
      <c r="EB490" t="s">
        <v>94</v>
      </c>
      <c r="EC490" t="s">
        <v>94</v>
      </c>
      <c r="ED490" t="s">
        <v>94</v>
      </c>
      <c r="EE490" t="s">
        <v>89</v>
      </c>
      <c r="EF490" t="s">
        <v>425</v>
      </c>
      <c r="EG490" t="s">
        <v>105</v>
      </c>
      <c r="EJ490" t="s">
        <v>166</v>
      </c>
      <c r="EK490" t="b">
        <v>0</v>
      </c>
      <c r="EL490" t="b">
        <v>0</v>
      </c>
      <c r="EM490" t="b">
        <v>0</v>
      </c>
    </row>
    <row r="491" spans="3:143" ht="15">
      <c r="C491" s="82">
        <v>1</v>
      </c>
      <c r="D491" s="5">
        <v>763</v>
      </c>
      <c r="E491" s="4">
        <v>2</v>
      </c>
      <c r="F491" s="5">
        <v>763</v>
      </c>
      <c r="G491" s="5" t="s">
        <v>6460</v>
      </c>
      <c r="H491" s="4" t="s">
        <v>6461</v>
      </c>
      <c r="I491" s="81" t="s">
        <v>466</v>
      </c>
      <c r="J491" s="21"/>
      <c r="K491" s="22" t="s">
        <v>6458</v>
      </c>
      <c r="L491" s="84" t="s">
        <v>6381</v>
      </c>
      <c r="M491" s="23" t="s">
        <v>409</v>
      </c>
      <c r="N491" s="23">
        <v>43911</v>
      </c>
      <c r="O491" s="24" t="s">
        <v>102</v>
      </c>
      <c r="P491" s="24" t="s">
        <v>480</v>
      </c>
      <c r="Q491" s="24">
        <v>3</v>
      </c>
      <c r="R491" s="24">
        <v>765</v>
      </c>
      <c r="S491" t="s">
        <v>528</v>
      </c>
      <c r="T491">
        <v>14507</v>
      </c>
      <c r="U491" s="2"/>
      <c r="W491" s="2"/>
      <c r="AC491" t="s">
        <v>9</v>
      </c>
      <c r="AD491" t="s">
        <v>2360</v>
      </c>
      <c r="AE491" t="s">
        <v>6195</v>
      </c>
      <c r="AF491" t="s">
        <v>183</v>
      </c>
      <c r="AG491" t="s">
        <v>183</v>
      </c>
      <c r="AH491">
        <v>114560</v>
      </c>
      <c r="AI491" t="s">
        <v>6445</v>
      </c>
      <c r="AJ491" t="s">
        <v>6445</v>
      </c>
      <c r="AK491" t="s">
        <v>1214</v>
      </c>
      <c r="AL491" t="s">
        <v>1215</v>
      </c>
      <c r="AM491" t="s">
        <v>6446</v>
      </c>
      <c r="AP491" t="s">
        <v>6447</v>
      </c>
      <c r="AQ491" t="s">
        <v>2364</v>
      </c>
      <c r="AR491" t="s">
        <v>6448</v>
      </c>
      <c r="AS491">
        <v>5610</v>
      </c>
      <c r="AT491">
        <v>0</v>
      </c>
      <c r="AU491" t="s">
        <v>6449</v>
      </c>
      <c r="AV491" t="s">
        <v>10</v>
      </c>
      <c r="AW491" t="s">
        <v>6268</v>
      </c>
      <c r="AX491" t="s">
        <v>6200</v>
      </c>
      <c r="AY491" s="2" t="s">
        <v>6269</v>
      </c>
      <c r="AZ491" t="s">
        <v>6270</v>
      </c>
      <c r="BA491" t="s">
        <v>6271</v>
      </c>
      <c r="BB491" t="s">
        <v>6201</v>
      </c>
      <c r="BC491" t="s">
        <v>6272</v>
      </c>
      <c r="BD491" t="s">
        <v>2872</v>
      </c>
      <c r="BE491">
        <v>361101</v>
      </c>
      <c r="BF491" t="s">
        <v>6273</v>
      </c>
      <c r="BG491" t="s">
        <v>6274</v>
      </c>
      <c r="BH491" s="6" t="b">
        <v>0</v>
      </c>
      <c r="BI491" t="s">
        <v>6450</v>
      </c>
      <c r="BJ491" t="s">
        <v>6451</v>
      </c>
      <c r="BK491">
        <v>4453163191</v>
      </c>
      <c r="BL491" t="s">
        <v>162</v>
      </c>
      <c r="BM491" s="2" t="s">
        <v>161</v>
      </c>
      <c r="BO491" t="s">
        <v>6277</v>
      </c>
      <c r="BS491" t="s">
        <v>189</v>
      </c>
      <c r="BT491" t="s">
        <v>103</v>
      </c>
      <c r="BV491">
        <v>0</v>
      </c>
      <c r="BW491">
        <v>0</v>
      </c>
      <c r="BX491">
        <v>0</v>
      </c>
      <c r="BY491">
        <v>0</v>
      </c>
      <c r="BZ491">
        <v>0</v>
      </c>
      <c r="CA491">
        <v>0</v>
      </c>
      <c r="CB491">
        <v>0</v>
      </c>
      <c r="CF491" s="2"/>
      <c r="CH491" s="2"/>
      <c r="CK491" t="s">
        <v>2648</v>
      </c>
      <c r="CL491">
        <v>43911.576805555553</v>
      </c>
      <c r="CO491" t="s">
        <v>11</v>
      </c>
      <c r="CP491" t="s">
        <v>6462</v>
      </c>
      <c r="CQ491" t="s">
        <v>11</v>
      </c>
      <c r="CR491">
        <v>111145.38</v>
      </c>
      <c r="CV491" t="s">
        <v>525</v>
      </c>
      <c r="CW491" t="s">
        <v>12</v>
      </c>
      <c r="CX491" t="s">
        <v>12</v>
      </c>
      <c r="CY491" t="s">
        <v>12</v>
      </c>
      <c r="DA491" t="s">
        <v>104</v>
      </c>
      <c r="DD491" t="s">
        <v>93</v>
      </c>
      <c r="DQ491" t="s">
        <v>94</v>
      </c>
      <c r="DR491" t="s">
        <v>94</v>
      </c>
      <c r="DS491" t="s">
        <v>94</v>
      </c>
      <c r="DT491" t="s">
        <v>94</v>
      </c>
      <c r="DU491" t="s">
        <v>94</v>
      </c>
      <c r="DV491" t="s">
        <v>94</v>
      </c>
      <c r="DW491" t="s">
        <v>94</v>
      </c>
      <c r="DX491" s="2" t="s">
        <v>94</v>
      </c>
      <c r="DY491" t="s">
        <v>94</v>
      </c>
      <c r="DZ491" t="s">
        <v>94</v>
      </c>
      <c r="EA491" t="s">
        <v>94</v>
      </c>
      <c r="EB491" t="s">
        <v>94</v>
      </c>
      <c r="EC491" t="s">
        <v>94</v>
      </c>
      <c r="ED491" t="s">
        <v>94</v>
      </c>
      <c r="EE491" t="s">
        <v>89</v>
      </c>
      <c r="EF491" t="s">
        <v>94</v>
      </c>
      <c r="EG491" t="s">
        <v>105</v>
      </c>
      <c r="EJ491" t="s">
        <v>166</v>
      </c>
      <c r="EK491" t="b">
        <v>0</v>
      </c>
      <c r="EL491" t="b">
        <v>0</v>
      </c>
      <c r="EM491" t="b">
        <v>0</v>
      </c>
    </row>
    <row r="492" spans="3:143">
      <c r="C492" s="4">
        <v>11</v>
      </c>
      <c r="D492" s="4">
        <v>2</v>
      </c>
      <c r="E492" s="4">
        <v>1</v>
      </c>
      <c r="F492" s="4">
        <v>2</v>
      </c>
      <c r="G492" s="5" t="s">
        <v>6460</v>
      </c>
      <c r="H492" s="4" t="s">
        <v>6461</v>
      </c>
      <c r="I492" s="4" t="s">
        <v>466</v>
      </c>
      <c r="J492" s="5"/>
      <c r="K492" s="22" t="s">
        <v>6459</v>
      </c>
      <c r="L492" s="84" t="s">
        <v>6381</v>
      </c>
      <c r="M492" s="23" t="s">
        <v>409</v>
      </c>
      <c r="N492" s="23">
        <v>43911</v>
      </c>
      <c r="O492" s="24" t="s">
        <v>102</v>
      </c>
      <c r="P492" s="24" t="s">
        <v>480</v>
      </c>
      <c r="Q492" s="24">
        <v>3</v>
      </c>
      <c r="R492" s="24">
        <v>765</v>
      </c>
      <c r="S492" t="s">
        <v>528</v>
      </c>
      <c r="T492">
        <v>14507</v>
      </c>
      <c r="U492" s="2"/>
      <c r="W492" s="2"/>
      <c r="AC492" t="s">
        <v>9</v>
      </c>
      <c r="AD492" t="s">
        <v>2360</v>
      </c>
      <c r="AE492" t="s">
        <v>6195</v>
      </c>
      <c r="AF492" t="s">
        <v>183</v>
      </c>
      <c r="AG492" t="s">
        <v>183</v>
      </c>
      <c r="AH492">
        <v>114560</v>
      </c>
      <c r="AI492" t="s">
        <v>6445</v>
      </c>
      <c r="AJ492" t="s">
        <v>6445</v>
      </c>
      <c r="AK492" t="s">
        <v>1214</v>
      </c>
      <c r="AL492" t="s">
        <v>1215</v>
      </c>
      <c r="AM492" t="s">
        <v>6446</v>
      </c>
      <c r="AP492" t="s">
        <v>6447</v>
      </c>
      <c r="AQ492" t="s">
        <v>2364</v>
      </c>
      <c r="AR492" t="s">
        <v>6448</v>
      </c>
      <c r="AS492">
        <v>5610</v>
      </c>
      <c r="AT492">
        <v>0</v>
      </c>
      <c r="AU492" t="s">
        <v>6449</v>
      </c>
      <c r="AV492" t="s">
        <v>10</v>
      </c>
      <c r="AW492" t="s">
        <v>6268</v>
      </c>
      <c r="AX492" t="s">
        <v>6200</v>
      </c>
      <c r="AY492" t="s">
        <v>6269</v>
      </c>
      <c r="AZ492" t="s">
        <v>6270</v>
      </c>
      <c r="BA492" t="s">
        <v>6271</v>
      </c>
      <c r="BB492" t="s">
        <v>6201</v>
      </c>
      <c r="BC492" t="s">
        <v>6272</v>
      </c>
      <c r="BD492" t="s">
        <v>2872</v>
      </c>
      <c r="BE492">
        <v>361101</v>
      </c>
      <c r="BF492" t="s">
        <v>6273</v>
      </c>
      <c r="BG492" t="s">
        <v>6274</v>
      </c>
      <c r="BH492" s="6" t="b">
        <v>0</v>
      </c>
      <c r="BI492" t="s">
        <v>6450</v>
      </c>
      <c r="BJ492" t="s">
        <v>6451</v>
      </c>
      <c r="BK492">
        <v>4453163191</v>
      </c>
      <c r="BL492" t="s">
        <v>162</v>
      </c>
      <c r="BM492" s="2" t="s">
        <v>161</v>
      </c>
      <c r="BO492" t="s">
        <v>6277</v>
      </c>
      <c r="BS492" t="s">
        <v>189</v>
      </c>
      <c r="BT492" t="s">
        <v>103</v>
      </c>
      <c r="BV492">
        <v>0</v>
      </c>
      <c r="BW492">
        <v>0</v>
      </c>
      <c r="BX492">
        <v>0</v>
      </c>
      <c r="BY492">
        <v>0</v>
      </c>
      <c r="BZ492">
        <v>0</v>
      </c>
      <c r="CA492">
        <v>0</v>
      </c>
      <c r="CB492">
        <v>0</v>
      </c>
      <c r="CF492" s="2"/>
      <c r="CH492" s="2"/>
      <c r="CK492" t="s">
        <v>2648</v>
      </c>
      <c r="CL492">
        <v>43911.576805555553</v>
      </c>
      <c r="CO492" t="s">
        <v>11</v>
      </c>
      <c r="CP492" t="s">
        <v>6462</v>
      </c>
      <c r="CQ492" t="s">
        <v>11</v>
      </c>
      <c r="CR492">
        <v>111145.38</v>
      </c>
      <c r="CV492" t="s">
        <v>525</v>
      </c>
      <c r="CW492" t="s">
        <v>12</v>
      </c>
      <c r="CX492" t="s">
        <v>12</v>
      </c>
      <c r="CY492" t="s">
        <v>12</v>
      </c>
      <c r="DA492" t="s">
        <v>104</v>
      </c>
      <c r="DD492" t="s">
        <v>93</v>
      </c>
      <c r="DQ492" t="s">
        <v>94</v>
      </c>
      <c r="DR492" t="s">
        <v>94</v>
      </c>
      <c r="DS492" t="s">
        <v>94</v>
      </c>
      <c r="DT492" t="s">
        <v>94</v>
      </c>
      <c r="DU492" t="s">
        <v>94</v>
      </c>
      <c r="DV492" t="s">
        <v>94</v>
      </c>
      <c r="DW492" t="s">
        <v>94</v>
      </c>
      <c r="DX492" s="2" t="s">
        <v>94</v>
      </c>
      <c r="DY492" t="s">
        <v>94</v>
      </c>
      <c r="DZ492" t="s">
        <v>94</v>
      </c>
      <c r="EA492" t="s">
        <v>94</v>
      </c>
      <c r="EB492" t="s">
        <v>94</v>
      </c>
      <c r="EC492" t="s">
        <v>94</v>
      </c>
      <c r="ED492" t="s">
        <v>94</v>
      </c>
      <c r="EE492" t="s">
        <v>89</v>
      </c>
      <c r="EF492" t="s">
        <v>94</v>
      </c>
      <c r="EG492" t="s">
        <v>105</v>
      </c>
      <c r="EJ492" t="s">
        <v>166</v>
      </c>
      <c r="EK492" t="b">
        <v>0</v>
      </c>
      <c r="EL492" t="b">
        <v>0</v>
      </c>
      <c r="EM492" t="b">
        <v>0</v>
      </c>
    </row>
    <row r="493" spans="3:143" ht="15">
      <c r="C493" s="82">
        <v>1</v>
      </c>
      <c r="D493" s="5">
        <v>4</v>
      </c>
      <c r="E493" s="4">
        <v>1</v>
      </c>
      <c r="F493" s="5">
        <v>4</v>
      </c>
      <c r="G493" s="5" t="s">
        <v>6465</v>
      </c>
      <c r="H493" s="4" t="s">
        <v>6466</v>
      </c>
      <c r="I493" s="81" t="s">
        <v>164</v>
      </c>
      <c r="J493" s="21"/>
      <c r="K493" s="22" t="s">
        <v>6463</v>
      </c>
      <c r="L493" s="84" t="s">
        <v>6452</v>
      </c>
      <c r="M493" s="23" t="s">
        <v>447</v>
      </c>
      <c r="N493" s="23">
        <v>43913</v>
      </c>
      <c r="O493" s="24" t="s">
        <v>102</v>
      </c>
      <c r="P493" s="24" t="s">
        <v>480</v>
      </c>
      <c r="Q493" s="24">
        <v>1</v>
      </c>
      <c r="R493" s="24">
        <v>54.5</v>
      </c>
      <c r="S493" t="s">
        <v>3738</v>
      </c>
      <c r="T493">
        <v>14400</v>
      </c>
      <c r="U493" s="2"/>
      <c r="W493" s="2"/>
      <c r="AC493" t="s">
        <v>9</v>
      </c>
      <c r="AD493" t="s">
        <v>2360</v>
      </c>
      <c r="AE493" t="s">
        <v>6195</v>
      </c>
      <c r="AF493" t="s">
        <v>6467</v>
      </c>
      <c r="AG493" t="s">
        <v>6467</v>
      </c>
      <c r="AH493">
        <v>114560</v>
      </c>
      <c r="AI493" t="s">
        <v>6453</v>
      </c>
      <c r="AJ493" t="s">
        <v>6453</v>
      </c>
      <c r="AK493" t="s">
        <v>1214</v>
      </c>
      <c r="AL493" t="s">
        <v>1215</v>
      </c>
      <c r="AM493" t="s">
        <v>6454</v>
      </c>
      <c r="AP493" t="s">
        <v>6455</v>
      </c>
      <c r="AQ493" t="s">
        <v>2364</v>
      </c>
      <c r="AS493">
        <v>5736</v>
      </c>
      <c r="AT493">
        <v>6512134</v>
      </c>
      <c r="AU493" t="s">
        <v>6456</v>
      </c>
      <c r="AV493" t="s">
        <v>10</v>
      </c>
      <c r="AW493" t="s">
        <v>6268</v>
      </c>
      <c r="AX493" t="s">
        <v>6200</v>
      </c>
      <c r="AY493" s="2" t="s">
        <v>6269</v>
      </c>
      <c r="AZ493" t="s">
        <v>6270</v>
      </c>
      <c r="BA493" t="s">
        <v>6271</v>
      </c>
      <c r="BB493" t="s">
        <v>6201</v>
      </c>
      <c r="BC493" t="s">
        <v>6272</v>
      </c>
      <c r="BD493" t="s">
        <v>2872</v>
      </c>
      <c r="BE493">
        <v>361101</v>
      </c>
      <c r="BF493" t="s">
        <v>6273</v>
      </c>
      <c r="BG493" t="s">
        <v>6274</v>
      </c>
      <c r="BH493" s="6" t="b">
        <v>0</v>
      </c>
      <c r="BI493" t="s">
        <v>6275</v>
      </c>
      <c r="BJ493" t="s">
        <v>6457</v>
      </c>
      <c r="BK493">
        <v>4453163191</v>
      </c>
      <c r="BL493" t="s">
        <v>162</v>
      </c>
      <c r="BM493" s="2" t="s">
        <v>161</v>
      </c>
      <c r="BO493" t="s">
        <v>6277</v>
      </c>
      <c r="BS493" t="s">
        <v>189</v>
      </c>
      <c r="BT493" t="s">
        <v>103</v>
      </c>
      <c r="BV493">
        <v>0</v>
      </c>
      <c r="BW493">
        <v>0</v>
      </c>
      <c r="BX493">
        <v>0</v>
      </c>
      <c r="BY493">
        <v>0</v>
      </c>
      <c r="BZ493">
        <v>0</v>
      </c>
      <c r="CA493">
        <v>0</v>
      </c>
      <c r="CB493">
        <v>0</v>
      </c>
      <c r="CF493" s="2"/>
      <c r="CH493" s="2"/>
      <c r="CK493" t="s">
        <v>445</v>
      </c>
      <c r="CL493">
        <v>43913.558900462966</v>
      </c>
      <c r="CO493" t="s">
        <v>11</v>
      </c>
      <c r="CP493" t="s">
        <v>6468</v>
      </c>
      <c r="CQ493" t="s">
        <v>11</v>
      </c>
      <c r="CR493">
        <v>102499.2</v>
      </c>
      <c r="CV493" t="s">
        <v>525</v>
      </c>
      <c r="CW493" t="s">
        <v>12</v>
      </c>
      <c r="CX493" t="s">
        <v>12</v>
      </c>
      <c r="CY493" t="s">
        <v>12</v>
      </c>
      <c r="DA493" t="s">
        <v>104</v>
      </c>
      <c r="DD493" t="s">
        <v>93</v>
      </c>
      <c r="DQ493" t="s">
        <v>94</v>
      </c>
      <c r="DR493" t="s">
        <v>94</v>
      </c>
      <c r="DS493" t="s">
        <v>94</v>
      </c>
      <c r="DT493" t="s">
        <v>94</v>
      </c>
      <c r="DU493" t="s">
        <v>94</v>
      </c>
      <c r="DV493" t="s">
        <v>94</v>
      </c>
      <c r="DW493" t="s">
        <v>94</v>
      </c>
      <c r="DX493" s="2" t="s">
        <v>94</v>
      </c>
      <c r="DY493" t="s">
        <v>94</v>
      </c>
      <c r="DZ493" t="s">
        <v>94</v>
      </c>
      <c r="EA493" t="s">
        <v>94</v>
      </c>
      <c r="EB493" t="s">
        <v>94</v>
      </c>
      <c r="EC493" t="s">
        <v>94</v>
      </c>
      <c r="ED493" t="s">
        <v>94</v>
      </c>
      <c r="EE493" t="s">
        <v>89</v>
      </c>
      <c r="EF493" t="s">
        <v>425</v>
      </c>
      <c r="EG493" t="s">
        <v>105</v>
      </c>
      <c r="EJ493" t="s">
        <v>166</v>
      </c>
      <c r="EK493" t="b">
        <v>0</v>
      </c>
      <c r="EL493" t="b">
        <v>0</v>
      </c>
      <c r="EM493" t="b">
        <v>0</v>
      </c>
    </row>
    <row r="494" spans="3:143">
      <c r="C494" s="4">
        <v>1</v>
      </c>
      <c r="D494" s="4">
        <v>51</v>
      </c>
      <c r="E494" s="4">
        <v>1</v>
      </c>
      <c r="F494" s="4">
        <v>51</v>
      </c>
      <c r="G494" s="5" t="s">
        <v>6465</v>
      </c>
      <c r="H494" s="4" t="s">
        <v>6466</v>
      </c>
      <c r="I494" s="4" t="s">
        <v>164</v>
      </c>
      <c r="J494" s="5"/>
      <c r="K494" s="22" t="s">
        <v>6464</v>
      </c>
      <c r="L494" s="84" t="s">
        <v>6452</v>
      </c>
      <c r="M494" s="23" t="s">
        <v>447</v>
      </c>
      <c r="N494" s="23">
        <v>43913</v>
      </c>
      <c r="O494" s="24" t="s">
        <v>102</v>
      </c>
      <c r="P494" s="24" t="s">
        <v>480</v>
      </c>
      <c r="Q494" s="24">
        <v>1</v>
      </c>
      <c r="R494" s="24">
        <v>54.5</v>
      </c>
      <c r="S494" t="s">
        <v>3738</v>
      </c>
      <c r="T494">
        <v>14400</v>
      </c>
      <c r="U494" s="2"/>
      <c r="W494" s="2"/>
      <c r="AC494" t="s">
        <v>9</v>
      </c>
      <c r="AD494" t="s">
        <v>2360</v>
      </c>
      <c r="AE494" t="s">
        <v>6195</v>
      </c>
      <c r="AF494" t="s">
        <v>6467</v>
      </c>
      <c r="AG494" t="s">
        <v>6467</v>
      </c>
      <c r="AH494">
        <v>114560</v>
      </c>
      <c r="AI494" t="s">
        <v>6453</v>
      </c>
      <c r="AJ494" t="s">
        <v>6453</v>
      </c>
      <c r="AK494" t="s">
        <v>1214</v>
      </c>
      <c r="AL494" t="s">
        <v>1215</v>
      </c>
      <c r="AM494" t="s">
        <v>6454</v>
      </c>
      <c r="AP494" t="s">
        <v>6455</v>
      </c>
      <c r="AQ494" t="s">
        <v>2364</v>
      </c>
      <c r="AS494">
        <v>5736</v>
      </c>
      <c r="AT494">
        <v>6512134</v>
      </c>
      <c r="AU494" t="s">
        <v>6456</v>
      </c>
      <c r="AV494" t="s">
        <v>10</v>
      </c>
      <c r="AW494" t="s">
        <v>6268</v>
      </c>
      <c r="AX494" t="s">
        <v>6200</v>
      </c>
      <c r="AY494" t="s">
        <v>6269</v>
      </c>
      <c r="AZ494" t="s">
        <v>6270</v>
      </c>
      <c r="BA494" t="s">
        <v>6271</v>
      </c>
      <c r="BB494" t="s">
        <v>6201</v>
      </c>
      <c r="BC494" t="s">
        <v>6272</v>
      </c>
      <c r="BD494" t="s">
        <v>2872</v>
      </c>
      <c r="BE494">
        <v>361101</v>
      </c>
      <c r="BF494" t="s">
        <v>6273</v>
      </c>
      <c r="BG494" t="s">
        <v>6274</v>
      </c>
      <c r="BH494" s="6" t="b">
        <v>0</v>
      </c>
      <c r="BI494" t="s">
        <v>6275</v>
      </c>
      <c r="BJ494" t="s">
        <v>6457</v>
      </c>
      <c r="BK494">
        <v>4453163191</v>
      </c>
      <c r="BL494" t="s">
        <v>162</v>
      </c>
      <c r="BM494" s="2" t="s">
        <v>161</v>
      </c>
      <c r="BO494" t="s">
        <v>6277</v>
      </c>
      <c r="BS494" t="s">
        <v>189</v>
      </c>
      <c r="BT494" t="s">
        <v>103</v>
      </c>
      <c r="BV494">
        <v>0</v>
      </c>
      <c r="BW494">
        <v>0</v>
      </c>
      <c r="BX494">
        <v>0</v>
      </c>
      <c r="BY494">
        <v>0</v>
      </c>
      <c r="BZ494">
        <v>0</v>
      </c>
      <c r="CA494">
        <v>0</v>
      </c>
      <c r="CB494">
        <v>0</v>
      </c>
      <c r="CF494" s="2"/>
      <c r="CH494" s="2"/>
      <c r="CK494" t="s">
        <v>445</v>
      </c>
      <c r="CL494">
        <v>43913.558900462966</v>
      </c>
      <c r="CO494" t="s">
        <v>11</v>
      </c>
      <c r="CP494" t="s">
        <v>6468</v>
      </c>
      <c r="CQ494" t="s">
        <v>11</v>
      </c>
      <c r="CR494">
        <v>102499.2</v>
      </c>
      <c r="CV494" t="s">
        <v>525</v>
      </c>
      <c r="CW494" t="s">
        <v>12</v>
      </c>
      <c r="CX494" t="s">
        <v>12</v>
      </c>
      <c r="CY494" t="s">
        <v>12</v>
      </c>
      <c r="DA494" t="s">
        <v>104</v>
      </c>
      <c r="DD494" t="s">
        <v>93</v>
      </c>
      <c r="DQ494" t="s">
        <v>94</v>
      </c>
      <c r="DR494" t="s">
        <v>94</v>
      </c>
      <c r="DS494" t="s">
        <v>94</v>
      </c>
      <c r="DT494" t="s">
        <v>94</v>
      </c>
      <c r="DU494" t="s">
        <v>94</v>
      </c>
      <c r="DV494" t="s">
        <v>94</v>
      </c>
      <c r="DW494" t="s">
        <v>94</v>
      </c>
      <c r="DX494" s="2" t="s">
        <v>94</v>
      </c>
      <c r="DY494" t="s">
        <v>94</v>
      </c>
      <c r="DZ494" t="s">
        <v>94</v>
      </c>
      <c r="EA494" t="s">
        <v>94</v>
      </c>
      <c r="EB494" t="s">
        <v>94</v>
      </c>
      <c r="EC494" t="s">
        <v>94</v>
      </c>
      <c r="ED494" t="s">
        <v>94</v>
      </c>
      <c r="EE494" t="s">
        <v>89</v>
      </c>
      <c r="EF494" t="s">
        <v>425</v>
      </c>
      <c r="EG494" t="s">
        <v>105</v>
      </c>
      <c r="EJ494" t="s">
        <v>166</v>
      </c>
      <c r="EK494" t="b">
        <v>0</v>
      </c>
      <c r="EL494" t="b">
        <v>0</v>
      </c>
      <c r="EM494" t="b">
        <v>0</v>
      </c>
    </row>
    <row r="495" spans="3:143" ht="15">
      <c r="C495" s="82">
        <v>23</v>
      </c>
      <c r="D495" s="5"/>
      <c r="E495" s="4">
        <v>1</v>
      </c>
      <c r="F495" s="5">
        <v>0.2</v>
      </c>
      <c r="G495" s="5" t="s">
        <v>6482</v>
      </c>
      <c r="H495" s="4" t="s">
        <v>6483</v>
      </c>
      <c r="I495" s="81" t="s">
        <v>817</v>
      </c>
      <c r="J495" s="21"/>
      <c r="K495" s="22" t="s">
        <v>6469</v>
      </c>
      <c r="L495" s="84" t="s">
        <v>6245</v>
      </c>
      <c r="M495" s="23" t="s">
        <v>817</v>
      </c>
      <c r="N495" s="23">
        <v>43898</v>
      </c>
      <c r="O495" s="24" t="s">
        <v>102</v>
      </c>
      <c r="P495" s="24" t="s">
        <v>179</v>
      </c>
      <c r="Q495" s="24">
        <v>1</v>
      </c>
      <c r="R495" s="24">
        <v>0.2</v>
      </c>
      <c r="S495" t="s">
        <v>528</v>
      </c>
      <c r="T495">
        <v>50</v>
      </c>
      <c r="U495" s="2" t="s">
        <v>163</v>
      </c>
      <c r="V495">
        <v>43898.819178240738</v>
      </c>
      <c r="W495" s="2" t="s">
        <v>444</v>
      </c>
      <c r="Y495">
        <v>43900.418888888889</v>
      </c>
      <c r="AC495" t="s">
        <v>9</v>
      </c>
      <c r="AD495" t="s">
        <v>6470</v>
      </c>
      <c r="AE495" t="s">
        <v>182</v>
      </c>
      <c r="AF495">
        <v>2000727</v>
      </c>
      <c r="AG495">
        <v>2000727</v>
      </c>
      <c r="AH495" t="s">
        <v>183</v>
      </c>
      <c r="AI495" t="s">
        <v>6471</v>
      </c>
      <c r="AJ495" t="s">
        <v>6471</v>
      </c>
      <c r="AK495" t="s">
        <v>601</v>
      </c>
      <c r="AL495" t="s">
        <v>602</v>
      </c>
      <c r="AM495" t="s">
        <v>6472</v>
      </c>
      <c r="AP495" t="s">
        <v>6473</v>
      </c>
      <c r="AQ495" t="s">
        <v>6474</v>
      </c>
      <c r="AR495" t="s">
        <v>1584</v>
      </c>
      <c r="AS495">
        <v>84013</v>
      </c>
      <c r="AT495">
        <v>89442032</v>
      </c>
      <c r="AU495" t="s">
        <v>6475</v>
      </c>
      <c r="AV495" t="s">
        <v>10</v>
      </c>
      <c r="AW495" t="s">
        <v>6476</v>
      </c>
      <c r="AX495" t="s">
        <v>6477</v>
      </c>
      <c r="AY495" s="2" t="s">
        <v>6478</v>
      </c>
      <c r="AZ495" t="s">
        <v>6479</v>
      </c>
      <c r="BB495" t="s">
        <v>194</v>
      </c>
      <c r="BC495" t="s">
        <v>187</v>
      </c>
      <c r="BD495" t="s">
        <v>188</v>
      </c>
      <c r="BE495">
        <v>518131</v>
      </c>
      <c r="BF495">
        <v>13510747676</v>
      </c>
      <c r="BG495" t="s">
        <v>6480</v>
      </c>
      <c r="BH495" s="6" t="b">
        <v>0</v>
      </c>
      <c r="BI495" t="s">
        <v>6174</v>
      </c>
      <c r="BJ495" t="s">
        <v>6481</v>
      </c>
      <c r="BK495">
        <v>4453163191</v>
      </c>
      <c r="BL495" t="s">
        <v>162</v>
      </c>
      <c r="BM495" s="2" t="s">
        <v>161</v>
      </c>
      <c r="BP495" t="s">
        <v>89</v>
      </c>
      <c r="BQ495">
        <v>85312000</v>
      </c>
      <c r="BS495" t="s">
        <v>189</v>
      </c>
      <c r="BT495" t="s">
        <v>103</v>
      </c>
      <c r="BV495">
        <v>0</v>
      </c>
      <c r="BW495">
        <v>0</v>
      </c>
      <c r="BX495">
        <v>0</v>
      </c>
      <c r="BY495">
        <v>0</v>
      </c>
      <c r="BZ495">
        <v>0</v>
      </c>
      <c r="CA495">
        <v>0</v>
      </c>
      <c r="CB495">
        <v>0</v>
      </c>
      <c r="CF495" s="2"/>
      <c r="CH495" s="2"/>
      <c r="CJ495">
        <v>5.3142020950043398E+17</v>
      </c>
      <c r="CK495" t="s">
        <v>165</v>
      </c>
      <c r="CL495">
        <v>43898.358287037037</v>
      </c>
      <c r="CO495" t="s">
        <v>11</v>
      </c>
      <c r="CP495">
        <v>383.08</v>
      </c>
      <c r="CQ495" t="s">
        <v>11</v>
      </c>
      <c r="CR495">
        <v>383.08</v>
      </c>
      <c r="CV495" t="s">
        <v>190</v>
      </c>
      <c r="CW495" t="s">
        <v>12</v>
      </c>
      <c r="CX495" t="s">
        <v>12</v>
      </c>
      <c r="CY495" t="s">
        <v>12</v>
      </c>
      <c r="DA495" t="s">
        <v>104</v>
      </c>
      <c r="DD495" t="s">
        <v>93</v>
      </c>
      <c r="DQ495" t="s">
        <v>94</v>
      </c>
      <c r="DR495" t="s">
        <v>94</v>
      </c>
      <c r="DS495" t="s">
        <v>94</v>
      </c>
      <c r="DT495" t="s">
        <v>94</v>
      </c>
      <c r="DU495" t="s">
        <v>94</v>
      </c>
      <c r="DV495" t="s">
        <v>94</v>
      </c>
      <c r="DW495" t="s">
        <v>94</v>
      </c>
      <c r="DX495" s="2" t="s">
        <v>94</v>
      </c>
      <c r="DY495" t="s">
        <v>94</v>
      </c>
      <c r="DZ495" t="s">
        <v>94</v>
      </c>
      <c r="EA495" t="s">
        <v>94</v>
      </c>
      <c r="EB495" t="s">
        <v>94</v>
      </c>
      <c r="EC495" t="s">
        <v>94</v>
      </c>
      <c r="ED495" t="s">
        <v>94</v>
      </c>
      <c r="EE495" t="s">
        <v>89</v>
      </c>
      <c r="EF495" t="s">
        <v>425</v>
      </c>
      <c r="EG495" t="s">
        <v>105</v>
      </c>
      <c r="EJ495" t="s">
        <v>166</v>
      </c>
      <c r="EK495" t="b">
        <v>0</v>
      </c>
      <c r="EL495" t="b">
        <v>0</v>
      </c>
      <c r="EM495" t="b">
        <v>0</v>
      </c>
    </row>
    <row r="496" spans="3:143" ht="15">
      <c r="C496" s="82">
        <v>23</v>
      </c>
      <c r="D496" s="5"/>
      <c r="E496" s="4">
        <v>3</v>
      </c>
      <c r="F496" s="5">
        <v>41.9</v>
      </c>
      <c r="G496" s="5" t="s">
        <v>6500</v>
      </c>
      <c r="H496" s="4" t="s">
        <v>5544</v>
      </c>
      <c r="I496" s="81" t="s">
        <v>164</v>
      </c>
      <c r="J496" s="21"/>
      <c r="K496" s="22" t="s">
        <v>6484</v>
      </c>
      <c r="L496" s="84" t="s">
        <v>6485</v>
      </c>
      <c r="M496" s="23" t="s">
        <v>447</v>
      </c>
      <c r="N496" s="23">
        <v>43927</v>
      </c>
      <c r="O496" s="24" t="s">
        <v>102</v>
      </c>
      <c r="P496" s="24" t="s">
        <v>181</v>
      </c>
      <c r="Q496" s="24">
        <v>3</v>
      </c>
      <c r="R496" s="24">
        <v>41.9</v>
      </c>
      <c r="S496" t="s">
        <v>11</v>
      </c>
      <c r="T496">
        <v>1885.5</v>
      </c>
      <c r="U496" s="2" t="s">
        <v>163</v>
      </c>
      <c r="V496">
        <v>43927.849351851852</v>
      </c>
      <c r="W496" s="2" t="s">
        <v>444</v>
      </c>
      <c r="X496">
        <v>43929.410578703704</v>
      </c>
      <c r="AB496" t="s">
        <v>9</v>
      </c>
      <c r="AC496" t="s">
        <v>4767</v>
      </c>
      <c r="AD496" t="s">
        <v>819</v>
      </c>
      <c r="AE496">
        <v>1102011</v>
      </c>
      <c r="AF496">
        <v>1102011</v>
      </c>
      <c r="AG496" t="s">
        <v>183</v>
      </c>
      <c r="AH496" t="s">
        <v>6486</v>
      </c>
      <c r="AI496" t="s">
        <v>6486</v>
      </c>
      <c r="AJ496" t="s">
        <v>184</v>
      </c>
      <c r="AK496" t="s">
        <v>185</v>
      </c>
      <c r="AL496" t="s">
        <v>6487</v>
      </c>
      <c r="AM496" t="s">
        <v>6488</v>
      </c>
      <c r="AO496" t="s">
        <v>6489</v>
      </c>
      <c r="AP496" t="s">
        <v>4773</v>
      </c>
      <c r="AQ496" t="s">
        <v>6490</v>
      </c>
      <c r="AR496" t="s">
        <v>6491</v>
      </c>
      <c r="AS496">
        <v>1451820381</v>
      </c>
      <c r="AT496" t="s">
        <v>6492</v>
      </c>
      <c r="AU496" t="s">
        <v>10</v>
      </c>
      <c r="AV496" t="s">
        <v>6493</v>
      </c>
      <c r="AW496" t="s">
        <v>6493</v>
      </c>
      <c r="AX496" t="s">
        <v>6494</v>
      </c>
      <c r="AY496" s="2" t="s">
        <v>6495</v>
      </c>
      <c r="AZ496" t="s">
        <v>6496</v>
      </c>
      <c r="BA496" t="s">
        <v>1561</v>
      </c>
      <c r="BB496" t="s">
        <v>832</v>
      </c>
      <c r="BC496" t="s">
        <v>188</v>
      </c>
      <c r="BD496">
        <v>519000</v>
      </c>
      <c r="BE496">
        <v>-13702760347</v>
      </c>
      <c r="BF496" t="s">
        <v>6497</v>
      </c>
      <c r="BG496" t="b">
        <v>0</v>
      </c>
      <c r="BH496" s="6" t="s">
        <v>6498</v>
      </c>
      <c r="BI496" t="s">
        <v>6499</v>
      </c>
      <c r="BJ496">
        <v>4453163191</v>
      </c>
      <c r="BK496" t="s">
        <v>162</v>
      </c>
      <c r="BL496" t="s">
        <v>161</v>
      </c>
      <c r="BM496" s="2"/>
      <c r="BO496" t="s">
        <v>89</v>
      </c>
      <c r="BP496">
        <v>3926909090</v>
      </c>
      <c r="BR496" t="s">
        <v>180</v>
      </c>
      <c r="BS496" t="s">
        <v>103</v>
      </c>
      <c r="BU496">
        <v>188.55</v>
      </c>
      <c r="BV496">
        <v>269.63</v>
      </c>
      <c r="BW496">
        <v>0</v>
      </c>
      <c r="BX496">
        <v>0</v>
      </c>
      <c r="BY496">
        <v>0</v>
      </c>
      <c r="BZ496">
        <v>0</v>
      </c>
      <c r="CA496">
        <v>458.18</v>
      </c>
      <c r="CF496" s="2"/>
      <c r="CH496" s="2"/>
      <c r="CJ496">
        <v>5.3142020950064902E+17</v>
      </c>
      <c r="CK496" t="s">
        <v>1509</v>
      </c>
      <c r="CL496">
        <v>43927.383483796293</v>
      </c>
      <c r="CO496" t="s">
        <v>11</v>
      </c>
      <c r="CP496">
        <v>1885.5</v>
      </c>
      <c r="CQ496" t="s">
        <v>11</v>
      </c>
      <c r="CR496">
        <v>1885.5</v>
      </c>
      <c r="CV496" t="s">
        <v>190</v>
      </c>
      <c r="CW496" t="s">
        <v>12</v>
      </c>
      <c r="CX496" t="s">
        <v>12</v>
      </c>
      <c r="CY496" t="s">
        <v>12</v>
      </c>
      <c r="DA496" t="s">
        <v>104</v>
      </c>
      <c r="DD496" t="s">
        <v>93</v>
      </c>
      <c r="DQ496" t="s">
        <v>94</v>
      </c>
      <c r="DR496" t="s">
        <v>94</v>
      </c>
      <c r="DS496" t="s">
        <v>94</v>
      </c>
      <c r="DT496" t="s">
        <v>94</v>
      </c>
      <c r="DU496" t="s">
        <v>94</v>
      </c>
      <c r="DV496" t="s">
        <v>94</v>
      </c>
      <c r="DW496" t="s">
        <v>94</v>
      </c>
      <c r="DX496" s="2" t="s">
        <v>94</v>
      </c>
      <c r="DY496" t="s">
        <v>94</v>
      </c>
      <c r="DZ496" t="s">
        <v>94</v>
      </c>
      <c r="EA496" t="s">
        <v>94</v>
      </c>
      <c r="EB496" t="s">
        <v>94</v>
      </c>
      <c r="EC496" t="s">
        <v>94</v>
      </c>
      <c r="ED496" t="s">
        <v>94</v>
      </c>
      <c r="EE496" t="s">
        <v>89</v>
      </c>
      <c r="EF496" t="s">
        <v>425</v>
      </c>
      <c r="EG496" t="s">
        <v>105</v>
      </c>
      <c r="EJ496" t="s">
        <v>166</v>
      </c>
      <c r="EK496" t="b">
        <v>0</v>
      </c>
      <c r="EL496" t="b">
        <v>0</v>
      </c>
      <c r="EM496" t="b">
        <v>0</v>
      </c>
    </row>
    <row r="497" spans="3:143" ht="15">
      <c r="C497" s="82">
        <v>23</v>
      </c>
      <c r="D497" s="5"/>
      <c r="E497" s="4">
        <v>3</v>
      </c>
      <c r="F497" s="5">
        <v>41.9</v>
      </c>
      <c r="G497" s="5" t="s">
        <v>6501</v>
      </c>
      <c r="H497" s="4" t="s">
        <v>5544</v>
      </c>
      <c r="I497" s="81" t="s">
        <v>164</v>
      </c>
      <c r="J497" s="21"/>
      <c r="K497" s="22" t="s">
        <v>6484</v>
      </c>
      <c r="L497" s="84" t="s">
        <v>6485</v>
      </c>
      <c r="M497" s="23" t="s">
        <v>447</v>
      </c>
      <c r="N497" s="23">
        <v>43927</v>
      </c>
      <c r="O497" s="24" t="s">
        <v>102</v>
      </c>
      <c r="P497" s="24" t="s">
        <v>181</v>
      </c>
      <c r="Q497" s="24">
        <v>3</v>
      </c>
      <c r="R497" s="24">
        <v>41.9</v>
      </c>
      <c r="S497" t="s">
        <v>11</v>
      </c>
      <c r="T497">
        <v>1885.5</v>
      </c>
      <c r="U497" s="2" t="s">
        <v>163</v>
      </c>
      <c r="V497">
        <v>43927.849351851852</v>
      </c>
      <c r="W497" s="2" t="s">
        <v>444</v>
      </c>
      <c r="X497">
        <v>43929.410578703704</v>
      </c>
      <c r="AB497" t="s">
        <v>9</v>
      </c>
      <c r="AC497" t="s">
        <v>4767</v>
      </c>
      <c r="AD497" t="s">
        <v>819</v>
      </c>
      <c r="AE497">
        <v>1102011</v>
      </c>
      <c r="AF497">
        <v>1102011</v>
      </c>
      <c r="AG497" t="s">
        <v>183</v>
      </c>
      <c r="AH497" t="s">
        <v>6486</v>
      </c>
      <c r="AI497" t="s">
        <v>6486</v>
      </c>
      <c r="AJ497" t="s">
        <v>184</v>
      </c>
      <c r="AK497" t="s">
        <v>185</v>
      </c>
      <c r="AL497" t="s">
        <v>6487</v>
      </c>
      <c r="AM497" t="s">
        <v>6488</v>
      </c>
      <c r="AO497" t="s">
        <v>6489</v>
      </c>
      <c r="AP497" t="s">
        <v>4773</v>
      </c>
      <c r="AQ497" t="s">
        <v>6490</v>
      </c>
      <c r="AR497" t="s">
        <v>6491</v>
      </c>
      <c r="AS497">
        <v>1451820381</v>
      </c>
      <c r="AT497" t="s">
        <v>6492</v>
      </c>
      <c r="AU497" t="s">
        <v>10</v>
      </c>
      <c r="AV497" t="s">
        <v>6493</v>
      </c>
      <c r="AW497" t="s">
        <v>6493</v>
      </c>
      <c r="AX497" t="s">
        <v>6494</v>
      </c>
      <c r="AY497" s="2" t="s">
        <v>6495</v>
      </c>
      <c r="AZ497" t="s">
        <v>6496</v>
      </c>
      <c r="BA497" t="s">
        <v>1561</v>
      </c>
      <c r="BB497" t="s">
        <v>832</v>
      </c>
      <c r="BC497" t="s">
        <v>188</v>
      </c>
      <c r="BD497">
        <v>519000</v>
      </c>
      <c r="BE497">
        <v>-13702760347</v>
      </c>
      <c r="BF497" t="s">
        <v>6497</v>
      </c>
      <c r="BG497" t="b">
        <v>0</v>
      </c>
      <c r="BH497" s="6" t="s">
        <v>6498</v>
      </c>
      <c r="BI497" t="s">
        <v>6499</v>
      </c>
      <c r="BJ497">
        <v>4453163191</v>
      </c>
      <c r="BK497" t="s">
        <v>162</v>
      </c>
      <c r="BL497" t="s">
        <v>161</v>
      </c>
      <c r="BM497" s="2"/>
      <c r="BO497" t="s">
        <v>89</v>
      </c>
      <c r="BP497">
        <v>3926909090</v>
      </c>
      <c r="BR497" t="s">
        <v>180</v>
      </c>
      <c r="BS497" t="s">
        <v>103</v>
      </c>
      <c r="BU497">
        <v>188.55</v>
      </c>
      <c r="BV497">
        <v>269.63</v>
      </c>
      <c r="BW497">
        <v>0</v>
      </c>
      <c r="BX497">
        <v>0</v>
      </c>
      <c r="BY497">
        <v>0</v>
      </c>
      <c r="BZ497">
        <v>0</v>
      </c>
      <c r="CA497">
        <v>458.18</v>
      </c>
      <c r="CF497" s="2"/>
      <c r="CH497" s="2"/>
      <c r="CJ497">
        <v>5.3142020950064902E+17</v>
      </c>
      <c r="CK497" t="s">
        <v>1509</v>
      </c>
      <c r="CL497">
        <v>43927.383483796293</v>
      </c>
      <c r="CO497" t="s">
        <v>11</v>
      </c>
      <c r="CP497">
        <v>1885.5</v>
      </c>
      <c r="CQ497" t="s">
        <v>11</v>
      </c>
      <c r="CR497">
        <v>1885.5</v>
      </c>
      <c r="CV497" t="s">
        <v>190</v>
      </c>
      <c r="CW497" t="s">
        <v>12</v>
      </c>
      <c r="CX497" t="s">
        <v>12</v>
      </c>
      <c r="CY497" t="s">
        <v>12</v>
      </c>
      <c r="DA497" t="s">
        <v>104</v>
      </c>
      <c r="DD497" t="s">
        <v>93</v>
      </c>
      <c r="DQ497" t="s">
        <v>94</v>
      </c>
      <c r="DR497" t="s">
        <v>94</v>
      </c>
      <c r="DS497" t="s">
        <v>94</v>
      </c>
      <c r="DT497" t="s">
        <v>94</v>
      </c>
      <c r="DU497" t="s">
        <v>94</v>
      </c>
      <c r="DV497" t="s">
        <v>94</v>
      </c>
      <c r="DW497" t="s">
        <v>94</v>
      </c>
      <c r="DX497" s="2" t="s">
        <v>94</v>
      </c>
      <c r="DY497" t="s">
        <v>94</v>
      </c>
      <c r="DZ497" t="s">
        <v>94</v>
      </c>
      <c r="EA497" t="s">
        <v>94</v>
      </c>
      <c r="EB497" t="s">
        <v>94</v>
      </c>
      <c r="EC497" t="s">
        <v>94</v>
      </c>
      <c r="ED497" t="s">
        <v>94</v>
      </c>
      <c r="EE497" t="s">
        <v>89</v>
      </c>
      <c r="EF497" t="s">
        <v>425</v>
      </c>
      <c r="EG497" t="s">
        <v>105</v>
      </c>
      <c r="EJ497" t="s">
        <v>166</v>
      </c>
      <c r="EK497" t="b">
        <v>0</v>
      </c>
      <c r="EL497" t="b">
        <v>0</v>
      </c>
      <c r="EM497" t="b">
        <v>0</v>
      </c>
    </row>
    <row r="498" spans="3:143" ht="15">
      <c r="C498" s="82">
        <v>23</v>
      </c>
      <c r="D498" s="5">
        <v>39</v>
      </c>
      <c r="E498" s="4">
        <v>4</v>
      </c>
      <c r="F498" s="5">
        <v>39</v>
      </c>
      <c r="G498" s="5" t="s">
        <v>6510</v>
      </c>
      <c r="H498" s="4" t="s">
        <v>4873</v>
      </c>
      <c r="I498" s="81" t="s">
        <v>920</v>
      </c>
      <c r="J498" s="21"/>
      <c r="K498" s="22" t="s">
        <v>6509</v>
      </c>
      <c r="L498" s="84" t="s">
        <v>6502</v>
      </c>
      <c r="M498" s="23" t="s">
        <v>920</v>
      </c>
      <c r="N498" s="23">
        <v>43928</v>
      </c>
      <c r="O498" s="24" t="s">
        <v>102</v>
      </c>
      <c r="P498" s="24" t="s">
        <v>480</v>
      </c>
      <c r="Q498" s="24">
        <v>4</v>
      </c>
      <c r="R498" s="24">
        <v>88.3</v>
      </c>
      <c r="S498" t="s">
        <v>528</v>
      </c>
      <c r="T498">
        <v>18781.21</v>
      </c>
      <c r="U498" s="2"/>
      <c r="W498" s="2"/>
      <c r="AB498" t="s">
        <v>9</v>
      </c>
      <c r="AC498" t="s">
        <v>1381</v>
      </c>
      <c r="AD498" t="s">
        <v>6195</v>
      </c>
      <c r="AE498" t="s">
        <v>183</v>
      </c>
      <c r="AF498" t="s">
        <v>183</v>
      </c>
      <c r="AG498">
        <v>114560</v>
      </c>
      <c r="AH498" t="s">
        <v>6503</v>
      </c>
      <c r="AI498" t="s">
        <v>6503</v>
      </c>
      <c r="AJ498" t="s">
        <v>776</v>
      </c>
      <c r="AK498" t="s">
        <v>777</v>
      </c>
      <c r="AL498" t="s">
        <v>6504</v>
      </c>
      <c r="AO498" t="s">
        <v>1958</v>
      </c>
      <c r="AP498" t="s">
        <v>1385</v>
      </c>
      <c r="AQ498" t="s">
        <v>1059</v>
      </c>
      <c r="AR498">
        <v>87727</v>
      </c>
      <c r="AS498">
        <v>8333302286</v>
      </c>
      <c r="AT498" t="s">
        <v>6505</v>
      </c>
      <c r="AU498" t="s">
        <v>10</v>
      </c>
      <c r="AV498" t="s">
        <v>6268</v>
      </c>
      <c r="AW498" t="s">
        <v>6200</v>
      </c>
      <c r="AX498" t="s">
        <v>6269</v>
      </c>
      <c r="AY498" s="2" t="s">
        <v>6270</v>
      </c>
      <c r="AZ498" t="s">
        <v>6271</v>
      </c>
      <c r="BA498" t="s">
        <v>6201</v>
      </c>
      <c r="BB498" t="s">
        <v>6272</v>
      </c>
      <c r="BC498" t="s">
        <v>2872</v>
      </c>
      <c r="BD498">
        <v>361101</v>
      </c>
      <c r="BE498" t="s">
        <v>6273</v>
      </c>
      <c r="BF498" t="s">
        <v>6274</v>
      </c>
      <c r="BG498" t="b">
        <v>0</v>
      </c>
      <c r="BH498" s="6" t="s">
        <v>6506</v>
      </c>
      <c r="BI498" t="s">
        <v>6507</v>
      </c>
      <c r="BJ498">
        <v>4453163191</v>
      </c>
      <c r="BK498" t="s">
        <v>162</v>
      </c>
      <c r="BL498" t="s">
        <v>161</v>
      </c>
      <c r="BM498" s="2"/>
      <c r="BN498" t="s">
        <v>6277</v>
      </c>
      <c r="BR498" t="s">
        <v>189</v>
      </c>
      <c r="BS498" t="s">
        <v>103</v>
      </c>
      <c r="BU498">
        <v>0</v>
      </c>
      <c r="BV498">
        <v>0</v>
      </c>
      <c r="BW498">
        <v>0</v>
      </c>
      <c r="BX498">
        <v>0</v>
      </c>
      <c r="BY498">
        <v>0</v>
      </c>
      <c r="BZ498">
        <v>0</v>
      </c>
      <c r="CA498">
        <v>0</v>
      </c>
      <c r="CF498" s="2"/>
      <c r="CH498" s="2"/>
      <c r="CK498" t="s">
        <v>1849</v>
      </c>
      <c r="CL498">
        <v>43928.554965277777</v>
      </c>
      <c r="CO498" t="s">
        <v>11</v>
      </c>
      <c r="CP498">
        <v>145411.64000000001</v>
      </c>
      <c r="CQ498" t="s">
        <v>11</v>
      </c>
      <c r="CR498">
        <v>145411.64000000001</v>
      </c>
      <c r="CV498" t="s">
        <v>525</v>
      </c>
      <c r="CW498" t="s">
        <v>12</v>
      </c>
      <c r="CX498" t="s">
        <v>12</v>
      </c>
      <c r="CY498" t="s">
        <v>12</v>
      </c>
      <c r="DA498" t="s">
        <v>104</v>
      </c>
      <c r="DD498" t="s">
        <v>93</v>
      </c>
      <c r="DQ498" t="s">
        <v>94</v>
      </c>
      <c r="DR498" t="s">
        <v>94</v>
      </c>
      <c r="DS498" t="s">
        <v>94</v>
      </c>
      <c r="DT498" t="s">
        <v>94</v>
      </c>
      <c r="DU498" t="s">
        <v>94</v>
      </c>
      <c r="DV498" t="s">
        <v>94</v>
      </c>
      <c r="DW498" t="s">
        <v>94</v>
      </c>
      <c r="DX498" s="2" t="s">
        <v>94</v>
      </c>
      <c r="DY498" t="s">
        <v>94</v>
      </c>
      <c r="DZ498" t="s">
        <v>94</v>
      </c>
      <c r="EA498" t="s">
        <v>94</v>
      </c>
      <c r="EB498" t="s">
        <v>94</v>
      </c>
      <c r="EC498" t="s">
        <v>94</v>
      </c>
      <c r="ED498" t="s">
        <v>94</v>
      </c>
      <c r="EE498" t="s">
        <v>89</v>
      </c>
      <c r="EF498" t="s">
        <v>94</v>
      </c>
      <c r="EG498" t="s">
        <v>105</v>
      </c>
      <c r="EJ498" t="s">
        <v>166</v>
      </c>
      <c r="EK498" t="b">
        <v>0</v>
      </c>
      <c r="EL498" t="b">
        <v>0</v>
      </c>
      <c r="EM498" t="b">
        <v>0</v>
      </c>
    </row>
    <row r="499" spans="3:143">
      <c r="C499" s="4">
        <v>23</v>
      </c>
      <c r="D499" s="4">
        <v>49</v>
      </c>
      <c r="E499" s="4">
        <v>4</v>
      </c>
      <c r="F499" s="4">
        <v>49</v>
      </c>
      <c r="G499" s="5" t="s">
        <v>6510</v>
      </c>
      <c r="H499" s="4" t="s">
        <v>4873</v>
      </c>
      <c r="I499" s="4" t="s">
        <v>920</v>
      </c>
      <c r="J499" s="5"/>
      <c r="K499" s="22" t="s">
        <v>6508</v>
      </c>
      <c r="L499" s="84" t="s">
        <v>6502</v>
      </c>
      <c r="M499" s="23" t="s">
        <v>920</v>
      </c>
      <c r="N499" s="23">
        <v>43928</v>
      </c>
      <c r="O499" s="24" t="s">
        <v>102</v>
      </c>
      <c r="P499" s="24" t="s">
        <v>480</v>
      </c>
      <c r="Q499" s="24">
        <v>4</v>
      </c>
      <c r="R499" s="24">
        <v>88.3</v>
      </c>
      <c r="S499" t="s">
        <v>528</v>
      </c>
      <c r="T499">
        <v>18781.21</v>
      </c>
      <c r="U499" s="2"/>
      <c r="W499" s="2"/>
      <c r="AB499" t="s">
        <v>9</v>
      </c>
      <c r="AC499" t="s">
        <v>1381</v>
      </c>
      <c r="AD499" t="s">
        <v>6195</v>
      </c>
      <c r="AE499" t="s">
        <v>183</v>
      </c>
      <c r="AF499" t="s">
        <v>183</v>
      </c>
      <c r="AG499">
        <v>114560</v>
      </c>
      <c r="AH499" t="s">
        <v>6503</v>
      </c>
      <c r="AI499" t="s">
        <v>6503</v>
      </c>
      <c r="AJ499" t="s">
        <v>776</v>
      </c>
      <c r="AK499" t="s">
        <v>777</v>
      </c>
      <c r="AL499" t="s">
        <v>6504</v>
      </c>
      <c r="AO499" t="s">
        <v>1958</v>
      </c>
      <c r="AP499" t="s">
        <v>1385</v>
      </c>
      <c r="AQ499" t="s">
        <v>1059</v>
      </c>
      <c r="AR499">
        <v>87727</v>
      </c>
      <c r="AS499">
        <v>8333302286</v>
      </c>
      <c r="AT499" t="s">
        <v>6505</v>
      </c>
      <c r="AU499" t="s">
        <v>10</v>
      </c>
      <c r="AV499" t="s">
        <v>6268</v>
      </c>
      <c r="AW499" t="s">
        <v>6200</v>
      </c>
      <c r="AX499" t="s">
        <v>6269</v>
      </c>
      <c r="AY499" t="s">
        <v>6270</v>
      </c>
      <c r="AZ499" t="s">
        <v>6271</v>
      </c>
      <c r="BA499" t="s">
        <v>6201</v>
      </c>
      <c r="BB499" t="s">
        <v>6272</v>
      </c>
      <c r="BC499" t="s">
        <v>2872</v>
      </c>
      <c r="BD499">
        <v>361101</v>
      </c>
      <c r="BE499" t="s">
        <v>6273</v>
      </c>
      <c r="BF499" t="s">
        <v>6274</v>
      </c>
      <c r="BG499" t="b">
        <v>0</v>
      </c>
      <c r="BH499" s="6" t="s">
        <v>6506</v>
      </c>
      <c r="BI499" t="s">
        <v>6507</v>
      </c>
      <c r="BJ499">
        <v>4453163191</v>
      </c>
      <c r="BK499" t="s">
        <v>162</v>
      </c>
      <c r="BL499" t="s">
        <v>161</v>
      </c>
      <c r="BM499" s="2"/>
      <c r="BN499" t="s">
        <v>6277</v>
      </c>
      <c r="BR499" t="s">
        <v>189</v>
      </c>
      <c r="BS499" t="s">
        <v>103</v>
      </c>
      <c r="BU499">
        <v>0</v>
      </c>
      <c r="BV499">
        <v>0</v>
      </c>
      <c r="BW499">
        <v>0</v>
      </c>
      <c r="BX499">
        <v>0</v>
      </c>
      <c r="BY499">
        <v>0</v>
      </c>
      <c r="BZ499">
        <v>0</v>
      </c>
      <c r="CA499">
        <v>0</v>
      </c>
      <c r="CF499" s="2"/>
      <c r="CH499" s="2"/>
      <c r="CK499" t="s">
        <v>1849</v>
      </c>
      <c r="CL499">
        <v>43928.554965277777</v>
      </c>
      <c r="CO499" t="s">
        <v>11</v>
      </c>
      <c r="CP499">
        <v>145411.64000000001</v>
      </c>
      <c r="CQ499" t="s">
        <v>11</v>
      </c>
      <c r="CR499">
        <v>145411.64000000001</v>
      </c>
      <c r="CV499" t="s">
        <v>525</v>
      </c>
      <c r="CW499" t="s">
        <v>12</v>
      </c>
      <c r="CX499" t="s">
        <v>12</v>
      </c>
      <c r="CY499" t="s">
        <v>12</v>
      </c>
      <c r="DA499" t="s">
        <v>104</v>
      </c>
      <c r="DD499" t="s">
        <v>93</v>
      </c>
      <c r="DQ499" t="s">
        <v>94</v>
      </c>
      <c r="DR499" t="s">
        <v>94</v>
      </c>
      <c r="DS499" t="s">
        <v>94</v>
      </c>
      <c r="DT499" t="s">
        <v>94</v>
      </c>
      <c r="DU499" t="s">
        <v>94</v>
      </c>
      <c r="DV499" t="s">
        <v>94</v>
      </c>
      <c r="DW499" t="s">
        <v>94</v>
      </c>
      <c r="DX499" s="2" t="s">
        <v>94</v>
      </c>
      <c r="DY499" t="s">
        <v>94</v>
      </c>
      <c r="DZ499" t="s">
        <v>94</v>
      </c>
      <c r="EA499" t="s">
        <v>94</v>
      </c>
      <c r="EB499" t="s">
        <v>94</v>
      </c>
      <c r="EC499" t="s">
        <v>94</v>
      </c>
      <c r="ED499" t="s">
        <v>94</v>
      </c>
      <c r="EE499" t="s">
        <v>89</v>
      </c>
      <c r="EF499" t="s">
        <v>94</v>
      </c>
      <c r="EG499" t="s">
        <v>105</v>
      </c>
      <c r="EJ499" t="s">
        <v>166</v>
      </c>
      <c r="EK499" t="b">
        <v>0</v>
      </c>
      <c r="EL499" t="b">
        <v>0</v>
      </c>
      <c r="EM499" t="b">
        <v>0</v>
      </c>
    </row>
    <row r="500" spans="3:143" ht="15">
      <c r="C500" s="82">
        <v>3</v>
      </c>
      <c r="D500" s="5"/>
      <c r="E500" s="4">
        <v>1</v>
      </c>
      <c r="F500" s="5">
        <v>4.0999999999999996</v>
      </c>
      <c r="G500" s="5" t="s">
        <v>6574</v>
      </c>
      <c r="H500" s="4" t="s">
        <v>6575</v>
      </c>
      <c r="I500" s="81" t="s">
        <v>920</v>
      </c>
      <c r="J500" s="21"/>
      <c r="K500" s="22" t="s">
        <v>6530</v>
      </c>
      <c r="L500" s="84" t="s">
        <v>6531</v>
      </c>
      <c r="M500" s="23" t="s">
        <v>920</v>
      </c>
      <c r="N500" s="23">
        <v>43924</v>
      </c>
      <c r="O500" s="24" t="s">
        <v>102</v>
      </c>
      <c r="P500" s="24" t="s">
        <v>181</v>
      </c>
      <c r="Q500" s="24">
        <v>1</v>
      </c>
      <c r="R500" s="24">
        <v>4.0999999999999996</v>
      </c>
      <c r="S500" t="s">
        <v>528</v>
      </c>
      <c r="T500">
        <v>430</v>
      </c>
      <c r="U500" s="2" t="s">
        <v>163</v>
      </c>
      <c r="V500">
        <v>43924.840636574074</v>
      </c>
      <c r="W500" s="2" t="s">
        <v>444</v>
      </c>
      <c r="X500">
        <v>43927.461562500001</v>
      </c>
      <c r="AB500" t="s">
        <v>9</v>
      </c>
      <c r="AC500" t="s">
        <v>6532</v>
      </c>
      <c r="AD500" t="s">
        <v>182</v>
      </c>
      <c r="AE500">
        <v>7984928</v>
      </c>
      <c r="AF500">
        <v>7984928</v>
      </c>
      <c r="AG500" t="s">
        <v>183</v>
      </c>
      <c r="AH500" t="s">
        <v>6533</v>
      </c>
      <c r="AI500" t="s">
        <v>6533</v>
      </c>
      <c r="AJ500" t="s">
        <v>508</v>
      </c>
      <c r="AK500" t="s">
        <v>509</v>
      </c>
      <c r="AL500" t="s">
        <v>6534</v>
      </c>
      <c r="AO500" t="s">
        <v>6535</v>
      </c>
      <c r="AP500" t="s">
        <v>6536</v>
      </c>
      <c r="AR500" t="s">
        <v>6576</v>
      </c>
      <c r="AS500">
        <v>472472831</v>
      </c>
      <c r="AT500" t="s">
        <v>6537</v>
      </c>
      <c r="AU500" t="s">
        <v>10</v>
      </c>
      <c r="AV500" t="s">
        <v>6538</v>
      </c>
      <c r="AW500" t="s">
        <v>6538</v>
      </c>
      <c r="AX500" t="s">
        <v>6539</v>
      </c>
      <c r="AY500" s="2" t="s">
        <v>6540</v>
      </c>
      <c r="AZ500" t="s">
        <v>6541</v>
      </c>
      <c r="BA500" t="s">
        <v>186</v>
      </c>
      <c r="BB500" t="s">
        <v>187</v>
      </c>
      <c r="BC500" t="s">
        <v>188</v>
      </c>
      <c r="BD500">
        <v>518103</v>
      </c>
      <c r="BE500" t="s">
        <v>6577</v>
      </c>
      <c r="BF500" t="s">
        <v>6542</v>
      </c>
      <c r="BG500" t="b">
        <v>0</v>
      </c>
      <c r="BH500" s="6" t="s">
        <v>6543</v>
      </c>
      <c r="BI500" t="s">
        <v>6544</v>
      </c>
      <c r="BJ500">
        <v>4453163191</v>
      </c>
      <c r="BK500" t="s">
        <v>162</v>
      </c>
      <c r="BL500" t="s">
        <v>161</v>
      </c>
      <c r="BM500" s="2"/>
      <c r="BO500" t="s">
        <v>89</v>
      </c>
      <c r="BP500">
        <v>73269090</v>
      </c>
      <c r="BR500" t="s">
        <v>189</v>
      </c>
      <c r="BS500" t="s">
        <v>103</v>
      </c>
      <c r="BU500">
        <v>266.33999999999997</v>
      </c>
      <c r="BV500">
        <v>467.42</v>
      </c>
      <c r="BW500">
        <v>0</v>
      </c>
      <c r="BX500">
        <v>0</v>
      </c>
      <c r="BY500">
        <v>0</v>
      </c>
      <c r="BZ500">
        <v>0</v>
      </c>
      <c r="CA500">
        <v>733.76</v>
      </c>
      <c r="CF500" s="2"/>
      <c r="CH500" s="2"/>
      <c r="CJ500">
        <v>5.3142020950063802E+17</v>
      </c>
      <c r="CK500" t="s">
        <v>1849</v>
      </c>
      <c r="CL500">
        <v>43924.562696759262</v>
      </c>
      <c r="CO500" t="s">
        <v>11</v>
      </c>
      <c r="CP500" t="s">
        <v>6578</v>
      </c>
      <c r="CQ500" t="s">
        <v>11</v>
      </c>
      <c r="CR500">
        <v>3329.23</v>
      </c>
      <c r="CV500" t="s">
        <v>190</v>
      </c>
      <c r="CW500" t="s">
        <v>12</v>
      </c>
      <c r="CX500" t="s">
        <v>12</v>
      </c>
      <c r="CY500" t="s">
        <v>12</v>
      </c>
      <c r="DA500" t="s">
        <v>104</v>
      </c>
      <c r="DD500" t="s">
        <v>93</v>
      </c>
      <c r="DQ500" t="s">
        <v>94</v>
      </c>
      <c r="DR500" t="s">
        <v>94</v>
      </c>
      <c r="DS500" t="s">
        <v>94</v>
      </c>
      <c r="DT500" t="s">
        <v>94</v>
      </c>
      <c r="DU500" t="s">
        <v>94</v>
      </c>
      <c r="DV500" t="s">
        <v>94</v>
      </c>
      <c r="DW500" t="s">
        <v>94</v>
      </c>
      <c r="DX500" s="2" t="s">
        <v>94</v>
      </c>
      <c r="DY500" t="s">
        <v>94</v>
      </c>
      <c r="DZ500" t="s">
        <v>94</v>
      </c>
      <c r="EA500" t="s">
        <v>94</v>
      </c>
      <c r="EB500" t="s">
        <v>94</v>
      </c>
      <c r="EC500" t="s">
        <v>94</v>
      </c>
      <c r="ED500" t="s">
        <v>94</v>
      </c>
      <c r="EE500" t="s">
        <v>89</v>
      </c>
      <c r="EF500" t="s">
        <v>425</v>
      </c>
      <c r="EG500" t="s">
        <v>105</v>
      </c>
      <c r="EJ500" t="s">
        <v>166</v>
      </c>
      <c r="EK500" t="b">
        <v>0</v>
      </c>
      <c r="EL500" t="b">
        <v>0</v>
      </c>
      <c r="EM500" t="b">
        <v>0</v>
      </c>
    </row>
    <row r="501" spans="3:143">
      <c r="C501" s="4">
        <v>3</v>
      </c>
      <c r="D501" s="4"/>
      <c r="E501" s="4">
        <v>1</v>
      </c>
      <c r="F501" s="4">
        <v>6.05</v>
      </c>
      <c r="G501" s="5" t="s">
        <v>6574</v>
      </c>
      <c r="H501" s="4" t="s">
        <v>6579</v>
      </c>
      <c r="I501" s="4" t="s">
        <v>920</v>
      </c>
      <c r="J501" s="5"/>
      <c r="K501" s="22" t="s">
        <v>6545</v>
      </c>
      <c r="L501" s="84" t="s">
        <v>6531</v>
      </c>
      <c r="M501" s="23" t="s">
        <v>920</v>
      </c>
      <c r="N501" s="23">
        <v>43924</v>
      </c>
      <c r="O501" s="24" t="s">
        <v>102</v>
      </c>
      <c r="P501" s="24" t="s">
        <v>181</v>
      </c>
      <c r="Q501" s="24">
        <v>1</v>
      </c>
      <c r="R501" s="24">
        <v>6.05</v>
      </c>
      <c r="S501" t="s">
        <v>319</v>
      </c>
      <c r="T501">
        <v>100</v>
      </c>
      <c r="U501" s="2" t="s">
        <v>163</v>
      </c>
      <c r="V501">
        <v>43924.840648148151</v>
      </c>
      <c r="W501" s="2" t="s">
        <v>444</v>
      </c>
      <c r="X501">
        <v>43927.461562500001</v>
      </c>
      <c r="AB501" t="s">
        <v>9</v>
      </c>
      <c r="AC501" t="s">
        <v>6362</v>
      </c>
      <c r="AD501" t="s">
        <v>191</v>
      </c>
      <c r="AE501">
        <v>522820</v>
      </c>
      <c r="AF501">
        <v>522820</v>
      </c>
      <c r="AG501" t="s">
        <v>183</v>
      </c>
      <c r="AH501" t="s">
        <v>6546</v>
      </c>
      <c r="AI501" t="s">
        <v>6547</v>
      </c>
      <c r="AJ501" t="s">
        <v>1171</v>
      </c>
      <c r="AK501" t="s">
        <v>1172</v>
      </c>
      <c r="AL501" t="s">
        <v>6548</v>
      </c>
      <c r="AO501" t="s">
        <v>6549</v>
      </c>
      <c r="AP501" t="s">
        <v>6367</v>
      </c>
      <c r="AQ501" t="s">
        <v>6550</v>
      </c>
      <c r="AR501" t="s">
        <v>6551</v>
      </c>
      <c r="AS501">
        <v>449662024</v>
      </c>
      <c r="AT501" t="s">
        <v>6552</v>
      </c>
      <c r="AU501" t="s">
        <v>10</v>
      </c>
      <c r="AV501" t="s">
        <v>6553</v>
      </c>
      <c r="AW501" t="s">
        <v>6553</v>
      </c>
      <c r="AX501" t="s">
        <v>6554</v>
      </c>
      <c r="AY501" t="s">
        <v>6555</v>
      </c>
      <c r="AZ501" t="s">
        <v>6556</v>
      </c>
      <c r="BA501" t="s">
        <v>726</v>
      </c>
      <c r="BB501" t="s">
        <v>192</v>
      </c>
      <c r="BC501" t="s">
        <v>188</v>
      </c>
      <c r="BD501">
        <v>523598</v>
      </c>
      <c r="BE501" t="s">
        <v>6557</v>
      </c>
      <c r="BF501" t="s">
        <v>6558</v>
      </c>
      <c r="BG501" t="b">
        <v>0</v>
      </c>
      <c r="BH501" s="6" t="s">
        <v>6559</v>
      </c>
      <c r="BI501" t="s">
        <v>6560</v>
      </c>
      <c r="BJ501">
        <v>4453163191</v>
      </c>
      <c r="BK501" t="s">
        <v>162</v>
      </c>
      <c r="BL501" t="s">
        <v>161</v>
      </c>
      <c r="BM501" s="2"/>
      <c r="BO501" t="s">
        <v>89</v>
      </c>
      <c r="BP501">
        <v>3204170090</v>
      </c>
      <c r="BR501" t="s">
        <v>180</v>
      </c>
      <c r="BS501" t="s">
        <v>103</v>
      </c>
      <c r="BU501">
        <v>0</v>
      </c>
      <c r="BV501">
        <v>97.37</v>
      </c>
      <c r="BW501">
        <v>0</v>
      </c>
      <c r="BX501">
        <v>0</v>
      </c>
      <c r="BY501">
        <v>0</v>
      </c>
      <c r="BZ501">
        <v>0</v>
      </c>
      <c r="CA501">
        <v>97.37</v>
      </c>
      <c r="CF501" s="2"/>
      <c r="CH501" s="2"/>
      <c r="CJ501">
        <v>5.3142020950063802E+17</v>
      </c>
      <c r="CK501" t="s">
        <v>1849</v>
      </c>
      <c r="CL501">
        <v>43924.374328703707</v>
      </c>
      <c r="CO501" t="s">
        <v>11</v>
      </c>
      <c r="CP501" t="s">
        <v>6580</v>
      </c>
      <c r="CQ501" t="s">
        <v>11</v>
      </c>
      <c r="CR501">
        <v>703.28</v>
      </c>
      <c r="CV501" t="s">
        <v>190</v>
      </c>
      <c r="CW501" t="s">
        <v>12</v>
      </c>
      <c r="CX501" t="s">
        <v>12</v>
      </c>
      <c r="CY501" t="s">
        <v>12</v>
      </c>
      <c r="DA501" t="s">
        <v>104</v>
      </c>
      <c r="DD501" t="s">
        <v>93</v>
      </c>
      <c r="DQ501" t="s">
        <v>94</v>
      </c>
      <c r="DR501" t="s">
        <v>94</v>
      </c>
      <c r="DS501" t="s">
        <v>94</v>
      </c>
      <c r="DT501" t="s">
        <v>94</v>
      </c>
      <c r="DU501" t="s">
        <v>94</v>
      </c>
      <c r="DV501" t="s">
        <v>94</v>
      </c>
      <c r="DW501" t="s">
        <v>94</v>
      </c>
      <c r="DX501" s="2" t="s">
        <v>94</v>
      </c>
      <c r="DY501" t="s">
        <v>94</v>
      </c>
      <c r="DZ501" t="s">
        <v>94</v>
      </c>
      <c r="EA501" t="s">
        <v>94</v>
      </c>
      <c r="EB501" t="s">
        <v>94</v>
      </c>
      <c r="EC501" t="s">
        <v>94</v>
      </c>
      <c r="ED501" t="s">
        <v>94</v>
      </c>
      <c r="EE501" t="s">
        <v>89</v>
      </c>
      <c r="EF501" t="s">
        <v>425</v>
      </c>
      <c r="EG501" t="s">
        <v>105</v>
      </c>
      <c r="EJ501" t="s">
        <v>166</v>
      </c>
      <c r="EK501" t="b">
        <v>0</v>
      </c>
      <c r="EL501" t="b">
        <v>0</v>
      </c>
      <c r="EM501" t="b">
        <v>0</v>
      </c>
    </row>
    <row r="502" spans="3:143" ht="15">
      <c r="C502" s="82">
        <v>232</v>
      </c>
      <c r="D502" s="5"/>
      <c r="E502" s="4">
        <v>1</v>
      </c>
      <c r="F502" s="5">
        <v>3.8</v>
      </c>
      <c r="G502" s="5" t="s">
        <v>6581</v>
      </c>
      <c r="H502" s="4" t="s">
        <v>6582</v>
      </c>
      <c r="I502" s="81" t="s">
        <v>817</v>
      </c>
      <c r="J502" s="21"/>
      <c r="K502" s="22" t="s">
        <v>6561</v>
      </c>
      <c r="L502" s="84" t="s">
        <v>6562</v>
      </c>
      <c r="M502" s="23" t="s">
        <v>817</v>
      </c>
      <c r="N502" s="23">
        <v>43919</v>
      </c>
      <c r="O502" s="24" t="s">
        <v>102</v>
      </c>
      <c r="P502" s="24" t="s">
        <v>480</v>
      </c>
      <c r="Q502" s="24">
        <v>1</v>
      </c>
      <c r="R502" s="24">
        <v>3.8</v>
      </c>
      <c r="S502" t="s">
        <v>319</v>
      </c>
      <c r="T502">
        <v>725.79</v>
      </c>
      <c r="U502" s="2"/>
      <c r="W502" s="2"/>
      <c r="AB502" t="s">
        <v>9</v>
      </c>
      <c r="AC502" t="s">
        <v>3522</v>
      </c>
      <c r="AD502" t="s">
        <v>182</v>
      </c>
      <c r="AE502">
        <v>250561</v>
      </c>
      <c r="AF502">
        <v>250561</v>
      </c>
      <c r="AG502" t="s">
        <v>183</v>
      </c>
      <c r="AH502" t="s">
        <v>6563</v>
      </c>
      <c r="AI502" t="s">
        <v>6563</v>
      </c>
      <c r="AJ502" t="s">
        <v>484</v>
      </c>
      <c r="AK502" t="s">
        <v>485</v>
      </c>
      <c r="AL502" t="s">
        <v>6564</v>
      </c>
      <c r="AO502" t="s">
        <v>6565</v>
      </c>
      <c r="AP502" t="s">
        <v>3527</v>
      </c>
      <c r="AQ502" t="s">
        <v>4108</v>
      </c>
      <c r="AR502" t="s">
        <v>6566</v>
      </c>
      <c r="AS502">
        <v>31653405534</v>
      </c>
      <c r="AT502" t="s">
        <v>6567</v>
      </c>
      <c r="AU502" t="s">
        <v>10</v>
      </c>
      <c r="AV502" t="s">
        <v>6568</v>
      </c>
      <c r="AW502" t="s">
        <v>6568</v>
      </c>
      <c r="AX502" t="s">
        <v>6569</v>
      </c>
      <c r="AY502" s="2" t="s">
        <v>6570</v>
      </c>
      <c r="BA502" t="s">
        <v>1002</v>
      </c>
      <c r="BB502" t="s">
        <v>187</v>
      </c>
      <c r="BC502" t="s">
        <v>188</v>
      </c>
      <c r="BD502">
        <v>518116</v>
      </c>
      <c r="BE502" t="s">
        <v>6583</v>
      </c>
      <c r="BF502" t="s">
        <v>6571</v>
      </c>
      <c r="BG502" t="b">
        <v>0</v>
      </c>
      <c r="BH502" s="6" t="s">
        <v>6572</v>
      </c>
      <c r="BI502" t="s">
        <v>6573</v>
      </c>
      <c r="BJ502">
        <v>4453163191</v>
      </c>
      <c r="BK502" t="s">
        <v>162</v>
      </c>
      <c r="BL502" t="s">
        <v>161</v>
      </c>
      <c r="BM502" s="2"/>
      <c r="BR502" t="s">
        <v>189</v>
      </c>
      <c r="BS502" t="s">
        <v>103</v>
      </c>
      <c r="BU502">
        <v>0</v>
      </c>
      <c r="BV502">
        <v>0</v>
      </c>
      <c r="BW502">
        <v>0</v>
      </c>
      <c r="BX502">
        <v>0</v>
      </c>
      <c r="BY502">
        <v>0</v>
      </c>
      <c r="BZ502">
        <v>0</v>
      </c>
      <c r="CA502">
        <v>0</v>
      </c>
      <c r="CF502" s="2"/>
      <c r="CH502" s="2"/>
      <c r="CK502" t="s">
        <v>165</v>
      </c>
      <c r="CL502">
        <v>43919.573946759258</v>
      </c>
      <c r="CO502" t="s">
        <v>11</v>
      </c>
      <c r="CP502" t="s">
        <v>6584</v>
      </c>
      <c r="CQ502" t="s">
        <v>11</v>
      </c>
      <c r="CR502">
        <v>5104.34</v>
      </c>
      <c r="CV502" t="s">
        <v>190</v>
      </c>
      <c r="CW502" t="s">
        <v>12</v>
      </c>
      <c r="CX502" t="s">
        <v>12</v>
      </c>
      <c r="CY502" t="s">
        <v>12</v>
      </c>
      <c r="DA502" t="s">
        <v>104</v>
      </c>
      <c r="DD502" t="s">
        <v>93</v>
      </c>
      <c r="DQ502" t="s">
        <v>94</v>
      </c>
      <c r="DR502" t="s">
        <v>94</v>
      </c>
      <c r="DS502" t="s">
        <v>94</v>
      </c>
      <c r="DT502" t="s">
        <v>94</v>
      </c>
      <c r="DU502" t="s">
        <v>94</v>
      </c>
      <c r="DV502" t="s">
        <v>94</v>
      </c>
      <c r="DW502" t="s">
        <v>94</v>
      </c>
      <c r="DX502" s="2" t="s">
        <v>94</v>
      </c>
      <c r="DY502" t="s">
        <v>94</v>
      </c>
      <c r="DZ502" t="s">
        <v>94</v>
      </c>
      <c r="EA502" t="s">
        <v>94</v>
      </c>
      <c r="EB502" t="s">
        <v>94</v>
      </c>
      <c r="EC502" t="s">
        <v>94</v>
      </c>
      <c r="ED502" t="s">
        <v>94</v>
      </c>
      <c r="EE502" t="s">
        <v>89</v>
      </c>
      <c r="EF502" t="s">
        <v>94</v>
      </c>
      <c r="EG502" t="s">
        <v>105</v>
      </c>
      <c r="EJ502" t="s">
        <v>166</v>
      </c>
      <c r="EK502" t="b">
        <v>0</v>
      </c>
      <c r="EL502" t="b">
        <v>0</v>
      </c>
      <c r="EM502" t="b">
        <v>0</v>
      </c>
    </row>
    <row r="503" spans="3:143" ht="15">
      <c r="C503" s="82">
        <v>23</v>
      </c>
      <c r="D503" s="5"/>
      <c r="E503" s="4">
        <v>1</v>
      </c>
      <c r="F503" s="5">
        <v>15.28</v>
      </c>
      <c r="G503" s="5" t="s">
        <v>6585</v>
      </c>
      <c r="H503" s="4" t="s">
        <v>6586</v>
      </c>
      <c r="I503" s="81" t="s">
        <v>164</v>
      </c>
      <c r="J503" s="21"/>
      <c r="K503" s="22" t="s">
        <v>6511</v>
      </c>
      <c r="L503" s="84" t="s">
        <v>6512</v>
      </c>
      <c r="M503" s="23" t="s">
        <v>164</v>
      </c>
      <c r="N503" s="23">
        <v>43920</v>
      </c>
      <c r="O503" s="24" t="s">
        <v>102</v>
      </c>
      <c r="P503" s="24" t="s">
        <v>181</v>
      </c>
      <c r="Q503" s="24">
        <v>1</v>
      </c>
      <c r="R503" s="24">
        <v>15.28</v>
      </c>
      <c r="S503" t="s">
        <v>11</v>
      </c>
      <c r="T503">
        <v>1949</v>
      </c>
      <c r="U503" s="2" t="s">
        <v>163</v>
      </c>
      <c r="V503">
        <v>43923.627812500003</v>
      </c>
      <c r="W503" s="2" t="s">
        <v>444</v>
      </c>
      <c r="X503">
        <v>43926.672731481478</v>
      </c>
      <c r="AB503" t="s">
        <v>9</v>
      </c>
      <c r="AC503" t="s">
        <v>6513</v>
      </c>
      <c r="AD503" t="s">
        <v>182</v>
      </c>
      <c r="AE503">
        <v>110173</v>
      </c>
      <c r="AF503">
        <v>110173</v>
      </c>
      <c r="AG503" t="s">
        <v>183</v>
      </c>
      <c r="AH503" t="s">
        <v>6514</v>
      </c>
      <c r="AI503" t="s">
        <v>6514</v>
      </c>
      <c r="AJ503" t="s">
        <v>6515</v>
      </c>
      <c r="AK503" t="s">
        <v>6516</v>
      </c>
      <c r="AL503" t="s">
        <v>6517</v>
      </c>
      <c r="AO503" t="s">
        <v>6518</v>
      </c>
      <c r="AP503" t="s">
        <v>6519</v>
      </c>
      <c r="AR503" t="s">
        <v>6520</v>
      </c>
      <c r="AS503">
        <v>-37125141045</v>
      </c>
      <c r="AT503" t="s">
        <v>6521</v>
      </c>
      <c r="AU503" t="s">
        <v>10</v>
      </c>
      <c r="AV503" t="s">
        <v>6522</v>
      </c>
      <c r="AW503" t="s">
        <v>6523</v>
      </c>
      <c r="AX503" t="s">
        <v>6524</v>
      </c>
      <c r="AY503" s="2" t="s">
        <v>6525</v>
      </c>
      <c r="AZ503" t="s">
        <v>6526</v>
      </c>
      <c r="BA503" t="s">
        <v>1002</v>
      </c>
      <c r="BB503" t="s">
        <v>187</v>
      </c>
      <c r="BC503" t="s">
        <v>188</v>
      </c>
      <c r="BD503">
        <v>518120</v>
      </c>
      <c r="BE503" t="s">
        <v>6587</v>
      </c>
      <c r="BF503" t="s">
        <v>6527</v>
      </c>
      <c r="BG503" t="b">
        <v>0</v>
      </c>
      <c r="BH503" s="6" t="s">
        <v>6528</v>
      </c>
      <c r="BI503" t="s">
        <v>6529</v>
      </c>
      <c r="BJ503">
        <v>4453163191</v>
      </c>
      <c r="BK503" t="s">
        <v>162</v>
      </c>
      <c r="BL503" t="s">
        <v>161</v>
      </c>
      <c r="BM503" s="2"/>
      <c r="BO503" t="s">
        <v>89</v>
      </c>
      <c r="BP503">
        <v>95069900</v>
      </c>
      <c r="BR503" t="s">
        <v>189</v>
      </c>
      <c r="BS503" t="s">
        <v>103</v>
      </c>
      <c r="BU503">
        <v>150.07</v>
      </c>
      <c r="BV503">
        <v>272.88</v>
      </c>
      <c r="BW503">
        <v>0</v>
      </c>
      <c r="BX503">
        <v>0</v>
      </c>
      <c r="BY503">
        <v>0</v>
      </c>
      <c r="BZ503">
        <v>0</v>
      </c>
      <c r="CA503">
        <v>422.95</v>
      </c>
      <c r="CF503" s="2"/>
      <c r="CH503" s="2"/>
      <c r="CJ503">
        <v>5.3142020950060499E+17</v>
      </c>
      <c r="CK503" t="s">
        <v>1849</v>
      </c>
      <c r="CL503">
        <v>43920.409166666665</v>
      </c>
      <c r="CO503" t="s">
        <v>11</v>
      </c>
      <c r="CP503" t="s">
        <v>6588</v>
      </c>
      <c r="CQ503" t="s">
        <v>11</v>
      </c>
      <c r="CR503">
        <v>1949</v>
      </c>
      <c r="CV503" t="s">
        <v>190</v>
      </c>
      <c r="CW503" t="s">
        <v>12</v>
      </c>
      <c r="CX503" t="s">
        <v>12</v>
      </c>
      <c r="CY503" t="s">
        <v>12</v>
      </c>
      <c r="DA503" t="s">
        <v>104</v>
      </c>
      <c r="DD503" t="s">
        <v>93</v>
      </c>
      <c r="DQ503" t="s">
        <v>94</v>
      </c>
      <c r="DR503" t="s">
        <v>94</v>
      </c>
      <c r="DS503" t="s">
        <v>94</v>
      </c>
      <c r="DT503" t="s">
        <v>94</v>
      </c>
      <c r="DU503" t="s">
        <v>94</v>
      </c>
      <c r="DV503" t="s">
        <v>94</v>
      </c>
      <c r="DW503" t="s">
        <v>94</v>
      </c>
      <c r="DX503" s="2" t="s">
        <v>94</v>
      </c>
      <c r="DY503" t="s">
        <v>94</v>
      </c>
      <c r="DZ503" t="s">
        <v>94</v>
      </c>
      <c r="EA503" t="s">
        <v>94</v>
      </c>
      <c r="EB503" t="s">
        <v>94</v>
      </c>
      <c r="EC503" t="s">
        <v>94</v>
      </c>
      <c r="ED503" t="s">
        <v>94</v>
      </c>
      <c r="EE503" t="s">
        <v>89</v>
      </c>
      <c r="EF503" t="s">
        <v>425</v>
      </c>
      <c r="EG503" t="s">
        <v>105</v>
      </c>
      <c r="EJ503" t="s">
        <v>526</v>
      </c>
      <c r="EK503" t="b">
        <v>0</v>
      </c>
      <c r="EL503" t="b">
        <v>0</v>
      </c>
      <c r="EM503" t="b">
        <v>0</v>
      </c>
    </row>
    <row r="504" spans="3:143" ht="15">
      <c r="C504" s="82">
        <v>3</v>
      </c>
      <c r="D504" s="5"/>
      <c r="E504" s="4">
        <v>1</v>
      </c>
      <c r="F504" s="5">
        <v>4.96</v>
      </c>
      <c r="G504" s="5" t="s">
        <v>6614</v>
      </c>
      <c r="H504" s="4" t="s">
        <v>6615</v>
      </c>
      <c r="I504" s="81" t="s">
        <v>817</v>
      </c>
      <c r="J504" s="21"/>
      <c r="K504" s="22" t="s">
        <v>6589</v>
      </c>
      <c r="L504" s="84" t="s">
        <v>6562</v>
      </c>
      <c r="M504" s="23" t="s">
        <v>817</v>
      </c>
      <c r="N504" s="23">
        <v>43919</v>
      </c>
      <c r="O504" s="24" t="s">
        <v>102</v>
      </c>
      <c r="P504" s="24" t="s">
        <v>179</v>
      </c>
      <c r="Q504" s="24">
        <v>1</v>
      </c>
      <c r="R504" s="24">
        <v>4.9550000000000001</v>
      </c>
      <c r="S504" t="s">
        <v>319</v>
      </c>
      <c r="T504">
        <v>50</v>
      </c>
      <c r="U504" s="2" t="s">
        <v>163</v>
      </c>
      <c r="V504">
        <v>43919.823900462965</v>
      </c>
      <c r="W504" s="2" t="s">
        <v>427</v>
      </c>
      <c r="X504">
        <v>43919.837395833332</v>
      </c>
      <c r="AB504" t="s">
        <v>9</v>
      </c>
      <c r="AC504" t="s">
        <v>5177</v>
      </c>
      <c r="AD504" t="s">
        <v>819</v>
      </c>
      <c r="AE504">
        <v>536221</v>
      </c>
      <c r="AF504">
        <v>536221</v>
      </c>
      <c r="AG504" t="s">
        <v>183</v>
      </c>
      <c r="AH504" t="s">
        <v>6590</v>
      </c>
      <c r="AI504" t="s">
        <v>6590</v>
      </c>
      <c r="AJ504" t="s">
        <v>1533</v>
      </c>
      <c r="AK504" t="s">
        <v>1534</v>
      </c>
      <c r="AL504" t="s">
        <v>6591</v>
      </c>
      <c r="AO504" t="s">
        <v>6592</v>
      </c>
      <c r="AP504" t="s">
        <v>5182</v>
      </c>
      <c r="AQ504" t="s">
        <v>6592</v>
      </c>
      <c r="AR504">
        <v>7540005</v>
      </c>
      <c r="AS504">
        <v>839746331</v>
      </c>
      <c r="AT504" t="s">
        <v>6593</v>
      </c>
      <c r="AU504" t="s">
        <v>10</v>
      </c>
      <c r="AV504" t="s">
        <v>6594</v>
      </c>
      <c r="AW504" t="s">
        <v>6594</v>
      </c>
      <c r="AX504" t="s">
        <v>6595</v>
      </c>
      <c r="AY504" s="2"/>
      <c r="BA504" t="s">
        <v>1561</v>
      </c>
      <c r="BB504" t="s">
        <v>832</v>
      </c>
      <c r="BC504" t="s">
        <v>188</v>
      </c>
      <c r="BD504">
        <v>519060</v>
      </c>
      <c r="BE504" t="s">
        <v>6596</v>
      </c>
      <c r="BF504" t="s">
        <v>6597</v>
      </c>
      <c r="BG504" t="b">
        <v>0</v>
      </c>
      <c r="BH504" s="6" t="s">
        <v>6598</v>
      </c>
      <c r="BI504" t="s">
        <v>6599</v>
      </c>
      <c r="BJ504">
        <v>4453163191</v>
      </c>
      <c r="BK504" t="s">
        <v>162</v>
      </c>
      <c r="BL504" t="s">
        <v>161</v>
      </c>
      <c r="BM504" s="2"/>
      <c r="BO504" t="s">
        <v>89</v>
      </c>
      <c r="BP504">
        <v>8443999090</v>
      </c>
      <c r="BR504" t="s">
        <v>180</v>
      </c>
      <c r="BS504" t="s">
        <v>103</v>
      </c>
      <c r="BU504">
        <v>0</v>
      </c>
      <c r="BV504">
        <v>0</v>
      </c>
      <c r="BW504">
        <v>0</v>
      </c>
      <c r="BX504">
        <v>0</v>
      </c>
      <c r="BY504">
        <v>0</v>
      </c>
      <c r="BZ504">
        <v>0</v>
      </c>
      <c r="CA504">
        <v>0</v>
      </c>
      <c r="CB504" t="s">
        <v>6600</v>
      </c>
      <c r="CF504" s="2"/>
      <c r="CH504" s="2"/>
      <c r="CJ504">
        <v>5.3142020950060301E+17</v>
      </c>
      <c r="CK504" t="s">
        <v>165</v>
      </c>
      <c r="CL504">
        <v>43919.371053240742</v>
      </c>
      <c r="CO504" t="s">
        <v>11</v>
      </c>
      <c r="CP504">
        <v>351.64</v>
      </c>
      <c r="CQ504" t="s">
        <v>11</v>
      </c>
      <c r="CR504">
        <v>351.64</v>
      </c>
      <c r="CV504" t="s">
        <v>190</v>
      </c>
      <c r="CW504" t="s">
        <v>12</v>
      </c>
      <c r="CX504" t="s">
        <v>12</v>
      </c>
      <c r="CY504" t="s">
        <v>12</v>
      </c>
      <c r="DA504" t="s">
        <v>104</v>
      </c>
      <c r="DD504" t="s">
        <v>93</v>
      </c>
      <c r="DQ504" t="s">
        <v>94</v>
      </c>
      <c r="DR504" t="s">
        <v>94</v>
      </c>
      <c r="DS504" t="s">
        <v>94</v>
      </c>
      <c r="DT504" t="s">
        <v>94</v>
      </c>
      <c r="DU504" t="s">
        <v>94</v>
      </c>
      <c r="DV504" t="s">
        <v>94</v>
      </c>
      <c r="DW504" t="s">
        <v>94</v>
      </c>
      <c r="DX504" s="2" t="s">
        <v>94</v>
      </c>
      <c r="DY504" t="s">
        <v>94</v>
      </c>
      <c r="DZ504" t="s">
        <v>94</v>
      </c>
      <c r="EA504" t="s">
        <v>94</v>
      </c>
      <c r="EB504" t="s">
        <v>94</v>
      </c>
      <c r="EC504" t="s">
        <v>94</v>
      </c>
      <c r="ED504" t="s">
        <v>94</v>
      </c>
      <c r="EE504" t="s">
        <v>89</v>
      </c>
      <c r="EF504" t="s">
        <v>425</v>
      </c>
      <c r="EG504" t="s">
        <v>105</v>
      </c>
      <c r="EJ504" t="s">
        <v>166</v>
      </c>
      <c r="EK504" t="b">
        <v>0</v>
      </c>
      <c r="EL504" t="b">
        <v>0</v>
      </c>
      <c r="EM504" t="b">
        <v>0</v>
      </c>
    </row>
    <row r="505" spans="3:143" ht="15">
      <c r="C505" s="82">
        <v>3</v>
      </c>
      <c r="D505" s="5"/>
      <c r="E505" s="4">
        <v>1</v>
      </c>
      <c r="F505" s="5">
        <v>9</v>
      </c>
      <c r="G505" s="5" t="s">
        <v>6616</v>
      </c>
      <c r="H505" s="4" t="s">
        <v>6617</v>
      </c>
      <c r="I505" s="81" t="s">
        <v>920</v>
      </c>
      <c r="J505" s="21"/>
      <c r="K505" s="22" t="s">
        <v>6601</v>
      </c>
      <c r="L505" s="84" t="s">
        <v>6531</v>
      </c>
      <c r="M505" s="23" t="s">
        <v>920</v>
      </c>
      <c r="N505" s="23">
        <v>43924</v>
      </c>
      <c r="O505" s="24" t="s">
        <v>102</v>
      </c>
      <c r="P505" s="24" t="s">
        <v>181</v>
      </c>
      <c r="Q505" s="24">
        <v>1</v>
      </c>
      <c r="R505" s="24">
        <v>9</v>
      </c>
      <c r="S505" t="s">
        <v>528</v>
      </c>
      <c r="T505">
        <v>253.75</v>
      </c>
      <c r="U505" s="2" t="s">
        <v>163</v>
      </c>
      <c r="V505">
        <v>43924.84065972222</v>
      </c>
      <c r="W505" s="2" t="s">
        <v>444</v>
      </c>
      <c r="X505">
        <v>43930.634027777778</v>
      </c>
      <c r="AB505" t="s">
        <v>9</v>
      </c>
      <c r="AC505" t="s">
        <v>963</v>
      </c>
      <c r="AD505" t="s">
        <v>482</v>
      </c>
      <c r="AE505">
        <v>70158049</v>
      </c>
      <c r="AF505">
        <v>70158049</v>
      </c>
      <c r="AG505" t="s">
        <v>6618</v>
      </c>
      <c r="AH505" t="s">
        <v>6602</v>
      </c>
      <c r="AI505" t="s">
        <v>6602</v>
      </c>
      <c r="AJ505" t="s">
        <v>776</v>
      </c>
      <c r="AK505" t="s">
        <v>777</v>
      </c>
      <c r="AL505" t="s">
        <v>6603</v>
      </c>
      <c r="AO505" t="s">
        <v>6604</v>
      </c>
      <c r="AP505" t="s">
        <v>967</v>
      </c>
      <c r="AQ505" t="s">
        <v>782</v>
      </c>
      <c r="AR505">
        <v>32758</v>
      </c>
      <c r="AS505">
        <v>5231960731</v>
      </c>
      <c r="AT505" t="s">
        <v>6605</v>
      </c>
      <c r="AU505" t="s">
        <v>10</v>
      </c>
      <c r="AV505" t="s">
        <v>6606</v>
      </c>
      <c r="AW505" t="s">
        <v>6606</v>
      </c>
      <c r="AX505" t="s">
        <v>6607</v>
      </c>
      <c r="AY505" s="2" t="s">
        <v>6608</v>
      </c>
      <c r="BA505" t="s">
        <v>4533</v>
      </c>
      <c r="BB505" t="s">
        <v>626</v>
      </c>
      <c r="BC505" t="s">
        <v>496</v>
      </c>
      <c r="BD505">
        <v>410007</v>
      </c>
      <c r="BE505" t="s">
        <v>6609</v>
      </c>
      <c r="BF505" t="s">
        <v>6610</v>
      </c>
      <c r="BG505" t="b">
        <v>0</v>
      </c>
      <c r="BH505" s="6" t="s">
        <v>6611</v>
      </c>
      <c r="BI505" t="s">
        <v>6612</v>
      </c>
      <c r="BJ505">
        <v>4453163191</v>
      </c>
      <c r="BK505" t="s">
        <v>162</v>
      </c>
      <c r="BL505" t="s">
        <v>161</v>
      </c>
      <c r="BM505" s="2"/>
      <c r="BN505" t="s">
        <v>6613</v>
      </c>
      <c r="BO505" t="s">
        <v>89</v>
      </c>
      <c r="BP505">
        <v>35069900</v>
      </c>
      <c r="BR505" t="s">
        <v>180</v>
      </c>
      <c r="BS505" t="s">
        <v>103</v>
      </c>
      <c r="BU505">
        <v>196.46</v>
      </c>
      <c r="BV505">
        <v>280.94</v>
      </c>
      <c r="BW505">
        <v>0</v>
      </c>
      <c r="BX505">
        <v>0</v>
      </c>
      <c r="BY505">
        <v>0</v>
      </c>
      <c r="BZ505">
        <v>0</v>
      </c>
      <c r="CA505">
        <v>477.4</v>
      </c>
      <c r="CF505" s="2"/>
      <c r="CH505" s="2"/>
      <c r="CJ505">
        <v>5.3142020950063802E+17</v>
      </c>
      <c r="CK505" t="s">
        <v>1849</v>
      </c>
      <c r="CL505">
        <v>43924.37462962963</v>
      </c>
      <c r="CO505" t="s">
        <v>11</v>
      </c>
      <c r="CP505">
        <v>1964.63</v>
      </c>
      <c r="CQ505" t="s">
        <v>11</v>
      </c>
      <c r="CR505">
        <v>1964.63</v>
      </c>
      <c r="CV505" t="s">
        <v>525</v>
      </c>
      <c r="CW505" t="s">
        <v>12</v>
      </c>
      <c r="CX505" t="s">
        <v>12</v>
      </c>
      <c r="CY505" t="s">
        <v>12</v>
      </c>
      <c r="DA505" t="s">
        <v>104</v>
      </c>
      <c r="DD505" t="s">
        <v>93</v>
      </c>
      <c r="DQ505" t="s">
        <v>94</v>
      </c>
      <c r="DR505" t="s">
        <v>94</v>
      </c>
      <c r="DS505" t="s">
        <v>94</v>
      </c>
      <c r="DT505" t="s">
        <v>94</v>
      </c>
      <c r="DU505" t="s">
        <v>94</v>
      </c>
      <c r="DV505" t="s">
        <v>94</v>
      </c>
      <c r="DW505" t="s">
        <v>94</v>
      </c>
      <c r="DX505" s="2" t="s">
        <v>94</v>
      </c>
      <c r="DY505" t="s">
        <v>94</v>
      </c>
      <c r="DZ505" t="s">
        <v>94</v>
      </c>
      <c r="EA505" t="s">
        <v>94</v>
      </c>
      <c r="EB505" t="s">
        <v>94</v>
      </c>
      <c r="EC505" t="s">
        <v>94</v>
      </c>
      <c r="ED505" t="s">
        <v>94</v>
      </c>
      <c r="EE505" t="s">
        <v>89</v>
      </c>
      <c r="EF505" t="s">
        <v>425</v>
      </c>
      <c r="EG505" t="s">
        <v>105</v>
      </c>
      <c r="EJ505" t="s">
        <v>166</v>
      </c>
      <c r="EK505" t="b">
        <v>0</v>
      </c>
      <c r="EL505" t="b">
        <v>0</v>
      </c>
      <c r="EM505" t="b">
        <v>0</v>
      </c>
    </row>
    <row r="506" spans="3:143" ht="15">
      <c r="C506" s="82">
        <v>2</v>
      </c>
      <c r="D506" s="5"/>
      <c r="E506" s="4">
        <v>1</v>
      </c>
      <c r="F506" s="5">
        <v>4.0999999999999996</v>
      </c>
      <c r="G506" s="5" t="s">
        <v>6619</v>
      </c>
      <c r="H506" s="4" t="s">
        <v>6575</v>
      </c>
      <c r="I506" s="81" t="s">
        <v>920</v>
      </c>
      <c r="J506" s="21"/>
      <c r="K506" s="22" t="s">
        <v>6530</v>
      </c>
      <c r="L506" s="84" t="s">
        <v>6531</v>
      </c>
      <c r="M506" s="23" t="s">
        <v>920</v>
      </c>
      <c r="N506" s="23">
        <v>43924</v>
      </c>
      <c r="O506" s="24" t="s">
        <v>102</v>
      </c>
      <c r="P506" s="24" t="s">
        <v>181</v>
      </c>
      <c r="Q506" s="24">
        <v>1</v>
      </c>
      <c r="R506" s="24">
        <v>4.0999999999999996</v>
      </c>
      <c r="S506" t="s">
        <v>528</v>
      </c>
      <c r="T506">
        <v>430</v>
      </c>
      <c r="U506" s="2" t="s">
        <v>163</v>
      </c>
      <c r="V506">
        <v>43924.840636574074</v>
      </c>
      <c r="W506" s="2" t="s">
        <v>444</v>
      </c>
      <c r="X506">
        <v>43927.461562500001</v>
      </c>
      <c r="AB506" t="s">
        <v>9</v>
      </c>
      <c r="AC506" t="s">
        <v>6532</v>
      </c>
      <c r="AD506" t="s">
        <v>182</v>
      </c>
      <c r="AE506">
        <v>7984928</v>
      </c>
      <c r="AF506">
        <v>7984928</v>
      </c>
      <c r="AG506" t="s">
        <v>183</v>
      </c>
      <c r="AH506" t="s">
        <v>6533</v>
      </c>
      <c r="AI506" t="s">
        <v>6533</v>
      </c>
      <c r="AJ506" t="s">
        <v>508</v>
      </c>
      <c r="AK506" t="s">
        <v>509</v>
      </c>
      <c r="AL506" t="s">
        <v>6534</v>
      </c>
      <c r="AO506" t="s">
        <v>6535</v>
      </c>
      <c r="AP506" t="s">
        <v>6536</v>
      </c>
      <c r="AR506" t="s">
        <v>6576</v>
      </c>
      <c r="AS506">
        <v>472472831</v>
      </c>
      <c r="AT506" t="s">
        <v>6537</v>
      </c>
      <c r="AU506" t="s">
        <v>10</v>
      </c>
      <c r="AV506" t="s">
        <v>6538</v>
      </c>
      <c r="AW506" t="s">
        <v>6538</v>
      </c>
      <c r="AX506" t="s">
        <v>6539</v>
      </c>
      <c r="AY506" s="2" t="s">
        <v>6540</v>
      </c>
      <c r="AZ506" t="s">
        <v>6541</v>
      </c>
      <c r="BA506" t="s">
        <v>186</v>
      </c>
      <c r="BB506" t="s">
        <v>187</v>
      </c>
      <c r="BC506" t="s">
        <v>188</v>
      </c>
      <c r="BD506">
        <v>518103</v>
      </c>
      <c r="BE506" t="s">
        <v>6577</v>
      </c>
      <c r="BF506" t="s">
        <v>6542</v>
      </c>
      <c r="BG506" t="b">
        <v>0</v>
      </c>
      <c r="BH506" s="6" t="s">
        <v>6543</v>
      </c>
      <c r="BI506" t="s">
        <v>6544</v>
      </c>
      <c r="BJ506">
        <v>4453163191</v>
      </c>
      <c r="BK506" t="s">
        <v>162</v>
      </c>
      <c r="BL506" t="s">
        <v>161</v>
      </c>
      <c r="BM506" s="2"/>
      <c r="BO506" t="s">
        <v>89</v>
      </c>
      <c r="BP506">
        <v>73269090</v>
      </c>
      <c r="BR506" t="s">
        <v>189</v>
      </c>
      <c r="BS506" t="s">
        <v>103</v>
      </c>
      <c r="BU506">
        <v>266.33999999999997</v>
      </c>
      <c r="BV506">
        <v>467.42</v>
      </c>
      <c r="BW506">
        <v>0</v>
      </c>
      <c r="BX506">
        <v>0</v>
      </c>
      <c r="BY506">
        <v>0</v>
      </c>
      <c r="BZ506">
        <v>0</v>
      </c>
      <c r="CA506">
        <v>733.76</v>
      </c>
      <c r="CF506" s="2"/>
      <c r="CH506" s="2"/>
      <c r="CJ506">
        <v>5.3142020950063802E+17</v>
      </c>
      <c r="CK506" t="s">
        <v>1849</v>
      </c>
      <c r="CL506">
        <v>43924.562696759262</v>
      </c>
      <c r="CO506" t="s">
        <v>11</v>
      </c>
      <c r="CP506" t="s">
        <v>6578</v>
      </c>
      <c r="CQ506" t="s">
        <v>11</v>
      </c>
      <c r="CR506">
        <v>3329.23</v>
      </c>
      <c r="CV506" t="s">
        <v>190</v>
      </c>
      <c r="CW506" t="s">
        <v>12</v>
      </c>
      <c r="CX506" t="s">
        <v>12</v>
      </c>
      <c r="CY506" t="s">
        <v>12</v>
      </c>
      <c r="DA506" t="s">
        <v>104</v>
      </c>
      <c r="DD506" t="s">
        <v>93</v>
      </c>
      <c r="DQ506" t="s">
        <v>94</v>
      </c>
      <c r="DR506" t="s">
        <v>94</v>
      </c>
      <c r="DS506" t="s">
        <v>94</v>
      </c>
      <c r="DT506" t="s">
        <v>94</v>
      </c>
      <c r="DU506" t="s">
        <v>94</v>
      </c>
      <c r="DV506" t="s">
        <v>94</v>
      </c>
      <c r="DW506" t="s">
        <v>94</v>
      </c>
      <c r="DX506" s="2" t="s">
        <v>94</v>
      </c>
      <c r="DY506" t="s">
        <v>94</v>
      </c>
      <c r="DZ506" t="s">
        <v>94</v>
      </c>
      <c r="EA506" t="s">
        <v>94</v>
      </c>
      <c r="EB506" t="s">
        <v>94</v>
      </c>
      <c r="EC506" t="s">
        <v>94</v>
      </c>
      <c r="ED506" t="s">
        <v>94</v>
      </c>
      <c r="EE506" t="s">
        <v>89</v>
      </c>
      <c r="EF506" t="s">
        <v>425</v>
      </c>
      <c r="EG506" t="s">
        <v>105</v>
      </c>
      <c r="EJ506" t="s">
        <v>166</v>
      </c>
      <c r="EK506" t="b">
        <v>0</v>
      </c>
      <c r="EL506" t="b">
        <v>0</v>
      </c>
      <c r="EM506" t="b">
        <v>0</v>
      </c>
    </row>
    <row r="507" spans="3:143">
      <c r="C507" s="4">
        <v>2</v>
      </c>
      <c r="D507" s="4"/>
      <c r="E507" s="4">
        <v>1</v>
      </c>
      <c r="F507" s="4">
        <v>6.05</v>
      </c>
      <c r="G507" s="5" t="s">
        <v>6619</v>
      </c>
      <c r="H507" s="4" t="s">
        <v>6579</v>
      </c>
      <c r="I507" s="4" t="s">
        <v>920</v>
      </c>
      <c r="J507" s="5"/>
      <c r="K507" s="22" t="s">
        <v>6545</v>
      </c>
      <c r="L507" s="84" t="s">
        <v>6531</v>
      </c>
      <c r="M507" s="23" t="s">
        <v>920</v>
      </c>
      <c r="N507" s="23">
        <v>43924</v>
      </c>
      <c r="O507" s="24" t="s">
        <v>102</v>
      </c>
      <c r="P507" s="24" t="s">
        <v>181</v>
      </c>
      <c r="Q507" s="24">
        <v>1</v>
      </c>
      <c r="R507" s="24">
        <v>6.05</v>
      </c>
      <c r="S507" t="s">
        <v>319</v>
      </c>
      <c r="T507">
        <v>100</v>
      </c>
      <c r="U507" s="2" t="s">
        <v>163</v>
      </c>
      <c r="V507">
        <v>43924.840648148151</v>
      </c>
      <c r="W507" s="2" t="s">
        <v>444</v>
      </c>
      <c r="X507">
        <v>43927.461562500001</v>
      </c>
      <c r="AB507" t="s">
        <v>9</v>
      </c>
      <c r="AC507" t="s">
        <v>6362</v>
      </c>
      <c r="AD507" t="s">
        <v>191</v>
      </c>
      <c r="AE507">
        <v>522820</v>
      </c>
      <c r="AF507">
        <v>522820</v>
      </c>
      <c r="AG507" t="s">
        <v>183</v>
      </c>
      <c r="AH507" t="s">
        <v>6546</v>
      </c>
      <c r="AI507" t="s">
        <v>6547</v>
      </c>
      <c r="AJ507" t="s">
        <v>1171</v>
      </c>
      <c r="AK507" t="s">
        <v>1172</v>
      </c>
      <c r="AL507" t="s">
        <v>6548</v>
      </c>
      <c r="AO507" t="s">
        <v>6549</v>
      </c>
      <c r="AP507" t="s">
        <v>6367</v>
      </c>
      <c r="AQ507" t="s">
        <v>6550</v>
      </c>
      <c r="AR507" t="s">
        <v>6551</v>
      </c>
      <c r="AS507">
        <v>449662024</v>
      </c>
      <c r="AT507" t="s">
        <v>6552</v>
      </c>
      <c r="AU507" t="s">
        <v>10</v>
      </c>
      <c r="AV507" t="s">
        <v>6553</v>
      </c>
      <c r="AW507" t="s">
        <v>6553</v>
      </c>
      <c r="AX507" t="s">
        <v>6554</v>
      </c>
      <c r="AY507" t="s">
        <v>6555</v>
      </c>
      <c r="AZ507" t="s">
        <v>6556</v>
      </c>
      <c r="BA507" t="s">
        <v>726</v>
      </c>
      <c r="BB507" t="s">
        <v>192</v>
      </c>
      <c r="BC507" t="s">
        <v>188</v>
      </c>
      <c r="BD507">
        <v>523598</v>
      </c>
      <c r="BE507" t="s">
        <v>6557</v>
      </c>
      <c r="BF507" t="s">
        <v>6558</v>
      </c>
      <c r="BG507" t="b">
        <v>0</v>
      </c>
      <c r="BH507" s="6" t="s">
        <v>6559</v>
      </c>
      <c r="BI507" t="s">
        <v>6560</v>
      </c>
      <c r="BJ507">
        <v>4453163191</v>
      </c>
      <c r="BK507" t="s">
        <v>162</v>
      </c>
      <c r="BL507" t="s">
        <v>161</v>
      </c>
      <c r="BM507" s="2"/>
      <c r="BO507" t="s">
        <v>89</v>
      </c>
      <c r="BP507">
        <v>3204170090</v>
      </c>
      <c r="BR507" t="s">
        <v>180</v>
      </c>
      <c r="BS507" t="s">
        <v>103</v>
      </c>
      <c r="BU507">
        <v>0</v>
      </c>
      <c r="BV507">
        <v>97.37</v>
      </c>
      <c r="BW507">
        <v>0</v>
      </c>
      <c r="BX507">
        <v>0</v>
      </c>
      <c r="BY507">
        <v>0</v>
      </c>
      <c r="BZ507">
        <v>0</v>
      </c>
      <c r="CA507">
        <v>97.37</v>
      </c>
      <c r="CF507" s="2"/>
      <c r="CH507" s="2"/>
      <c r="CJ507">
        <v>5.3142020950063802E+17</v>
      </c>
      <c r="CK507" t="s">
        <v>1849</v>
      </c>
      <c r="CL507">
        <v>43924.374328703707</v>
      </c>
      <c r="CO507" t="s">
        <v>11</v>
      </c>
      <c r="CP507" t="s">
        <v>6580</v>
      </c>
      <c r="CQ507" t="s">
        <v>11</v>
      </c>
      <c r="CR507">
        <v>703.28</v>
      </c>
      <c r="CV507" t="s">
        <v>190</v>
      </c>
      <c r="CW507" t="s">
        <v>12</v>
      </c>
      <c r="CX507" t="s">
        <v>12</v>
      </c>
      <c r="CY507" t="s">
        <v>12</v>
      </c>
      <c r="DA507" t="s">
        <v>104</v>
      </c>
      <c r="DD507" t="s">
        <v>93</v>
      </c>
      <c r="DQ507" t="s">
        <v>94</v>
      </c>
      <c r="DR507" t="s">
        <v>94</v>
      </c>
      <c r="DS507" t="s">
        <v>94</v>
      </c>
      <c r="DT507" t="s">
        <v>94</v>
      </c>
      <c r="DU507" t="s">
        <v>94</v>
      </c>
      <c r="DV507" t="s">
        <v>94</v>
      </c>
      <c r="DW507" t="s">
        <v>94</v>
      </c>
      <c r="DX507" s="2" t="s">
        <v>94</v>
      </c>
      <c r="DY507" t="s">
        <v>94</v>
      </c>
      <c r="DZ507" t="s">
        <v>94</v>
      </c>
      <c r="EA507" t="s">
        <v>94</v>
      </c>
      <c r="EB507" t="s">
        <v>94</v>
      </c>
      <c r="EC507" t="s">
        <v>94</v>
      </c>
      <c r="ED507" t="s">
        <v>94</v>
      </c>
      <c r="EE507" t="s">
        <v>89</v>
      </c>
      <c r="EF507" t="s">
        <v>425</v>
      </c>
      <c r="EG507" t="s">
        <v>105</v>
      </c>
      <c r="EJ507" t="s">
        <v>166</v>
      </c>
      <c r="EK507" t="b">
        <v>0</v>
      </c>
      <c r="EL507" t="b">
        <v>0</v>
      </c>
      <c r="EM507" t="b">
        <v>0</v>
      </c>
    </row>
    <row r="508" spans="3:143">
      <c r="C508" s="4">
        <v>2</v>
      </c>
      <c r="D508" s="5"/>
      <c r="E508" s="5">
        <v>1</v>
      </c>
      <c r="F508" s="4">
        <v>9</v>
      </c>
      <c r="G508" s="5" t="s">
        <v>6619</v>
      </c>
      <c r="H508" s="4" t="s">
        <v>6617</v>
      </c>
      <c r="I508" s="4" t="s">
        <v>920</v>
      </c>
      <c r="J508" s="4"/>
      <c r="K508" s="22" t="s">
        <v>6601</v>
      </c>
      <c r="L508" s="84" t="s">
        <v>6531</v>
      </c>
      <c r="M508" s="23" t="s">
        <v>920</v>
      </c>
      <c r="N508" s="23">
        <v>43924</v>
      </c>
      <c r="O508" s="24" t="s">
        <v>102</v>
      </c>
      <c r="P508" s="24" t="s">
        <v>181</v>
      </c>
      <c r="Q508" s="24">
        <v>1</v>
      </c>
      <c r="R508" s="24">
        <v>9</v>
      </c>
      <c r="S508" t="s">
        <v>528</v>
      </c>
      <c r="T508">
        <v>253.75</v>
      </c>
      <c r="U508" s="2" t="s">
        <v>163</v>
      </c>
      <c r="V508">
        <v>43924.84065972222</v>
      </c>
      <c r="W508" s="2" t="s">
        <v>444</v>
      </c>
      <c r="X508">
        <v>43930.634027777778</v>
      </c>
      <c r="AB508" t="s">
        <v>9</v>
      </c>
      <c r="AC508" t="s">
        <v>963</v>
      </c>
      <c r="AD508" t="s">
        <v>482</v>
      </c>
      <c r="AE508">
        <v>70158049</v>
      </c>
      <c r="AF508">
        <v>70158049</v>
      </c>
      <c r="AG508" t="s">
        <v>6618</v>
      </c>
      <c r="AH508" t="s">
        <v>6602</v>
      </c>
      <c r="AI508" t="s">
        <v>6602</v>
      </c>
      <c r="AJ508" t="s">
        <v>776</v>
      </c>
      <c r="AK508" t="s">
        <v>777</v>
      </c>
      <c r="AL508" t="s">
        <v>6603</v>
      </c>
      <c r="AO508" t="s">
        <v>6604</v>
      </c>
      <c r="AP508" t="s">
        <v>967</v>
      </c>
      <c r="AQ508" t="s">
        <v>782</v>
      </c>
      <c r="AR508" t="s">
        <v>6620</v>
      </c>
      <c r="AS508">
        <v>5231960731</v>
      </c>
      <c r="AT508" t="s">
        <v>6605</v>
      </c>
      <c r="AU508" t="s">
        <v>10</v>
      </c>
      <c r="AV508" t="s">
        <v>6606</v>
      </c>
      <c r="AW508" t="s">
        <v>6606</v>
      </c>
      <c r="AX508" t="s">
        <v>6607</v>
      </c>
      <c r="AY508" t="s">
        <v>6608</v>
      </c>
      <c r="BA508" t="s">
        <v>4533</v>
      </c>
      <c r="BB508" t="s">
        <v>626</v>
      </c>
      <c r="BC508" t="s">
        <v>496</v>
      </c>
      <c r="BD508">
        <v>410007</v>
      </c>
      <c r="BE508" t="s">
        <v>6609</v>
      </c>
      <c r="BF508" t="s">
        <v>6610</v>
      </c>
      <c r="BG508" t="b">
        <v>0</v>
      </c>
      <c r="BH508" s="6" t="s">
        <v>6611</v>
      </c>
      <c r="BI508" t="s">
        <v>6612</v>
      </c>
      <c r="BJ508">
        <v>4453163191</v>
      </c>
      <c r="BK508" t="s">
        <v>162</v>
      </c>
      <c r="BL508" t="s">
        <v>161</v>
      </c>
      <c r="BM508" s="2"/>
      <c r="BN508" t="s">
        <v>6613</v>
      </c>
      <c r="BO508" t="s">
        <v>89</v>
      </c>
      <c r="BP508">
        <v>35069900</v>
      </c>
      <c r="BR508" t="s">
        <v>180</v>
      </c>
      <c r="BS508" t="s">
        <v>103</v>
      </c>
      <c r="BU508">
        <v>196.46</v>
      </c>
      <c r="BV508">
        <v>280.94</v>
      </c>
      <c r="BW508">
        <v>0</v>
      </c>
      <c r="BX508">
        <v>0</v>
      </c>
      <c r="BY508">
        <v>0</v>
      </c>
      <c r="BZ508">
        <v>0</v>
      </c>
      <c r="CA508">
        <v>477.4</v>
      </c>
      <c r="CF508" s="2"/>
      <c r="CH508" s="2"/>
      <c r="CJ508">
        <v>5.3142020950063802E+17</v>
      </c>
      <c r="CK508" t="s">
        <v>1849</v>
      </c>
      <c r="CL508">
        <v>43924.37462962963</v>
      </c>
      <c r="CO508" t="s">
        <v>11</v>
      </c>
      <c r="CP508" t="s">
        <v>6621</v>
      </c>
      <c r="CQ508" t="s">
        <v>11</v>
      </c>
      <c r="CR508">
        <v>1964.63</v>
      </c>
      <c r="CV508" t="s">
        <v>525</v>
      </c>
      <c r="CW508" t="s">
        <v>12</v>
      </c>
      <c r="CX508" t="s">
        <v>12</v>
      </c>
      <c r="CY508" t="s">
        <v>12</v>
      </c>
      <c r="DA508" t="s">
        <v>104</v>
      </c>
      <c r="DD508" t="s">
        <v>93</v>
      </c>
      <c r="DQ508" t="s">
        <v>94</v>
      </c>
      <c r="DR508" t="s">
        <v>94</v>
      </c>
      <c r="DS508" t="s">
        <v>94</v>
      </c>
      <c r="DT508" t="s">
        <v>94</v>
      </c>
      <c r="DU508" t="s">
        <v>94</v>
      </c>
      <c r="DV508" t="s">
        <v>94</v>
      </c>
      <c r="DW508" t="s">
        <v>94</v>
      </c>
      <c r="DX508" s="2" t="s">
        <v>94</v>
      </c>
      <c r="DY508" t="s">
        <v>94</v>
      </c>
      <c r="DZ508" t="s">
        <v>94</v>
      </c>
      <c r="EA508" t="s">
        <v>94</v>
      </c>
      <c r="EB508" t="s">
        <v>94</v>
      </c>
      <c r="EC508" t="s">
        <v>94</v>
      </c>
      <c r="ED508" t="s">
        <v>94</v>
      </c>
      <c r="EE508" t="s">
        <v>89</v>
      </c>
      <c r="EF508" t="s">
        <v>425</v>
      </c>
      <c r="EG508" t="s">
        <v>105</v>
      </c>
      <c r="EJ508" t="s">
        <v>166</v>
      </c>
      <c r="EK508" t="b">
        <v>0</v>
      </c>
      <c r="EL508" t="b">
        <v>0</v>
      </c>
      <c r="EM508" t="b">
        <v>0</v>
      </c>
    </row>
    <row r="509" spans="3:143" ht="15">
      <c r="C509" s="82">
        <v>23</v>
      </c>
      <c r="D509" s="5"/>
      <c r="E509" s="4">
        <v>1</v>
      </c>
      <c r="F509" s="5">
        <v>15.28</v>
      </c>
      <c r="G509" s="5" t="s">
        <v>6622</v>
      </c>
      <c r="H509" s="4" t="s">
        <v>6586</v>
      </c>
      <c r="I509" s="81" t="s">
        <v>164</v>
      </c>
      <c r="J509" s="21"/>
      <c r="K509" s="22" t="s">
        <v>6511</v>
      </c>
      <c r="L509" s="84" t="s">
        <v>6512</v>
      </c>
      <c r="M509" s="23" t="s">
        <v>164</v>
      </c>
      <c r="N509" s="23">
        <v>43920</v>
      </c>
      <c r="O509" s="24" t="s">
        <v>102</v>
      </c>
      <c r="P509" s="24" t="s">
        <v>181</v>
      </c>
      <c r="Q509" s="24">
        <v>1</v>
      </c>
      <c r="R509" s="24">
        <v>15.28</v>
      </c>
      <c r="S509" t="s">
        <v>11</v>
      </c>
      <c r="T509">
        <v>1949</v>
      </c>
      <c r="U509" s="2" t="s">
        <v>163</v>
      </c>
      <c r="V509">
        <v>43923.627812500003</v>
      </c>
      <c r="W509" s="2" t="s">
        <v>444</v>
      </c>
      <c r="X509">
        <v>43926.672731481478</v>
      </c>
      <c r="AB509" t="s">
        <v>9</v>
      </c>
      <c r="AC509" t="s">
        <v>6513</v>
      </c>
      <c r="AD509" t="s">
        <v>182</v>
      </c>
      <c r="AE509">
        <v>110173</v>
      </c>
      <c r="AF509">
        <v>110173</v>
      </c>
      <c r="AG509" t="s">
        <v>183</v>
      </c>
      <c r="AH509" t="s">
        <v>6514</v>
      </c>
      <c r="AI509" t="s">
        <v>6514</v>
      </c>
      <c r="AJ509" t="s">
        <v>6515</v>
      </c>
      <c r="AK509" t="s">
        <v>6516</v>
      </c>
      <c r="AL509" t="s">
        <v>6517</v>
      </c>
      <c r="AO509" t="s">
        <v>6518</v>
      </c>
      <c r="AP509" t="s">
        <v>6519</v>
      </c>
      <c r="AR509" t="s">
        <v>6520</v>
      </c>
      <c r="AS509">
        <v>-37125141045</v>
      </c>
      <c r="AT509" t="s">
        <v>6521</v>
      </c>
      <c r="AU509" t="s">
        <v>10</v>
      </c>
      <c r="AV509" t="s">
        <v>6522</v>
      </c>
      <c r="AW509" t="s">
        <v>6523</v>
      </c>
      <c r="AX509" t="s">
        <v>6524</v>
      </c>
      <c r="AY509" s="2" t="s">
        <v>6525</v>
      </c>
      <c r="AZ509" t="s">
        <v>6526</v>
      </c>
      <c r="BA509" t="s">
        <v>1002</v>
      </c>
      <c r="BB509" t="s">
        <v>187</v>
      </c>
      <c r="BC509" t="s">
        <v>188</v>
      </c>
      <c r="BD509">
        <v>518120</v>
      </c>
      <c r="BE509" t="s">
        <v>6587</v>
      </c>
      <c r="BF509" t="s">
        <v>6527</v>
      </c>
      <c r="BG509" t="b">
        <v>0</v>
      </c>
      <c r="BH509" s="6" t="s">
        <v>6528</v>
      </c>
      <c r="BI509" t="s">
        <v>6529</v>
      </c>
      <c r="BJ509">
        <v>4453163191</v>
      </c>
      <c r="BK509" t="s">
        <v>162</v>
      </c>
      <c r="BL509" t="s">
        <v>161</v>
      </c>
      <c r="BM509" s="2"/>
      <c r="BO509" t="s">
        <v>89</v>
      </c>
      <c r="BP509">
        <v>95069900</v>
      </c>
      <c r="BR509" t="s">
        <v>189</v>
      </c>
      <c r="BS509" t="s">
        <v>103</v>
      </c>
      <c r="BU509">
        <v>150.07</v>
      </c>
      <c r="BV509">
        <v>272.88</v>
      </c>
      <c r="BW509">
        <v>0</v>
      </c>
      <c r="BX509">
        <v>0</v>
      </c>
      <c r="BY509">
        <v>0</v>
      </c>
      <c r="BZ509">
        <v>0</v>
      </c>
      <c r="CA509">
        <v>422.95</v>
      </c>
      <c r="CF509" s="2"/>
      <c r="CH509" s="2"/>
      <c r="CJ509">
        <v>5.3142020950060499E+17</v>
      </c>
      <c r="CK509" t="s">
        <v>1849</v>
      </c>
      <c r="CL509">
        <v>43920.409166666665</v>
      </c>
      <c r="CO509" t="s">
        <v>11</v>
      </c>
      <c r="CP509" t="s">
        <v>6588</v>
      </c>
      <c r="CQ509" t="s">
        <v>11</v>
      </c>
      <c r="CR509">
        <v>1949</v>
      </c>
      <c r="CV509" t="s">
        <v>190</v>
      </c>
      <c r="CW509" t="s">
        <v>12</v>
      </c>
      <c r="CX509" t="s">
        <v>12</v>
      </c>
      <c r="CY509" t="s">
        <v>12</v>
      </c>
      <c r="DA509" t="s">
        <v>104</v>
      </c>
      <c r="DD509" t="s">
        <v>93</v>
      </c>
      <c r="DQ509" t="s">
        <v>94</v>
      </c>
      <c r="DR509" t="s">
        <v>94</v>
      </c>
      <c r="DS509" t="s">
        <v>94</v>
      </c>
      <c r="DT509" t="s">
        <v>94</v>
      </c>
      <c r="DU509" t="s">
        <v>94</v>
      </c>
      <c r="DV509" t="s">
        <v>94</v>
      </c>
      <c r="DW509" t="s">
        <v>94</v>
      </c>
      <c r="DX509" s="2" t="s">
        <v>94</v>
      </c>
      <c r="DY509" t="s">
        <v>94</v>
      </c>
      <c r="DZ509" t="s">
        <v>94</v>
      </c>
      <c r="EA509" t="s">
        <v>94</v>
      </c>
      <c r="EB509" t="s">
        <v>94</v>
      </c>
      <c r="EC509" t="s">
        <v>94</v>
      </c>
      <c r="ED509" t="s">
        <v>94</v>
      </c>
      <c r="EE509" t="s">
        <v>89</v>
      </c>
      <c r="EF509" t="s">
        <v>425</v>
      </c>
      <c r="EG509" t="s">
        <v>105</v>
      </c>
      <c r="EJ509" t="s">
        <v>526</v>
      </c>
      <c r="EK509" t="b">
        <v>0</v>
      </c>
      <c r="EL509" t="b">
        <v>0</v>
      </c>
      <c r="EM509" t="b">
        <v>0</v>
      </c>
    </row>
    <row r="510" spans="3:143" ht="15">
      <c r="C510" s="82">
        <v>23</v>
      </c>
      <c r="D510" s="5"/>
      <c r="E510" s="4">
        <v>10</v>
      </c>
      <c r="F510" s="5">
        <v>24</v>
      </c>
      <c r="G510" s="5" t="s">
        <v>6686</v>
      </c>
      <c r="H510" s="4" t="s">
        <v>6687</v>
      </c>
      <c r="I510" s="81" t="s">
        <v>466</v>
      </c>
      <c r="J510" s="21"/>
      <c r="K510" s="22" t="s">
        <v>6623</v>
      </c>
      <c r="L510" s="84" t="s">
        <v>6624</v>
      </c>
      <c r="M510" s="23" t="s">
        <v>466</v>
      </c>
      <c r="N510" s="23">
        <v>43930</v>
      </c>
      <c r="O510" s="24" t="s">
        <v>102</v>
      </c>
      <c r="P510" s="24" t="s">
        <v>480</v>
      </c>
      <c r="Q510" s="24">
        <v>10</v>
      </c>
      <c r="R510" s="24">
        <v>24</v>
      </c>
      <c r="S510" t="s">
        <v>319</v>
      </c>
      <c r="T510">
        <v>1815</v>
      </c>
      <c r="U510" s="2"/>
      <c r="W510" s="2"/>
      <c r="AB510" t="s">
        <v>9</v>
      </c>
      <c r="AC510" t="s">
        <v>755</v>
      </c>
      <c r="AD510" t="s">
        <v>241</v>
      </c>
      <c r="AE510">
        <v>3311</v>
      </c>
      <c r="AF510">
        <v>3311</v>
      </c>
      <c r="AG510" t="s">
        <v>6688</v>
      </c>
      <c r="AH510" t="s">
        <v>6625</v>
      </c>
      <c r="AI510" t="s">
        <v>6625</v>
      </c>
      <c r="AJ510" t="s">
        <v>584</v>
      </c>
      <c r="AK510" t="s">
        <v>585</v>
      </c>
      <c r="AL510" t="s">
        <v>6626</v>
      </c>
      <c r="AM510" t="s">
        <v>6627</v>
      </c>
      <c r="AN510" t="s">
        <v>6628</v>
      </c>
      <c r="AO510" t="s">
        <v>6629</v>
      </c>
      <c r="AP510" t="s">
        <v>759</v>
      </c>
      <c r="AR510" t="s">
        <v>6630</v>
      </c>
      <c r="AS510">
        <v>-420724035377</v>
      </c>
      <c r="AT510" t="s">
        <v>6631</v>
      </c>
      <c r="AU510" t="s">
        <v>10</v>
      </c>
      <c r="AV510" t="s">
        <v>6632</v>
      </c>
      <c r="AW510" t="s">
        <v>6632</v>
      </c>
      <c r="AX510" t="s">
        <v>6633</v>
      </c>
      <c r="AY510" s="2" t="s">
        <v>6634</v>
      </c>
      <c r="AZ510" t="s">
        <v>6635</v>
      </c>
      <c r="BA510" t="s">
        <v>245</v>
      </c>
      <c r="BB510" t="s">
        <v>246</v>
      </c>
      <c r="BC510" t="s">
        <v>188</v>
      </c>
      <c r="BD510">
        <v>516002</v>
      </c>
      <c r="BE510" t="s">
        <v>6636</v>
      </c>
      <c r="BF510" t="s">
        <v>6637</v>
      </c>
      <c r="BG510" t="b">
        <v>0</v>
      </c>
      <c r="BH510" s="6" t="s">
        <v>6638</v>
      </c>
      <c r="BI510" t="s">
        <v>6639</v>
      </c>
      <c r="BJ510">
        <v>4453163191</v>
      </c>
      <c r="BK510" t="s">
        <v>162</v>
      </c>
      <c r="BL510" t="s">
        <v>161</v>
      </c>
      <c r="BM510" s="2"/>
      <c r="BN510" t="s">
        <v>6640</v>
      </c>
      <c r="BR510" t="s">
        <v>189</v>
      </c>
      <c r="BS510" t="s">
        <v>103</v>
      </c>
      <c r="BU510">
        <v>0</v>
      </c>
      <c r="BV510">
        <v>0</v>
      </c>
      <c r="BW510">
        <v>0</v>
      </c>
      <c r="BX510">
        <v>0</v>
      </c>
      <c r="BY510">
        <v>0</v>
      </c>
      <c r="BZ510">
        <v>0</v>
      </c>
      <c r="CA510">
        <v>0</v>
      </c>
      <c r="CF510" s="2"/>
      <c r="CH510" s="2"/>
      <c r="CK510" t="s">
        <v>1849</v>
      </c>
      <c r="CL510">
        <v>43930.374571759261</v>
      </c>
      <c r="CO510" t="s">
        <v>11</v>
      </c>
      <c r="CP510" t="s">
        <v>6689</v>
      </c>
      <c r="CQ510" t="s">
        <v>11</v>
      </c>
      <c r="CR510">
        <v>12764.53</v>
      </c>
      <c r="CV510" t="s">
        <v>525</v>
      </c>
      <c r="CW510" t="s">
        <v>12</v>
      </c>
      <c r="CX510" t="s">
        <v>12</v>
      </c>
      <c r="CY510" t="s">
        <v>12</v>
      </c>
      <c r="DA510" t="s">
        <v>104</v>
      </c>
      <c r="DD510" t="s">
        <v>93</v>
      </c>
      <c r="DQ510" t="s">
        <v>94</v>
      </c>
      <c r="DR510" t="s">
        <v>94</v>
      </c>
      <c r="DS510" t="s">
        <v>94</v>
      </c>
      <c r="DT510" t="s">
        <v>94</v>
      </c>
      <c r="DU510" t="s">
        <v>94</v>
      </c>
      <c r="DV510" t="s">
        <v>94</v>
      </c>
      <c r="DW510" t="s">
        <v>94</v>
      </c>
      <c r="DX510" s="2" t="s">
        <v>94</v>
      </c>
      <c r="DY510" t="s">
        <v>94</v>
      </c>
      <c r="DZ510" t="s">
        <v>94</v>
      </c>
      <c r="EA510" t="s">
        <v>94</v>
      </c>
      <c r="EB510" t="s">
        <v>94</v>
      </c>
      <c r="EC510" t="s">
        <v>94</v>
      </c>
      <c r="ED510" t="s">
        <v>94</v>
      </c>
      <c r="EE510" t="s">
        <v>89</v>
      </c>
      <c r="EF510" t="s">
        <v>425</v>
      </c>
      <c r="EG510" t="s">
        <v>105</v>
      </c>
      <c r="EJ510" t="s">
        <v>166</v>
      </c>
      <c r="EK510" t="b">
        <v>0</v>
      </c>
      <c r="EL510" t="b">
        <v>0</v>
      </c>
      <c r="EM510" t="b">
        <v>0</v>
      </c>
    </row>
    <row r="511" spans="3:143" ht="15">
      <c r="C511" s="82">
        <v>23</v>
      </c>
      <c r="D511" s="5">
        <v>31.5</v>
      </c>
      <c r="E511" s="4">
        <v>10</v>
      </c>
      <c r="F511" s="5">
        <v>24</v>
      </c>
      <c r="G511" s="5" t="s">
        <v>6690</v>
      </c>
      <c r="H511" s="4" t="s">
        <v>6687</v>
      </c>
      <c r="I511" s="81" t="s">
        <v>466</v>
      </c>
      <c r="J511" s="21"/>
      <c r="K511" s="22" t="s">
        <v>6623</v>
      </c>
      <c r="L511" s="84" t="s">
        <v>6624</v>
      </c>
      <c r="M511" s="23" t="s">
        <v>466</v>
      </c>
      <c r="N511" s="23">
        <v>43930</v>
      </c>
      <c r="O511" s="24" t="s">
        <v>102</v>
      </c>
      <c r="P511" s="24" t="s">
        <v>480</v>
      </c>
      <c r="Q511" s="24">
        <v>10</v>
      </c>
      <c r="R511" s="24">
        <v>24</v>
      </c>
      <c r="S511" t="s">
        <v>319</v>
      </c>
      <c r="T511">
        <v>1815</v>
      </c>
      <c r="U511" s="2"/>
      <c r="W511" s="2"/>
      <c r="AB511" t="s">
        <v>9</v>
      </c>
      <c r="AC511" t="s">
        <v>755</v>
      </c>
      <c r="AD511" t="s">
        <v>241</v>
      </c>
      <c r="AE511">
        <v>3311</v>
      </c>
      <c r="AF511">
        <v>3311</v>
      </c>
      <c r="AG511" t="s">
        <v>6688</v>
      </c>
      <c r="AH511" t="s">
        <v>6625</v>
      </c>
      <c r="AI511" t="s">
        <v>6625</v>
      </c>
      <c r="AJ511" t="s">
        <v>584</v>
      </c>
      <c r="AK511" t="s">
        <v>585</v>
      </c>
      <c r="AL511" t="s">
        <v>6626</v>
      </c>
      <c r="AM511" t="s">
        <v>6627</v>
      </c>
      <c r="AN511" t="s">
        <v>6628</v>
      </c>
      <c r="AO511" t="s">
        <v>6629</v>
      </c>
      <c r="AP511" t="s">
        <v>759</v>
      </c>
      <c r="AR511" t="s">
        <v>6630</v>
      </c>
      <c r="AS511">
        <v>-420724035377</v>
      </c>
      <c r="AT511" t="s">
        <v>6631</v>
      </c>
      <c r="AU511" t="s">
        <v>10</v>
      </c>
      <c r="AV511" t="s">
        <v>6632</v>
      </c>
      <c r="AW511" t="s">
        <v>6632</v>
      </c>
      <c r="AX511" t="s">
        <v>6633</v>
      </c>
      <c r="AY511" s="2" t="s">
        <v>6634</v>
      </c>
      <c r="AZ511" t="s">
        <v>6635</v>
      </c>
      <c r="BA511" t="s">
        <v>245</v>
      </c>
      <c r="BB511" t="s">
        <v>246</v>
      </c>
      <c r="BC511" t="s">
        <v>188</v>
      </c>
      <c r="BD511">
        <v>516002</v>
      </c>
      <c r="BE511" t="s">
        <v>6636</v>
      </c>
      <c r="BF511" t="s">
        <v>6637</v>
      </c>
      <c r="BG511" t="b">
        <v>0</v>
      </c>
      <c r="BH511" s="6" t="s">
        <v>6638</v>
      </c>
      <c r="BI511" t="s">
        <v>6639</v>
      </c>
      <c r="BJ511">
        <v>4453163191</v>
      </c>
      <c r="BK511" t="s">
        <v>162</v>
      </c>
      <c r="BL511" t="s">
        <v>161</v>
      </c>
      <c r="BM511" s="2"/>
      <c r="BN511" t="s">
        <v>6640</v>
      </c>
      <c r="BR511" t="s">
        <v>189</v>
      </c>
      <c r="BS511" t="s">
        <v>103</v>
      </c>
      <c r="BU511">
        <v>0</v>
      </c>
      <c r="BV511">
        <v>0</v>
      </c>
      <c r="BW511">
        <v>0</v>
      </c>
      <c r="BX511">
        <v>0</v>
      </c>
      <c r="BY511">
        <v>0</v>
      </c>
      <c r="BZ511">
        <v>0</v>
      </c>
      <c r="CA511">
        <v>0</v>
      </c>
      <c r="CF511" s="2"/>
      <c r="CH511" s="2"/>
      <c r="CK511" t="s">
        <v>1849</v>
      </c>
      <c r="CL511">
        <v>43930.374571759261</v>
      </c>
      <c r="CO511" t="s">
        <v>11</v>
      </c>
      <c r="CP511" t="s">
        <v>6689</v>
      </c>
      <c r="CQ511" t="s">
        <v>11</v>
      </c>
      <c r="CR511">
        <v>12764.53</v>
      </c>
      <c r="CV511" t="s">
        <v>525</v>
      </c>
      <c r="CW511" t="s">
        <v>12</v>
      </c>
      <c r="CX511" t="s">
        <v>12</v>
      </c>
      <c r="CY511" t="s">
        <v>12</v>
      </c>
      <c r="DA511" t="s">
        <v>104</v>
      </c>
      <c r="DD511" t="s">
        <v>93</v>
      </c>
      <c r="DQ511" t="s">
        <v>94</v>
      </c>
      <c r="DR511" t="s">
        <v>94</v>
      </c>
      <c r="DS511" t="s">
        <v>94</v>
      </c>
      <c r="DT511" t="s">
        <v>94</v>
      </c>
      <c r="DU511" t="s">
        <v>94</v>
      </c>
      <c r="DV511" t="s">
        <v>94</v>
      </c>
      <c r="DW511" t="s">
        <v>94</v>
      </c>
      <c r="DX511" s="2" t="s">
        <v>94</v>
      </c>
      <c r="DY511" t="s">
        <v>94</v>
      </c>
      <c r="DZ511" t="s">
        <v>94</v>
      </c>
      <c r="EA511" t="s">
        <v>94</v>
      </c>
      <c r="EB511" t="s">
        <v>94</v>
      </c>
      <c r="EC511" t="s">
        <v>94</v>
      </c>
      <c r="ED511" t="s">
        <v>94</v>
      </c>
      <c r="EE511" t="s">
        <v>89</v>
      </c>
      <c r="EF511" t="s">
        <v>425</v>
      </c>
      <c r="EG511" t="s">
        <v>105</v>
      </c>
      <c r="EJ511" t="s">
        <v>166</v>
      </c>
      <c r="EK511" t="b">
        <v>0</v>
      </c>
      <c r="EL511" t="b">
        <v>0</v>
      </c>
      <c r="EM511" t="b">
        <v>0</v>
      </c>
    </row>
    <row r="512" spans="3:143" ht="15">
      <c r="C512" s="82">
        <v>2</v>
      </c>
      <c r="D512" s="5">
        <v>31.5</v>
      </c>
      <c r="E512" s="4">
        <v>10</v>
      </c>
      <c r="F512" s="5">
        <v>31.5</v>
      </c>
      <c r="G512" s="5" t="s">
        <v>6691</v>
      </c>
      <c r="H512" s="4" t="s">
        <v>6687</v>
      </c>
      <c r="I512" s="81" t="s">
        <v>466</v>
      </c>
      <c r="J512" s="21"/>
      <c r="K512" s="22" t="s">
        <v>6623</v>
      </c>
      <c r="L512" s="84" t="s">
        <v>6624</v>
      </c>
      <c r="M512" s="23" t="s">
        <v>466</v>
      </c>
      <c r="N512" s="23">
        <v>43930</v>
      </c>
      <c r="O512" s="24" t="s">
        <v>102</v>
      </c>
      <c r="P512" s="24" t="s">
        <v>480</v>
      </c>
      <c r="Q512" s="24">
        <v>10</v>
      </c>
      <c r="R512" s="24">
        <v>24</v>
      </c>
      <c r="S512" t="s">
        <v>319</v>
      </c>
      <c r="T512">
        <v>1815</v>
      </c>
      <c r="U512" s="2"/>
      <c r="W512" s="2"/>
      <c r="AB512" t="s">
        <v>9</v>
      </c>
      <c r="AC512" t="s">
        <v>755</v>
      </c>
      <c r="AD512" t="s">
        <v>241</v>
      </c>
      <c r="AE512">
        <v>3311</v>
      </c>
      <c r="AF512">
        <v>3311</v>
      </c>
      <c r="AG512" t="s">
        <v>6688</v>
      </c>
      <c r="AH512" t="s">
        <v>6625</v>
      </c>
      <c r="AI512" t="s">
        <v>6625</v>
      </c>
      <c r="AJ512" t="s">
        <v>584</v>
      </c>
      <c r="AK512" t="s">
        <v>585</v>
      </c>
      <c r="AL512" t="s">
        <v>6626</v>
      </c>
      <c r="AM512" t="s">
        <v>6627</v>
      </c>
      <c r="AN512" t="s">
        <v>6628</v>
      </c>
      <c r="AO512" t="s">
        <v>6629</v>
      </c>
      <c r="AP512" t="s">
        <v>759</v>
      </c>
      <c r="AR512" t="s">
        <v>6630</v>
      </c>
      <c r="AS512">
        <v>-420724035377</v>
      </c>
      <c r="AT512" t="s">
        <v>6631</v>
      </c>
      <c r="AU512" t="s">
        <v>10</v>
      </c>
      <c r="AV512" t="s">
        <v>6632</v>
      </c>
      <c r="AW512" t="s">
        <v>6632</v>
      </c>
      <c r="AX512" t="s">
        <v>6633</v>
      </c>
      <c r="AY512" s="2" t="s">
        <v>6634</v>
      </c>
      <c r="AZ512" t="s">
        <v>6635</v>
      </c>
      <c r="BA512" t="s">
        <v>245</v>
      </c>
      <c r="BB512" t="s">
        <v>246</v>
      </c>
      <c r="BC512" t="s">
        <v>188</v>
      </c>
      <c r="BD512">
        <v>516002</v>
      </c>
      <c r="BE512" t="s">
        <v>6636</v>
      </c>
      <c r="BF512" t="s">
        <v>6637</v>
      </c>
      <c r="BG512" t="b">
        <v>0</v>
      </c>
      <c r="BH512" s="6" t="s">
        <v>6638</v>
      </c>
      <c r="BI512" t="s">
        <v>6639</v>
      </c>
      <c r="BJ512">
        <v>4453163191</v>
      </c>
      <c r="BK512" t="s">
        <v>162</v>
      </c>
      <c r="BL512" t="s">
        <v>161</v>
      </c>
      <c r="BM512" s="2"/>
      <c r="BN512" t="s">
        <v>6640</v>
      </c>
      <c r="BR512" t="s">
        <v>189</v>
      </c>
      <c r="BS512" t="s">
        <v>103</v>
      </c>
      <c r="BU512">
        <v>0</v>
      </c>
      <c r="BV512">
        <v>0</v>
      </c>
      <c r="BW512">
        <v>0</v>
      </c>
      <c r="BX512">
        <v>0</v>
      </c>
      <c r="BY512">
        <v>0</v>
      </c>
      <c r="BZ512">
        <v>0</v>
      </c>
      <c r="CA512">
        <v>0</v>
      </c>
      <c r="CF512" s="2"/>
      <c r="CH512" s="2"/>
      <c r="CK512" t="s">
        <v>1849</v>
      </c>
      <c r="CL512">
        <v>43930.374571759261</v>
      </c>
      <c r="CO512" t="s">
        <v>11</v>
      </c>
      <c r="CP512" t="s">
        <v>6689</v>
      </c>
      <c r="CQ512" t="s">
        <v>11</v>
      </c>
      <c r="CR512">
        <v>12764.53</v>
      </c>
      <c r="CV512" t="s">
        <v>525</v>
      </c>
      <c r="CW512" t="s">
        <v>12</v>
      </c>
      <c r="CX512" t="s">
        <v>12</v>
      </c>
      <c r="CY512" t="s">
        <v>12</v>
      </c>
      <c r="DA512" t="s">
        <v>104</v>
      </c>
      <c r="DD512" t="s">
        <v>93</v>
      </c>
      <c r="DQ512" t="s">
        <v>94</v>
      </c>
      <c r="DR512" t="s">
        <v>94</v>
      </c>
      <c r="DS512" t="s">
        <v>94</v>
      </c>
      <c r="DT512" t="s">
        <v>94</v>
      </c>
      <c r="DU512" t="s">
        <v>94</v>
      </c>
      <c r="DV512" t="s">
        <v>94</v>
      </c>
      <c r="DW512" t="s">
        <v>94</v>
      </c>
      <c r="DX512" s="2" t="s">
        <v>94</v>
      </c>
      <c r="DY512" t="s">
        <v>94</v>
      </c>
      <c r="DZ512" t="s">
        <v>94</v>
      </c>
      <c r="EA512" t="s">
        <v>94</v>
      </c>
      <c r="EB512" t="s">
        <v>94</v>
      </c>
      <c r="EC512" t="s">
        <v>94</v>
      </c>
      <c r="ED512" t="s">
        <v>94</v>
      </c>
      <c r="EE512" t="s">
        <v>89</v>
      </c>
      <c r="EF512" t="s">
        <v>425</v>
      </c>
      <c r="EG512" t="s">
        <v>105</v>
      </c>
      <c r="EJ512" t="s">
        <v>166</v>
      </c>
      <c r="EK512" t="b">
        <v>0</v>
      </c>
      <c r="EL512" t="b">
        <v>0</v>
      </c>
      <c r="EM512" t="b">
        <v>0</v>
      </c>
    </row>
    <row r="513" spans="3:143" ht="15">
      <c r="C513" s="82">
        <v>1</v>
      </c>
      <c r="D513" s="5"/>
      <c r="E513" s="4">
        <v>1</v>
      </c>
      <c r="F513" s="5">
        <v>4.7</v>
      </c>
      <c r="G513" s="5" t="s">
        <v>6692</v>
      </c>
      <c r="H513" s="4" t="s">
        <v>6693</v>
      </c>
      <c r="I513" s="81" t="s">
        <v>164</v>
      </c>
      <c r="J513" s="21"/>
      <c r="K513" s="22" t="s">
        <v>6642</v>
      </c>
      <c r="L513" s="84" t="s">
        <v>6641</v>
      </c>
      <c r="M513" s="23" t="s">
        <v>164</v>
      </c>
      <c r="N513" s="23">
        <v>43932</v>
      </c>
      <c r="O513" s="24" t="s">
        <v>102</v>
      </c>
      <c r="P513" s="24" t="s">
        <v>179</v>
      </c>
      <c r="Q513" s="24">
        <v>1</v>
      </c>
      <c r="R513" s="24">
        <v>4.7</v>
      </c>
      <c r="S513" t="s">
        <v>319</v>
      </c>
      <c r="T513">
        <v>42.01</v>
      </c>
      <c r="U513" s="2" t="s">
        <v>163</v>
      </c>
      <c r="V513">
        <v>43932.891250000001</v>
      </c>
      <c r="W513" s="2" t="s">
        <v>444</v>
      </c>
      <c r="X513">
        <v>43935.61146990741</v>
      </c>
      <c r="AB513" t="s">
        <v>9</v>
      </c>
      <c r="AC513" t="s">
        <v>5796</v>
      </c>
      <c r="AD513" t="s">
        <v>1602</v>
      </c>
      <c r="AE513">
        <v>70327028</v>
      </c>
      <c r="AF513">
        <v>70327028</v>
      </c>
      <c r="AG513" t="s">
        <v>183</v>
      </c>
      <c r="AH513" t="s">
        <v>5797</v>
      </c>
      <c r="AI513" t="s">
        <v>5797</v>
      </c>
      <c r="AJ513" t="s">
        <v>776</v>
      </c>
      <c r="AK513" t="s">
        <v>777</v>
      </c>
      <c r="AL513" t="s">
        <v>5798</v>
      </c>
      <c r="AO513" t="s">
        <v>5799</v>
      </c>
      <c r="AP513" t="s">
        <v>5800</v>
      </c>
      <c r="AQ513" t="s">
        <v>5801</v>
      </c>
      <c r="AR513" t="s">
        <v>5837</v>
      </c>
      <c r="AS513">
        <v>5041998277</v>
      </c>
      <c r="AT513" t="s">
        <v>5802</v>
      </c>
      <c r="AU513" t="s">
        <v>10</v>
      </c>
      <c r="AV513" t="s">
        <v>6643</v>
      </c>
      <c r="AW513" t="s">
        <v>6643</v>
      </c>
      <c r="AX513" t="s">
        <v>6644</v>
      </c>
      <c r="AY513" s="2"/>
      <c r="BA513" t="s">
        <v>1615</v>
      </c>
      <c r="BB513" t="s">
        <v>1616</v>
      </c>
      <c r="BC513" t="s">
        <v>188</v>
      </c>
      <c r="BD513">
        <v>528400</v>
      </c>
      <c r="BE513" t="s">
        <v>6694</v>
      </c>
      <c r="BG513" t="b">
        <v>0</v>
      </c>
      <c r="BH513" s="6" t="s">
        <v>6645</v>
      </c>
      <c r="BI513" t="s">
        <v>6646</v>
      </c>
      <c r="BJ513">
        <v>4453163191</v>
      </c>
      <c r="BK513" t="s">
        <v>162</v>
      </c>
      <c r="BL513" t="s">
        <v>161</v>
      </c>
      <c r="BM513" s="2"/>
      <c r="BO513" t="s">
        <v>89</v>
      </c>
      <c r="BP513">
        <v>94054090</v>
      </c>
      <c r="BR513" t="s">
        <v>189</v>
      </c>
      <c r="BS513" t="s">
        <v>103</v>
      </c>
      <c r="BU513">
        <v>0</v>
      </c>
      <c r="BV513">
        <v>0</v>
      </c>
      <c r="BW513">
        <v>0</v>
      </c>
      <c r="BX513">
        <v>0</v>
      </c>
      <c r="BY513">
        <v>0</v>
      </c>
      <c r="BZ513">
        <v>0</v>
      </c>
      <c r="CA513">
        <v>0</v>
      </c>
      <c r="CF513" s="2"/>
      <c r="CH513" s="2"/>
      <c r="CJ513">
        <v>5.3142020950068301E+17</v>
      </c>
      <c r="CK513" t="s">
        <v>165</v>
      </c>
      <c r="CL513">
        <v>43932.569004629629</v>
      </c>
      <c r="CO513" t="s">
        <v>11</v>
      </c>
      <c r="CP513" t="s">
        <v>6695</v>
      </c>
      <c r="CQ513" t="s">
        <v>11</v>
      </c>
      <c r="CR513">
        <v>295.45</v>
      </c>
      <c r="CV513" t="s">
        <v>190</v>
      </c>
      <c r="CW513" t="s">
        <v>12</v>
      </c>
      <c r="CX513" t="s">
        <v>12</v>
      </c>
      <c r="CY513" t="s">
        <v>12</v>
      </c>
      <c r="DA513" t="s">
        <v>104</v>
      </c>
      <c r="DD513" t="s">
        <v>93</v>
      </c>
      <c r="DQ513" t="s">
        <v>94</v>
      </c>
      <c r="DR513" t="s">
        <v>94</v>
      </c>
      <c r="DS513" t="s">
        <v>94</v>
      </c>
      <c r="DT513" t="s">
        <v>94</v>
      </c>
      <c r="DU513" t="s">
        <v>94</v>
      </c>
      <c r="DV513" t="s">
        <v>94</v>
      </c>
      <c r="DW513" t="s">
        <v>94</v>
      </c>
      <c r="DX513" s="2" t="s">
        <v>94</v>
      </c>
      <c r="DY513" t="s">
        <v>94</v>
      </c>
      <c r="DZ513" t="s">
        <v>94</v>
      </c>
      <c r="EA513" t="s">
        <v>94</v>
      </c>
      <c r="EB513" t="s">
        <v>94</v>
      </c>
      <c r="EC513" t="s">
        <v>94</v>
      </c>
      <c r="ED513" t="s">
        <v>94</v>
      </c>
      <c r="EE513" t="s">
        <v>89</v>
      </c>
      <c r="EF513" t="s">
        <v>425</v>
      </c>
      <c r="EG513" t="s">
        <v>105</v>
      </c>
      <c r="EJ513" t="s">
        <v>166</v>
      </c>
      <c r="EK513" t="b">
        <v>0</v>
      </c>
      <c r="EL513" t="b">
        <v>0</v>
      </c>
      <c r="EM513" t="b">
        <v>0</v>
      </c>
    </row>
    <row r="514" spans="3:143" ht="15">
      <c r="C514" s="82" t="s">
        <v>3973</v>
      </c>
      <c r="D514" s="5"/>
      <c r="E514" s="4">
        <v>1</v>
      </c>
      <c r="F514" s="5">
        <v>0.25</v>
      </c>
      <c r="G514" s="5" t="s">
        <v>6696</v>
      </c>
      <c r="H514" s="4" t="s">
        <v>1253</v>
      </c>
      <c r="I514" s="81" t="s">
        <v>817</v>
      </c>
      <c r="J514" s="21"/>
      <c r="K514" s="22" t="s">
        <v>6647</v>
      </c>
      <c r="L514" s="84" t="s">
        <v>6648</v>
      </c>
      <c r="M514" s="23" t="s">
        <v>817</v>
      </c>
      <c r="N514" s="23">
        <v>43933</v>
      </c>
      <c r="O514" s="24" t="s">
        <v>102</v>
      </c>
      <c r="P514" s="24" t="s">
        <v>179</v>
      </c>
      <c r="Q514" s="24">
        <v>1</v>
      </c>
      <c r="R514" s="24">
        <v>0.25</v>
      </c>
      <c r="S514" t="s">
        <v>528</v>
      </c>
      <c r="T514">
        <v>28</v>
      </c>
      <c r="U514" s="2" t="s">
        <v>163</v>
      </c>
      <c r="V514">
        <v>43933.789710648147</v>
      </c>
      <c r="W514" s="2" t="s">
        <v>444</v>
      </c>
      <c r="X514">
        <v>43933.841817129629</v>
      </c>
      <c r="AB514" t="s">
        <v>9</v>
      </c>
      <c r="AC514" t="s">
        <v>3522</v>
      </c>
      <c r="AD514" t="s">
        <v>182</v>
      </c>
      <c r="AE514">
        <v>252893</v>
      </c>
      <c r="AF514">
        <v>252893</v>
      </c>
      <c r="AG514" t="s">
        <v>183</v>
      </c>
      <c r="AH514" t="s">
        <v>6649</v>
      </c>
      <c r="AI514" t="s">
        <v>6649</v>
      </c>
      <c r="AJ514" t="s">
        <v>484</v>
      </c>
      <c r="AK514" t="s">
        <v>485</v>
      </c>
      <c r="AL514" t="s">
        <v>6650</v>
      </c>
      <c r="AO514" t="s">
        <v>6651</v>
      </c>
      <c r="AP514" t="s">
        <v>3527</v>
      </c>
      <c r="AQ514" t="s">
        <v>4108</v>
      </c>
      <c r="AR514" t="s">
        <v>6652</v>
      </c>
      <c r="AS514">
        <v>413330380</v>
      </c>
      <c r="AT514" t="s">
        <v>6653</v>
      </c>
      <c r="AU514" t="s">
        <v>10</v>
      </c>
      <c r="AV514" t="s">
        <v>6654</v>
      </c>
      <c r="AW514" t="s">
        <v>6654</v>
      </c>
      <c r="AX514" t="s">
        <v>6655</v>
      </c>
      <c r="AY514" s="2" t="s">
        <v>6656</v>
      </c>
      <c r="AZ514" t="s">
        <v>6657</v>
      </c>
      <c r="BA514" t="s">
        <v>186</v>
      </c>
      <c r="BB514" t="s">
        <v>187</v>
      </c>
      <c r="BC514" t="s">
        <v>188</v>
      </c>
      <c r="BD514">
        <v>518104</v>
      </c>
      <c r="BE514" t="s">
        <v>6697</v>
      </c>
      <c r="BF514" t="s">
        <v>6658</v>
      </c>
      <c r="BG514" t="b">
        <v>0</v>
      </c>
      <c r="BH514" s="6" t="s">
        <v>1527</v>
      </c>
      <c r="BI514" t="s">
        <v>6659</v>
      </c>
      <c r="BJ514">
        <v>4453163191</v>
      </c>
      <c r="BK514" t="s">
        <v>162</v>
      </c>
      <c r="BL514" t="s">
        <v>161</v>
      </c>
      <c r="BM514" s="2"/>
      <c r="BO514" t="s">
        <v>89</v>
      </c>
      <c r="BP514">
        <v>85369090</v>
      </c>
      <c r="BR514" t="s">
        <v>180</v>
      </c>
      <c r="BS514" t="s">
        <v>103</v>
      </c>
      <c r="BU514">
        <v>0</v>
      </c>
      <c r="BV514">
        <v>0</v>
      </c>
      <c r="BW514">
        <v>0</v>
      </c>
      <c r="BX514">
        <v>0</v>
      </c>
      <c r="BY514">
        <v>0</v>
      </c>
      <c r="BZ514">
        <v>0</v>
      </c>
      <c r="CA514">
        <v>0</v>
      </c>
      <c r="CF514" s="2"/>
      <c r="CH514" s="2"/>
      <c r="CJ514">
        <v>5.3142020950068403E+17</v>
      </c>
      <c r="CK514" t="s">
        <v>2648</v>
      </c>
      <c r="CL514">
        <v>43933.562476851854</v>
      </c>
      <c r="CO514" t="s">
        <v>11</v>
      </c>
      <c r="CP514" t="s">
        <v>6698</v>
      </c>
      <c r="CQ514" t="s">
        <v>11</v>
      </c>
      <c r="CR514">
        <v>216.79</v>
      </c>
      <c r="CV514" t="s">
        <v>190</v>
      </c>
      <c r="CW514" t="s">
        <v>12</v>
      </c>
      <c r="CX514" t="s">
        <v>12</v>
      </c>
      <c r="CY514" t="s">
        <v>12</v>
      </c>
      <c r="DA514" t="s">
        <v>104</v>
      </c>
      <c r="DD514" t="s">
        <v>93</v>
      </c>
      <c r="DQ514" t="s">
        <v>94</v>
      </c>
      <c r="DR514" t="s">
        <v>94</v>
      </c>
      <c r="DS514" t="s">
        <v>94</v>
      </c>
      <c r="DT514" t="s">
        <v>94</v>
      </c>
      <c r="DU514" t="s">
        <v>94</v>
      </c>
      <c r="DV514" t="s">
        <v>94</v>
      </c>
      <c r="DW514" t="s">
        <v>94</v>
      </c>
      <c r="DX514" s="2" t="s">
        <v>94</v>
      </c>
      <c r="DY514" t="s">
        <v>94</v>
      </c>
      <c r="DZ514" t="s">
        <v>94</v>
      </c>
      <c r="EA514" t="s">
        <v>94</v>
      </c>
      <c r="EB514" t="s">
        <v>94</v>
      </c>
      <c r="EC514" t="s">
        <v>94</v>
      </c>
      <c r="ED514" t="s">
        <v>94</v>
      </c>
      <c r="EE514" t="s">
        <v>89</v>
      </c>
      <c r="EF514" t="s">
        <v>425</v>
      </c>
      <c r="EG514" t="s">
        <v>105</v>
      </c>
      <c r="EJ514" t="s">
        <v>166</v>
      </c>
      <c r="EK514" t="b">
        <v>0</v>
      </c>
      <c r="EL514" t="b">
        <v>0</v>
      </c>
      <c r="EM514" t="b">
        <v>0</v>
      </c>
    </row>
    <row r="515" spans="3:143">
      <c r="C515" s="4" t="s">
        <v>3973</v>
      </c>
      <c r="D515" s="4"/>
      <c r="E515" s="4">
        <v>1</v>
      </c>
      <c r="F515" s="4">
        <v>0.5</v>
      </c>
      <c r="G515" s="5" t="s">
        <v>6696</v>
      </c>
      <c r="H515" s="4" t="s">
        <v>6699</v>
      </c>
      <c r="I515" s="4" t="s">
        <v>817</v>
      </c>
      <c r="J515" s="5"/>
      <c r="K515" s="22" t="s">
        <v>6660</v>
      </c>
      <c r="L515" s="84" t="s">
        <v>6648</v>
      </c>
      <c r="M515" s="23" t="s">
        <v>817</v>
      </c>
      <c r="N515" s="23">
        <v>43933</v>
      </c>
      <c r="O515" s="24" t="s">
        <v>102</v>
      </c>
      <c r="P515" s="24" t="s">
        <v>179</v>
      </c>
      <c r="Q515" s="24">
        <v>1</v>
      </c>
      <c r="R515" s="24">
        <v>0.5</v>
      </c>
      <c r="S515" t="s">
        <v>319</v>
      </c>
      <c r="T515">
        <v>30</v>
      </c>
      <c r="U515" s="2" t="s">
        <v>163</v>
      </c>
      <c r="V515">
        <v>43933.789675925924</v>
      </c>
      <c r="W515" s="2" t="s">
        <v>444</v>
      </c>
      <c r="X515">
        <v>43933.841817129629</v>
      </c>
      <c r="AB515" t="s">
        <v>9</v>
      </c>
      <c r="AC515" t="s">
        <v>6661</v>
      </c>
      <c r="AD515" t="s">
        <v>191</v>
      </c>
      <c r="AE515">
        <v>321</v>
      </c>
      <c r="AF515">
        <v>321</v>
      </c>
      <c r="AG515" t="s">
        <v>6700</v>
      </c>
      <c r="AH515" t="s">
        <v>6662</v>
      </c>
      <c r="AI515" t="s">
        <v>6662</v>
      </c>
      <c r="AJ515" t="s">
        <v>6663</v>
      </c>
      <c r="AK515" t="s">
        <v>6664</v>
      </c>
      <c r="AL515" t="s">
        <v>6665</v>
      </c>
      <c r="AM515" t="s">
        <v>6666</v>
      </c>
      <c r="AN515" t="s">
        <v>6667</v>
      </c>
      <c r="AO515" t="s">
        <v>6668</v>
      </c>
      <c r="AP515" t="s">
        <v>6669</v>
      </c>
      <c r="AR515" t="s">
        <v>6670</v>
      </c>
      <c r="AS515">
        <v>-6732428833</v>
      </c>
      <c r="AT515" t="s">
        <v>6671</v>
      </c>
      <c r="AU515" t="s">
        <v>10</v>
      </c>
      <c r="AV515" t="s">
        <v>6672</v>
      </c>
      <c r="AW515" t="s">
        <v>6672</v>
      </c>
      <c r="AX515" t="s">
        <v>6673</v>
      </c>
      <c r="AY515" t="s">
        <v>6674</v>
      </c>
      <c r="AZ515" t="s">
        <v>6675</v>
      </c>
      <c r="BA515" t="s">
        <v>371</v>
      </c>
      <c r="BB515" t="s">
        <v>192</v>
      </c>
      <c r="BC515" t="s">
        <v>188</v>
      </c>
      <c r="BD515">
        <v>523001</v>
      </c>
      <c r="BE515" t="s">
        <v>6701</v>
      </c>
      <c r="BF515" t="s">
        <v>6676</v>
      </c>
      <c r="BG515" t="b">
        <v>0</v>
      </c>
      <c r="BH515" s="6" t="s">
        <v>6677</v>
      </c>
      <c r="BI515" t="s">
        <v>6678</v>
      </c>
      <c r="BJ515">
        <v>4453163191</v>
      </c>
      <c r="BK515" t="s">
        <v>162</v>
      </c>
      <c r="BL515" t="s">
        <v>161</v>
      </c>
      <c r="BM515" s="2"/>
      <c r="BO515" t="s">
        <v>89</v>
      </c>
      <c r="BP515">
        <v>85444221</v>
      </c>
      <c r="BR515" t="s">
        <v>180</v>
      </c>
      <c r="BS515" t="s">
        <v>103</v>
      </c>
      <c r="BU515">
        <v>0</v>
      </c>
      <c r="BV515">
        <v>0</v>
      </c>
      <c r="BW515">
        <v>0</v>
      </c>
      <c r="BX515">
        <v>0</v>
      </c>
      <c r="BY515">
        <v>0</v>
      </c>
      <c r="BZ515">
        <v>0</v>
      </c>
      <c r="CA515">
        <v>0</v>
      </c>
      <c r="CF515" s="2"/>
      <c r="CH515" s="2"/>
      <c r="CJ515">
        <v>5.3142020950068403E+17</v>
      </c>
      <c r="CK515" t="s">
        <v>2648</v>
      </c>
      <c r="CL515">
        <v>43933.377164351848</v>
      </c>
      <c r="CO515" t="s">
        <v>11</v>
      </c>
      <c r="CP515" t="s">
        <v>6702</v>
      </c>
      <c r="CQ515" t="s">
        <v>11</v>
      </c>
      <c r="CR515">
        <v>210.98</v>
      </c>
      <c r="CV515" t="s">
        <v>190</v>
      </c>
      <c r="CW515" t="s">
        <v>12</v>
      </c>
      <c r="CX515" t="s">
        <v>12</v>
      </c>
      <c r="CY515" t="s">
        <v>12</v>
      </c>
      <c r="DA515" t="s">
        <v>104</v>
      </c>
      <c r="DD515" t="s">
        <v>93</v>
      </c>
      <c r="DQ515" t="s">
        <v>94</v>
      </c>
      <c r="DR515" t="s">
        <v>94</v>
      </c>
      <c r="DS515" t="s">
        <v>94</v>
      </c>
      <c r="DT515" t="s">
        <v>94</v>
      </c>
      <c r="DU515" t="s">
        <v>94</v>
      </c>
      <c r="DV515" t="s">
        <v>94</v>
      </c>
      <c r="DW515" t="s">
        <v>94</v>
      </c>
      <c r="DX515" s="2" t="s">
        <v>94</v>
      </c>
      <c r="DY515" t="s">
        <v>94</v>
      </c>
      <c r="DZ515" t="s">
        <v>94</v>
      </c>
      <c r="EA515" t="s">
        <v>94</v>
      </c>
      <c r="EB515" t="s">
        <v>94</v>
      </c>
      <c r="EC515" t="s">
        <v>94</v>
      </c>
      <c r="ED515" t="s">
        <v>94</v>
      </c>
      <c r="EE515" t="s">
        <v>89</v>
      </c>
      <c r="EF515" t="s">
        <v>94</v>
      </c>
      <c r="EG515" t="s">
        <v>543</v>
      </c>
      <c r="EJ515" t="s">
        <v>166</v>
      </c>
      <c r="EK515" t="b">
        <v>0</v>
      </c>
      <c r="EL515" t="b">
        <v>0</v>
      </c>
      <c r="EM515" t="b">
        <v>0</v>
      </c>
    </row>
    <row r="516" spans="3:143">
      <c r="C516" s="4" t="s">
        <v>205</v>
      </c>
      <c r="D516" s="5"/>
      <c r="E516" s="5">
        <v>1</v>
      </c>
      <c r="F516" s="4">
        <v>4.42</v>
      </c>
      <c r="G516" s="5" t="s">
        <v>6696</v>
      </c>
      <c r="H516" s="4" t="s">
        <v>4502</v>
      </c>
      <c r="I516" s="4" t="s">
        <v>817</v>
      </c>
      <c r="J516" s="4"/>
      <c r="K516" s="22" t="s">
        <v>6679</v>
      </c>
      <c r="L516" s="84" t="s">
        <v>6648</v>
      </c>
      <c r="M516" s="23" t="s">
        <v>817</v>
      </c>
      <c r="N516" s="23">
        <v>43933</v>
      </c>
      <c r="O516" s="24" t="s">
        <v>102</v>
      </c>
      <c r="P516" s="24" t="s">
        <v>181</v>
      </c>
      <c r="Q516" s="24">
        <v>1</v>
      </c>
      <c r="R516" s="24">
        <v>4.42</v>
      </c>
      <c r="S516" t="s">
        <v>528</v>
      </c>
      <c r="T516">
        <v>100</v>
      </c>
      <c r="U516" s="2" t="s">
        <v>163</v>
      </c>
      <c r="V516">
        <v>43933.789780092593</v>
      </c>
      <c r="W516" s="2" t="s">
        <v>444</v>
      </c>
      <c r="X516">
        <v>43933.841817129629</v>
      </c>
      <c r="AB516" t="s">
        <v>9</v>
      </c>
      <c r="AC516" t="s">
        <v>1552</v>
      </c>
      <c r="AD516" t="s">
        <v>191</v>
      </c>
      <c r="AE516">
        <v>70201043</v>
      </c>
      <c r="AF516">
        <v>70201043</v>
      </c>
      <c r="AG516" t="s">
        <v>183</v>
      </c>
      <c r="AH516" t="s">
        <v>1553</v>
      </c>
      <c r="AI516" t="s">
        <v>1553</v>
      </c>
      <c r="AJ516" t="s">
        <v>776</v>
      </c>
      <c r="AK516" t="s">
        <v>777</v>
      </c>
      <c r="AL516" t="s">
        <v>1554</v>
      </c>
      <c r="AO516" t="s">
        <v>1555</v>
      </c>
      <c r="AP516" t="s">
        <v>1556</v>
      </c>
      <c r="AQ516" t="s">
        <v>1555</v>
      </c>
      <c r="AR516" t="s">
        <v>6703</v>
      </c>
      <c r="AS516">
        <v>-494073445660</v>
      </c>
      <c r="AT516" t="s">
        <v>1557</v>
      </c>
      <c r="AU516" t="s">
        <v>10</v>
      </c>
      <c r="AV516" t="s">
        <v>6680</v>
      </c>
      <c r="AW516" t="s">
        <v>6680</v>
      </c>
      <c r="AX516" t="s">
        <v>6681</v>
      </c>
      <c r="AY516" t="s">
        <v>6682</v>
      </c>
      <c r="BA516" t="s">
        <v>371</v>
      </c>
      <c r="BB516" t="s">
        <v>192</v>
      </c>
      <c r="BC516" t="s">
        <v>188</v>
      </c>
      <c r="BD516">
        <v>523200</v>
      </c>
      <c r="BE516" t="s">
        <v>6704</v>
      </c>
      <c r="BF516" t="s">
        <v>6683</v>
      </c>
      <c r="BG516" t="b">
        <v>0</v>
      </c>
      <c r="BH516" s="6" t="s">
        <v>6684</v>
      </c>
      <c r="BI516" t="s">
        <v>6685</v>
      </c>
      <c r="BJ516">
        <v>4453163191</v>
      </c>
      <c r="BK516" t="s">
        <v>162</v>
      </c>
      <c r="BL516" t="s">
        <v>161</v>
      </c>
      <c r="BM516" s="2"/>
      <c r="BO516" t="s">
        <v>89</v>
      </c>
      <c r="BP516">
        <v>85444221</v>
      </c>
      <c r="BR516" t="s">
        <v>180</v>
      </c>
      <c r="BS516" t="s">
        <v>103</v>
      </c>
      <c r="BU516">
        <v>0</v>
      </c>
      <c r="BV516">
        <v>100.65</v>
      </c>
      <c r="BW516">
        <v>0</v>
      </c>
      <c r="BX516">
        <v>0</v>
      </c>
      <c r="BY516">
        <v>0</v>
      </c>
      <c r="BZ516">
        <v>0</v>
      </c>
      <c r="CA516">
        <v>100.65</v>
      </c>
      <c r="CF516" s="2"/>
      <c r="CH516" s="2"/>
      <c r="CJ516">
        <v>5.3142020950068403E+17</v>
      </c>
      <c r="CK516" t="s">
        <v>2648</v>
      </c>
      <c r="CL516">
        <v>43933.562939814816</v>
      </c>
      <c r="CO516" t="s">
        <v>11</v>
      </c>
      <c r="CP516" t="s">
        <v>6705</v>
      </c>
      <c r="CQ516" t="s">
        <v>11</v>
      </c>
      <c r="CR516">
        <v>774.24</v>
      </c>
      <c r="CV516" t="s">
        <v>190</v>
      </c>
      <c r="CW516" t="s">
        <v>12</v>
      </c>
      <c r="CX516" t="s">
        <v>12</v>
      </c>
      <c r="CY516" t="s">
        <v>12</v>
      </c>
      <c r="DA516" t="s">
        <v>104</v>
      </c>
      <c r="DD516" t="s">
        <v>93</v>
      </c>
      <c r="DQ516" t="s">
        <v>94</v>
      </c>
      <c r="DR516" t="s">
        <v>94</v>
      </c>
      <c r="DS516" t="s">
        <v>94</v>
      </c>
      <c r="DT516" t="s">
        <v>94</v>
      </c>
      <c r="DU516" t="s">
        <v>94</v>
      </c>
      <c r="DV516" t="s">
        <v>94</v>
      </c>
      <c r="DW516" t="s">
        <v>94</v>
      </c>
      <c r="DX516" s="2" t="s">
        <v>94</v>
      </c>
      <c r="DY516" t="s">
        <v>94</v>
      </c>
      <c r="DZ516" t="s">
        <v>94</v>
      </c>
      <c r="EA516" t="s">
        <v>94</v>
      </c>
      <c r="EB516" t="s">
        <v>94</v>
      </c>
      <c r="EC516" t="s">
        <v>94</v>
      </c>
      <c r="ED516" t="s">
        <v>94</v>
      </c>
      <c r="EE516" t="s">
        <v>89</v>
      </c>
      <c r="EF516" t="s">
        <v>425</v>
      </c>
      <c r="EG516" t="s">
        <v>105</v>
      </c>
      <c r="EJ516" t="s">
        <v>166</v>
      </c>
      <c r="EK516" t="b">
        <v>0</v>
      </c>
      <c r="EL516" t="b">
        <v>0</v>
      </c>
      <c r="EM516" t="b">
        <v>0</v>
      </c>
    </row>
    <row r="517" spans="3:143" ht="15">
      <c r="C517" s="82">
        <v>12</v>
      </c>
      <c r="D517" s="5">
        <v>31.5</v>
      </c>
      <c r="E517" s="4">
        <v>10</v>
      </c>
      <c r="F517" s="5">
        <v>31.5</v>
      </c>
      <c r="G517" s="5" t="s">
        <v>6706</v>
      </c>
      <c r="H517" s="4" t="s">
        <v>6687</v>
      </c>
      <c r="I517" s="81" t="s">
        <v>466</v>
      </c>
      <c r="J517" s="21"/>
      <c r="K517" s="22" t="s">
        <v>6623</v>
      </c>
      <c r="L517" s="84" t="s">
        <v>6624</v>
      </c>
      <c r="M517" s="23" t="s">
        <v>466</v>
      </c>
      <c r="N517" s="23">
        <v>43930</v>
      </c>
      <c r="O517" s="24" t="s">
        <v>102</v>
      </c>
      <c r="P517" s="24" t="s">
        <v>480</v>
      </c>
      <c r="Q517" s="24">
        <v>10</v>
      </c>
      <c r="R517" s="24">
        <v>24</v>
      </c>
      <c r="S517" t="s">
        <v>319</v>
      </c>
      <c r="T517">
        <v>1815</v>
      </c>
      <c r="U517" s="2"/>
      <c r="W517" s="2"/>
      <c r="AB517" t="s">
        <v>9</v>
      </c>
      <c r="AC517" t="s">
        <v>755</v>
      </c>
      <c r="AD517" t="s">
        <v>241</v>
      </c>
      <c r="AE517">
        <v>3311</v>
      </c>
      <c r="AF517">
        <v>3311</v>
      </c>
      <c r="AG517" t="s">
        <v>6688</v>
      </c>
      <c r="AH517" t="s">
        <v>6625</v>
      </c>
      <c r="AI517" t="s">
        <v>6625</v>
      </c>
      <c r="AJ517" t="s">
        <v>584</v>
      </c>
      <c r="AK517" t="s">
        <v>585</v>
      </c>
      <c r="AL517" t="s">
        <v>6626</v>
      </c>
      <c r="AM517" t="s">
        <v>6627</v>
      </c>
      <c r="AN517" t="s">
        <v>6628</v>
      </c>
      <c r="AO517" t="s">
        <v>6629</v>
      </c>
      <c r="AP517" t="s">
        <v>759</v>
      </c>
      <c r="AR517" t="s">
        <v>6630</v>
      </c>
      <c r="AS517">
        <v>-420724035377</v>
      </c>
      <c r="AT517" t="s">
        <v>6631</v>
      </c>
      <c r="AU517" t="s">
        <v>10</v>
      </c>
      <c r="AV517" t="s">
        <v>6632</v>
      </c>
      <c r="AW517" t="s">
        <v>6632</v>
      </c>
      <c r="AX517" t="s">
        <v>6633</v>
      </c>
      <c r="AY517" s="2" t="s">
        <v>6634</v>
      </c>
      <c r="AZ517" t="s">
        <v>6635</v>
      </c>
      <c r="BA517" t="s">
        <v>245</v>
      </c>
      <c r="BB517" t="s">
        <v>246</v>
      </c>
      <c r="BC517" t="s">
        <v>188</v>
      </c>
      <c r="BD517">
        <v>516002</v>
      </c>
      <c r="BE517" t="s">
        <v>6636</v>
      </c>
      <c r="BF517" t="s">
        <v>6637</v>
      </c>
      <c r="BG517" t="b">
        <v>0</v>
      </c>
      <c r="BH517" s="6" t="s">
        <v>6638</v>
      </c>
      <c r="BI517" t="s">
        <v>6639</v>
      </c>
      <c r="BJ517">
        <v>4453163191</v>
      </c>
      <c r="BK517" t="s">
        <v>162</v>
      </c>
      <c r="BL517" t="s">
        <v>161</v>
      </c>
      <c r="BM517" s="2"/>
      <c r="BN517" t="s">
        <v>6640</v>
      </c>
      <c r="BR517" t="s">
        <v>189</v>
      </c>
      <c r="BS517" t="s">
        <v>103</v>
      </c>
      <c r="BU517">
        <v>0</v>
      </c>
      <c r="BV517">
        <v>0</v>
      </c>
      <c r="BW517">
        <v>0</v>
      </c>
      <c r="BX517">
        <v>0</v>
      </c>
      <c r="BY517">
        <v>0</v>
      </c>
      <c r="BZ517">
        <v>0</v>
      </c>
      <c r="CA517">
        <v>0</v>
      </c>
      <c r="CF517" s="2"/>
      <c r="CH517" s="2"/>
      <c r="CK517" t="s">
        <v>1849</v>
      </c>
      <c r="CL517">
        <v>43930.374571759261</v>
      </c>
      <c r="CO517" t="s">
        <v>11</v>
      </c>
      <c r="CP517" t="s">
        <v>6689</v>
      </c>
      <c r="CQ517" t="s">
        <v>11</v>
      </c>
      <c r="CR517">
        <v>12764.53</v>
      </c>
      <c r="CV517" t="s">
        <v>525</v>
      </c>
      <c r="CW517" t="s">
        <v>12</v>
      </c>
      <c r="CX517" t="s">
        <v>12</v>
      </c>
      <c r="CY517" t="s">
        <v>12</v>
      </c>
      <c r="DA517" t="s">
        <v>104</v>
      </c>
      <c r="DD517" t="s">
        <v>93</v>
      </c>
      <c r="DQ517" t="s">
        <v>94</v>
      </c>
      <c r="DR517" t="s">
        <v>94</v>
      </c>
      <c r="DS517" t="s">
        <v>94</v>
      </c>
      <c r="DT517" t="s">
        <v>94</v>
      </c>
      <c r="DU517" t="s">
        <v>94</v>
      </c>
      <c r="DV517" t="s">
        <v>94</v>
      </c>
      <c r="DW517" t="s">
        <v>94</v>
      </c>
      <c r="DX517" s="2" t="s">
        <v>94</v>
      </c>
      <c r="DY517" t="s">
        <v>94</v>
      </c>
      <c r="DZ517" t="s">
        <v>94</v>
      </c>
      <c r="EA517" t="s">
        <v>94</v>
      </c>
      <c r="EB517" t="s">
        <v>94</v>
      </c>
      <c r="EC517" t="s">
        <v>94</v>
      </c>
      <c r="ED517" t="s">
        <v>94</v>
      </c>
      <c r="EE517" t="s">
        <v>89</v>
      </c>
      <c r="EF517" t="s">
        <v>425</v>
      </c>
      <c r="EG517" t="s">
        <v>105</v>
      </c>
      <c r="EJ517" t="s">
        <v>166</v>
      </c>
      <c r="EK517" t="b">
        <v>0</v>
      </c>
      <c r="EL517" t="b">
        <v>0</v>
      </c>
      <c r="EM517" t="b">
        <v>0</v>
      </c>
    </row>
    <row r="518" spans="3:143" ht="15">
      <c r="C518" s="82">
        <v>121</v>
      </c>
      <c r="D518" s="5"/>
      <c r="E518" s="4">
        <v>1</v>
      </c>
      <c r="F518" s="5">
        <v>4.7</v>
      </c>
      <c r="G518" s="5" t="s">
        <v>6707</v>
      </c>
      <c r="H518" s="4" t="s">
        <v>6693</v>
      </c>
      <c r="I518" s="81" t="s">
        <v>164</v>
      </c>
      <c r="J518" s="21"/>
      <c r="K518" s="22" t="s">
        <v>6642</v>
      </c>
      <c r="L518" s="84" t="s">
        <v>6641</v>
      </c>
      <c r="M518" s="23" t="s">
        <v>164</v>
      </c>
      <c r="N518" s="23">
        <v>43932</v>
      </c>
      <c r="O518" s="24" t="s">
        <v>102</v>
      </c>
      <c r="P518" s="24" t="s">
        <v>179</v>
      </c>
      <c r="Q518" s="24">
        <v>1</v>
      </c>
      <c r="R518" s="24">
        <v>4.7</v>
      </c>
      <c r="S518" t="s">
        <v>319</v>
      </c>
      <c r="T518">
        <v>42.01</v>
      </c>
      <c r="U518" s="2" t="s">
        <v>163</v>
      </c>
      <c r="V518">
        <v>43932.891250000001</v>
      </c>
      <c r="W518" s="2" t="s">
        <v>444</v>
      </c>
      <c r="X518">
        <v>43935.61146990741</v>
      </c>
      <c r="AB518" t="s">
        <v>9</v>
      </c>
      <c r="AC518" t="s">
        <v>5796</v>
      </c>
      <c r="AD518" t="s">
        <v>1602</v>
      </c>
      <c r="AE518">
        <v>70327028</v>
      </c>
      <c r="AF518">
        <v>70327028</v>
      </c>
      <c r="AG518" t="s">
        <v>183</v>
      </c>
      <c r="AH518" t="s">
        <v>5797</v>
      </c>
      <c r="AI518" t="s">
        <v>5797</v>
      </c>
      <c r="AJ518" t="s">
        <v>776</v>
      </c>
      <c r="AK518" t="s">
        <v>777</v>
      </c>
      <c r="AL518" t="s">
        <v>5798</v>
      </c>
      <c r="AO518" t="s">
        <v>5799</v>
      </c>
      <c r="AP518" t="s">
        <v>5800</v>
      </c>
      <c r="AQ518" t="s">
        <v>5801</v>
      </c>
      <c r="AR518" t="s">
        <v>5837</v>
      </c>
      <c r="AS518">
        <v>5041998277</v>
      </c>
      <c r="AT518" t="s">
        <v>5802</v>
      </c>
      <c r="AU518" t="s">
        <v>10</v>
      </c>
      <c r="AV518" t="s">
        <v>6643</v>
      </c>
      <c r="AW518" t="s">
        <v>6643</v>
      </c>
      <c r="AX518" t="s">
        <v>6644</v>
      </c>
      <c r="AY518" s="2"/>
      <c r="BA518" t="s">
        <v>1615</v>
      </c>
      <c r="BB518" t="s">
        <v>1616</v>
      </c>
      <c r="BC518" t="s">
        <v>188</v>
      </c>
      <c r="BD518">
        <v>528400</v>
      </c>
      <c r="BE518" t="s">
        <v>6694</v>
      </c>
      <c r="BG518" t="b">
        <v>0</v>
      </c>
      <c r="BH518" s="6" t="s">
        <v>6645</v>
      </c>
      <c r="BI518" t="s">
        <v>6646</v>
      </c>
      <c r="BJ518">
        <v>4453163191</v>
      </c>
      <c r="BK518" t="s">
        <v>162</v>
      </c>
      <c r="BL518" t="s">
        <v>161</v>
      </c>
      <c r="BM518" s="2"/>
      <c r="BO518" t="s">
        <v>89</v>
      </c>
      <c r="BP518">
        <v>94054090</v>
      </c>
      <c r="BR518" t="s">
        <v>189</v>
      </c>
      <c r="BS518" t="s">
        <v>103</v>
      </c>
      <c r="BU518">
        <v>0</v>
      </c>
      <c r="BV518">
        <v>0</v>
      </c>
      <c r="BW518">
        <v>0</v>
      </c>
      <c r="BX518">
        <v>0</v>
      </c>
      <c r="BY518">
        <v>0</v>
      </c>
      <c r="BZ518">
        <v>0</v>
      </c>
      <c r="CA518">
        <v>0</v>
      </c>
      <c r="CF518" s="2"/>
      <c r="CH518" s="2"/>
      <c r="CJ518">
        <v>5.3142020950068301E+17</v>
      </c>
      <c r="CK518" t="s">
        <v>165</v>
      </c>
      <c r="CL518">
        <v>43932.569004629629</v>
      </c>
      <c r="CO518" t="s">
        <v>11</v>
      </c>
      <c r="CP518" t="s">
        <v>6695</v>
      </c>
      <c r="CQ518" t="s">
        <v>11</v>
      </c>
      <c r="CR518">
        <v>295.45</v>
      </c>
      <c r="CV518" t="s">
        <v>190</v>
      </c>
      <c r="CW518" t="s">
        <v>12</v>
      </c>
      <c r="CX518" t="s">
        <v>12</v>
      </c>
      <c r="CY518" t="s">
        <v>12</v>
      </c>
      <c r="DA518" t="s">
        <v>104</v>
      </c>
      <c r="DD518" t="s">
        <v>93</v>
      </c>
      <c r="DQ518" t="s">
        <v>94</v>
      </c>
      <c r="DR518" t="s">
        <v>94</v>
      </c>
      <c r="DS518" t="s">
        <v>94</v>
      </c>
      <c r="DT518" t="s">
        <v>94</v>
      </c>
      <c r="DU518" t="s">
        <v>94</v>
      </c>
      <c r="DV518" t="s">
        <v>94</v>
      </c>
      <c r="DW518" t="s">
        <v>94</v>
      </c>
      <c r="DX518" s="2" t="s">
        <v>94</v>
      </c>
      <c r="DY518" t="s">
        <v>94</v>
      </c>
      <c r="DZ518" t="s">
        <v>94</v>
      </c>
      <c r="EA518" t="s">
        <v>94</v>
      </c>
      <c r="EB518" t="s">
        <v>94</v>
      </c>
      <c r="EC518" t="s">
        <v>94</v>
      </c>
      <c r="ED518" t="s">
        <v>94</v>
      </c>
      <c r="EE518" t="s">
        <v>89</v>
      </c>
      <c r="EF518" t="s">
        <v>425</v>
      </c>
      <c r="EG518" t="s">
        <v>105</v>
      </c>
      <c r="EJ518" t="s">
        <v>166</v>
      </c>
      <c r="EK518" t="b">
        <v>0</v>
      </c>
      <c r="EL518" t="b">
        <v>0</v>
      </c>
      <c r="EM518" t="b">
        <v>0</v>
      </c>
    </row>
    <row r="519" spans="3:143" ht="15">
      <c r="C519" s="82">
        <v>1</v>
      </c>
      <c r="D519" s="5"/>
      <c r="E519" s="4">
        <v>1</v>
      </c>
      <c r="F519" s="5">
        <v>0.5</v>
      </c>
      <c r="G519" s="5" t="s">
        <v>6767</v>
      </c>
      <c r="H519" s="4" t="s">
        <v>6768</v>
      </c>
      <c r="I519" s="81" t="s">
        <v>466</v>
      </c>
      <c r="J519" s="21" t="b">
        <v>1</v>
      </c>
      <c r="K519" s="22" t="s">
        <v>6709</v>
      </c>
      <c r="L519" s="84" t="s">
        <v>6624</v>
      </c>
      <c r="M519" s="23" t="s">
        <v>466</v>
      </c>
      <c r="N519" s="23">
        <v>43930</v>
      </c>
      <c r="O519" s="24" t="s">
        <v>102</v>
      </c>
      <c r="P519" s="24" t="s">
        <v>181</v>
      </c>
      <c r="Q519" s="24">
        <v>1</v>
      </c>
      <c r="R519" s="24">
        <v>0.5</v>
      </c>
      <c r="S519" t="s">
        <v>319</v>
      </c>
      <c r="T519">
        <v>399</v>
      </c>
      <c r="U519" s="2" t="s">
        <v>163</v>
      </c>
      <c r="V519">
        <v>43930.926481481481</v>
      </c>
      <c r="W519" s="2" t="s">
        <v>444</v>
      </c>
      <c r="X519">
        <v>43930.960636574076</v>
      </c>
      <c r="AB519" t="s">
        <v>9</v>
      </c>
      <c r="AC519" t="s">
        <v>5796</v>
      </c>
      <c r="AD519" t="s">
        <v>182</v>
      </c>
      <c r="AE519">
        <v>70296095</v>
      </c>
      <c r="AF519">
        <v>70296095</v>
      </c>
      <c r="AG519" t="s">
        <v>6769</v>
      </c>
      <c r="AH519" t="s">
        <v>6710</v>
      </c>
      <c r="AI519" t="s">
        <v>6710</v>
      </c>
      <c r="AJ519" t="s">
        <v>776</v>
      </c>
      <c r="AK519" t="s">
        <v>777</v>
      </c>
      <c r="AL519" t="s">
        <v>6711</v>
      </c>
      <c r="AO519" t="s">
        <v>6712</v>
      </c>
      <c r="AP519" t="s">
        <v>5800</v>
      </c>
      <c r="AQ519" t="s">
        <v>5801</v>
      </c>
      <c r="AR519" t="s">
        <v>6770</v>
      </c>
      <c r="AS519">
        <v>0</v>
      </c>
      <c r="AU519" t="s">
        <v>10</v>
      </c>
      <c r="AV519" t="s">
        <v>6713</v>
      </c>
      <c r="AW519" t="s">
        <v>6714</v>
      </c>
      <c r="AX519" t="s">
        <v>6715</v>
      </c>
      <c r="AY519" s="2" t="s">
        <v>6716</v>
      </c>
      <c r="BA519" t="s">
        <v>1002</v>
      </c>
      <c r="BB519" t="s">
        <v>187</v>
      </c>
      <c r="BC519" t="s">
        <v>188</v>
      </c>
      <c r="BD519">
        <v>518116</v>
      </c>
      <c r="BE519" t="s">
        <v>6717</v>
      </c>
      <c r="BF519" t="s">
        <v>6718</v>
      </c>
      <c r="BG519" t="b">
        <v>0</v>
      </c>
      <c r="BH519" s="6" t="s">
        <v>6719</v>
      </c>
      <c r="BI519" t="s">
        <v>6720</v>
      </c>
      <c r="BJ519">
        <v>4453163191</v>
      </c>
      <c r="BK519" t="s">
        <v>162</v>
      </c>
      <c r="BL519" t="s">
        <v>161</v>
      </c>
      <c r="BM519" s="2"/>
      <c r="BN519" t="s">
        <v>6721</v>
      </c>
      <c r="BO519" t="s">
        <v>89</v>
      </c>
      <c r="BP519">
        <v>8517180090</v>
      </c>
      <c r="BR519" t="s">
        <v>180</v>
      </c>
      <c r="BS519" t="s">
        <v>103</v>
      </c>
      <c r="BU519">
        <v>0</v>
      </c>
      <c r="BV519">
        <v>364.79</v>
      </c>
      <c r="BW519">
        <v>0</v>
      </c>
      <c r="BX519">
        <v>0</v>
      </c>
      <c r="BY519">
        <v>0</v>
      </c>
      <c r="BZ519">
        <v>0</v>
      </c>
      <c r="CA519">
        <v>364.79</v>
      </c>
      <c r="CF519" s="2"/>
      <c r="CH519" s="2"/>
      <c r="CJ519">
        <v>5.31420209500672E+17</v>
      </c>
      <c r="CK519" t="s">
        <v>1849</v>
      </c>
      <c r="CL519">
        <v>43930.374444444446</v>
      </c>
      <c r="CO519" t="s">
        <v>11</v>
      </c>
      <c r="CP519" t="s">
        <v>6771</v>
      </c>
      <c r="CQ519" t="s">
        <v>11</v>
      </c>
      <c r="CR519">
        <v>2806.09</v>
      </c>
      <c r="CV519" t="s">
        <v>525</v>
      </c>
      <c r="CW519" t="s">
        <v>12</v>
      </c>
      <c r="CX519" t="s">
        <v>12</v>
      </c>
      <c r="CY519" t="s">
        <v>12</v>
      </c>
      <c r="DA519" t="s">
        <v>104</v>
      </c>
      <c r="DD519" t="s">
        <v>93</v>
      </c>
      <c r="DQ519" t="s">
        <v>94</v>
      </c>
      <c r="DR519" t="s">
        <v>94</v>
      </c>
      <c r="DS519" t="s">
        <v>94</v>
      </c>
      <c r="DT519" t="s">
        <v>94</v>
      </c>
      <c r="DU519" t="s">
        <v>94</v>
      </c>
      <c r="DV519" t="s">
        <v>94</v>
      </c>
      <c r="DW519" t="s">
        <v>94</v>
      </c>
      <c r="DX519" s="2" t="s">
        <v>94</v>
      </c>
      <c r="DY519" t="s">
        <v>94</v>
      </c>
      <c r="DZ519" t="s">
        <v>94</v>
      </c>
      <c r="EA519" t="s">
        <v>94</v>
      </c>
      <c r="EB519" t="s">
        <v>94</v>
      </c>
      <c r="EC519" t="s">
        <v>94</v>
      </c>
      <c r="ED519" t="s">
        <v>94</v>
      </c>
      <c r="EE519" t="s">
        <v>89</v>
      </c>
      <c r="EF519" t="s">
        <v>94</v>
      </c>
      <c r="EG519" t="s">
        <v>543</v>
      </c>
      <c r="EJ519" t="s">
        <v>166</v>
      </c>
      <c r="EK519" t="b">
        <v>0</v>
      </c>
      <c r="EL519" t="b">
        <v>0</v>
      </c>
      <c r="EM519" t="b">
        <v>0</v>
      </c>
    </row>
    <row r="520" spans="3:143" ht="15">
      <c r="C520" s="82">
        <v>2</v>
      </c>
      <c r="D520" s="5"/>
      <c r="E520" s="4">
        <v>1</v>
      </c>
      <c r="F520" s="5">
        <v>0.08</v>
      </c>
      <c r="G520" s="5" t="s">
        <v>6772</v>
      </c>
      <c r="H520" s="4" t="s">
        <v>6773</v>
      </c>
      <c r="I520" s="81" t="s">
        <v>817</v>
      </c>
      <c r="J520" s="21" t="b">
        <v>1</v>
      </c>
      <c r="K520" s="22" t="s">
        <v>6722</v>
      </c>
      <c r="L520" s="84" t="s">
        <v>6648</v>
      </c>
      <c r="M520" s="23" t="s">
        <v>817</v>
      </c>
      <c r="N520" s="23">
        <v>43933</v>
      </c>
      <c r="O520" s="24" t="s">
        <v>102</v>
      </c>
      <c r="P520" s="24" t="s">
        <v>179</v>
      </c>
      <c r="Q520" s="24">
        <v>1</v>
      </c>
      <c r="R520" s="24">
        <v>0.08</v>
      </c>
      <c r="S520" t="s">
        <v>319</v>
      </c>
      <c r="T520">
        <v>32</v>
      </c>
      <c r="U520" s="2" t="s">
        <v>163</v>
      </c>
      <c r="V520">
        <v>43933.789722222224</v>
      </c>
      <c r="W520" s="2" t="s">
        <v>444</v>
      </c>
      <c r="X520">
        <v>43933.841817129629</v>
      </c>
      <c r="AB520" t="s">
        <v>9</v>
      </c>
      <c r="AC520" t="s">
        <v>6062</v>
      </c>
      <c r="AD520" t="s">
        <v>182</v>
      </c>
      <c r="AE520">
        <v>93909</v>
      </c>
      <c r="AF520">
        <v>93909</v>
      </c>
      <c r="AG520" t="s">
        <v>183</v>
      </c>
      <c r="AH520" t="s">
        <v>6723</v>
      </c>
      <c r="AI520" t="s">
        <v>6723</v>
      </c>
      <c r="AJ520" t="s">
        <v>338</v>
      </c>
      <c r="AK520" t="s">
        <v>339</v>
      </c>
      <c r="AL520" t="s">
        <v>6724</v>
      </c>
      <c r="AM520" t="s">
        <v>6725</v>
      </c>
      <c r="AN520" t="s">
        <v>6726</v>
      </c>
      <c r="AO520" t="s">
        <v>6067</v>
      </c>
      <c r="AP520" t="s">
        <v>6068</v>
      </c>
      <c r="AR520" t="s">
        <v>6774</v>
      </c>
      <c r="AS520">
        <v>7784800577</v>
      </c>
      <c r="AT520" t="s">
        <v>6727</v>
      </c>
      <c r="AU520" t="s">
        <v>10</v>
      </c>
      <c r="AV520" t="s">
        <v>6728</v>
      </c>
      <c r="AW520" t="s">
        <v>6728</v>
      </c>
      <c r="AX520" t="s">
        <v>6729</v>
      </c>
      <c r="AY520" s="2" t="s">
        <v>6730</v>
      </c>
      <c r="AZ520" t="s">
        <v>6731</v>
      </c>
      <c r="BA520" t="s">
        <v>186</v>
      </c>
      <c r="BB520" t="s">
        <v>187</v>
      </c>
      <c r="BC520" t="s">
        <v>188</v>
      </c>
      <c r="BD520">
        <v>518104</v>
      </c>
      <c r="BE520" t="s">
        <v>6775</v>
      </c>
      <c r="BF520" t="s">
        <v>6732</v>
      </c>
      <c r="BG520" t="b">
        <v>0</v>
      </c>
      <c r="BH520" s="6" t="s">
        <v>6733</v>
      </c>
      <c r="BI520" t="s">
        <v>6734</v>
      </c>
      <c r="BJ520">
        <v>4453163191</v>
      </c>
      <c r="BK520" t="s">
        <v>162</v>
      </c>
      <c r="BL520" t="s">
        <v>161</v>
      </c>
      <c r="BM520" s="2"/>
      <c r="BO520" t="s">
        <v>89</v>
      </c>
      <c r="BP520">
        <v>85369090</v>
      </c>
      <c r="BR520" t="s">
        <v>180</v>
      </c>
      <c r="BS520" t="s">
        <v>103</v>
      </c>
      <c r="BU520">
        <v>0</v>
      </c>
      <c r="BV520">
        <v>0</v>
      </c>
      <c r="BW520">
        <v>0</v>
      </c>
      <c r="BX520">
        <v>0</v>
      </c>
      <c r="BY520">
        <v>0</v>
      </c>
      <c r="BZ520">
        <v>0</v>
      </c>
      <c r="CA520">
        <v>0</v>
      </c>
      <c r="CF520" s="2"/>
      <c r="CH520" s="2"/>
      <c r="CJ520">
        <v>5.3142020950068403E+17</v>
      </c>
      <c r="CK520" t="s">
        <v>2648</v>
      </c>
      <c r="CL520">
        <v>43933.376793981479</v>
      </c>
      <c r="CO520" t="s">
        <v>11</v>
      </c>
      <c r="CP520" t="s">
        <v>6776</v>
      </c>
      <c r="CQ520" t="s">
        <v>11</v>
      </c>
      <c r="CR520">
        <v>225.05</v>
      </c>
      <c r="CV520" t="s">
        <v>190</v>
      </c>
      <c r="CW520" t="s">
        <v>12</v>
      </c>
      <c r="CX520" t="s">
        <v>12</v>
      </c>
      <c r="CY520" t="s">
        <v>12</v>
      </c>
      <c r="DA520" t="s">
        <v>104</v>
      </c>
      <c r="DD520" t="s">
        <v>93</v>
      </c>
      <c r="DQ520" t="s">
        <v>94</v>
      </c>
      <c r="DR520" t="s">
        <v>94</v>
      </c>
      <c r="DS520" t="s">
        <v>94</v>
      </c>
      <c r="DT520" t="s">
        <v>94</v>
      </c>
      <c r="DU520" t="s">
        <v>94</v>
      </c>
      <c r="DV520" t="s">
        <v>94</v>
      </c>
      <c r="DW520" t="s">
        <v>94</v>
      </c>
      <c r="DX520" s="2" t="s">
        <v>94</v>
      </c>
      <c r="DY520" t="s">
        <v>94</v>
      </c>
      <c r="DZ520" t="s">
        <v>94</v>
      </c>
      <c r="EA520" t="s">
        <v>94</v>
      </c>
      <c r="EB520" t="s">
        <v>94</v>
      </c>
      <c r="EC520" t="s">
        <v>94</v>
      </c>
      <c r="ED520" t="s">
        <v>94</v>
      </c>
      <c r="EE520" t="s">
        <v>89</v>
      </c>
      <c r="EF520" t="s">
        <v>425</v>
      </c>
      <c r="EG520" t="s">
        <v>105</v>
      </c>
      <c r="EJ520" t="s">
        <v>166</v>
      </c>
      <c r="EK520" t="b">
        <v>0</v>
      </c>
      <c r="EL520" t="b">
        <v>0</v>
      </c>
      <c r="EM520" t="b">
        <v>0</v>
      </c>
    </row>
    <row r="521" spans="3:143">
      <c r="C521" s="4">
        <v>2</v>
      </c>
      <c r="D521" s="4"/>
      <c r="E521" s="4">
        <v>1</v>
      </c>
      <c r="F521" s="4">
        <v>0.46</v>
      </c>
      <c r="G521" s="5" t="s">
        <v>6772</v>
      </c>
      <c r="H521" s="4" t="s">
        <v>6777</v>
      </c>
      <c r="I521" s="4" t="s">
        <v>817</v>
      </c>
      <c r="J521" s="5" t="b">
        <v>1</v>
      </c>
      <c r="K521" s="22" t="s">
        <v>6735</v>
      </c>
      <c r="L521" s="84" t="s">
        <v>6648</v>
      </c>
      <c r="M521" s="23" t="s">
        <v>817</v>
      </c>
      <c r="N521" s="23">
        <v>43933</v>
      </c>
      <c r="O521" s="24" t="s">
        <v>102</v>
      </c>
      <c r="P521" s="24" t="s">
        <v>179</v>
      </c>
      <c r="Q521" s="24">
        <v>1</v>
      </c>
      <c r="R521" s="24">
        <v>0.46</v>
      </c>
      <c r="S521" t="s">
        <v>319</v>
      </c>
      <c r="T521">
        <v>30</v>
      </c>
      <c r="U521" s="2" t="s">
        <v>163</v>
      </c>
      <c r="V521">
        <v>43933.789907407408</v>
      </c>
      <c r="W521" s="2" t="s">
        <v>444</v>
      </c>
      <c r="X521">
        <v>43935.609537037039</v>
      </c>
      <c r="AB521" t="s">
        <v>9</v>
      </c>
      <c r="AC521" t="s">
        <v>6736</v>
      </c>
      <c r="AD521" t="s">
        <v>191</v>
      </c>
      <c r="AE521">
        <v>126278</v>
      </c>
      <c r="AF521">
        <v>126278</v>
      </c>
      <c r="AG521" t="s">
        <v>183</v>
      </c>
      <c r="AH521" t="s">
        <v>6737</v>
      </c>
      <c r="AI521" t="s">
        <v>6737</v>
      </c>
      <c r="AJ521" t="s">
        <v>1272</v>
      </c>
      <c r="AK521" t="s">
        <v>1273</v>
      </c>
      <c r="AL521" t="s">
        <v>6738</v>
      </c>
      <c r="AO521" t="s">
        <v>6739</v>
      </c>
      <c r="AP521" t="s">
        <v>6740</v>
      </c>
      <c r="AR521" t="s">
        <v>6741</v>
      </c>
      <c r="AS521">
        <v>537998080</v>
      </c>
      <c r="AT521" t="s">
        <v>6742</v>
      </c>
      <c r="AU521" t="s">
        <v>10</v>
      </c>
      <c r="AV521" t="s">
        <v>6743</v>
      </c>
      <c r="AW521" t="s">
        <v>6743</v>
      </c>
      <c r="AX521" t="s">
        <v>6744</v>
      </c>
      <c r="AY521" t="s">
        <v>6745</v>
      </c>
      <c r="AZ521" t="s">
        <v>6746</v>
      </c>
      <c r="BA521" t="s">
        <v>726</v>
      </c>
      <c r="BB521" t="s">
        <v>192</v>
      </c>
      <c r="BC521" t="s">
        <v>188</v>
      </c>
      <c r="BD521">
        <v>523121</v>
      </c>
      <c r="BE521" t="s">
        <v>6778</v>
      </c>
      <c r="BF521" t="s">
        <v>6747</v>
      </c>
      <c r="BG521" t="b">
        <v>0</v>
      </c>
      <c r="BH521" s="6" t="s">
        <v>6748</v>
      </c>
      <c r="BI521" t="s">
        <v>6749</v>
      </c>
      <c r="BJ521">
        <v>4453163191</v>
      </c>
      <c r="BK521" t="s">
        <v>162</v>
      </c>
      <c r="BL521" t="s">
        <v>161</v>
      </c>
      <c r="BM521" s="2"/>
      <c r="BO521" t="s">
        <v>89</v>
      </c>
      <c r="BP521">
        <v>8479909090</v>
      </c>
      <c r="BR521" t="s">
        <v>180</v>
      </c>
      <c r="BS521" t="s">
        <v>103</v>
      </c>
      <c r="BU521">
        <v>0</v>
      </c>
      <c r="BV521">
        <v>0</v>
      </c>
      <c r="BW521">
        <v>0</v>
      </c>
      <c r="BX521">
        <v>0</v>
      </c>
      <c r="BY521">
        <v>0</v>
      </c>
      <c r="BZ521">
        <v>0</v>
      </c>
      <c r="CA521">
        <v>0</v>
      </c>
      <c r="CF521" s="2"/>
      <c r="CH521" s="2"/>
      <c r="CJ521">
        <v>5.3142020950068403E+17</v>
      </c>
      <c r="CK521" t="s">
        <v>2648</v>
      </c>
      <c r="CL521">
        <v>43933.562141203707</v>
      </c>
      <c r="CO521" t="s">
        <v>11</v>
      </c>
      <c r="CP521" t="s">
        <v>6702</v>
      </c>
      <c r="CQ521" t="s">
        <v>11</v>
      </c>
      <c r="CR521">
        <v>210.98</v>
      </c>
      <c r="CV521" t="s">
        <v>190</v>
      </c>
      <c r="CW521" t="s">
        <v>12</v>
      </c>
      <c r="CX521" t="s">
        <v>12</v>
      </c>
      <c r="CY521" t="s">
        <v>12</v>
      </c>
      <c r="DA521" t="s">
        <v>104</v>
      </c>
      <c r="DD521" t="s">
        <v>93</v>
      </c>
      <c r="DQ521" t="s">
        <v>94</v>
      </c>
      <c r="DR521" t="s">
        <v>94</v>
      </c>
      <c r="DS521" t="s">
        <v>94</v>
      </c>
      <c r="DT521" t="s">
        <v>94</v>
      </c>
      <c r="DU521" t="s">
        <v>94</v>
      </c>
      <c r="DV521" t="s">
        <v>94</v>
      </c>
      <c r="DW521" t="s">
        <v>94</v>
      </c>
      <c r="DX521" s="2" t="s">
        <v>94</v>
      </c>
      <c r="DY521" t="s">
        <v>94</v>
      </c>
      <c r="DZ521" t="s">
        <v>94</v>
      </c>
      <c r="EA521" t="s">
        <v>94</v>
      </c>
      <c r="EB521" t="s">
        <v>94</v>
      </c>
      <c r="EC521" t="s">
        <v>94</v>
      </c>
      <c r="ED521" t="s">
        <v>94</v>
      </c>
      <c r="EE521" t="s">
        <v>89</v>
      </c>
      <c r="EF521" t="s">
        <v>425</v>
      </c>
      <c r="EG521" t="s">
        <v>105</v>
      </c>
      <c r="EJ521" t="s">
        <v>166</v>
      </c>
      <c r="EK521" t="b">
        <v>0</v>
      </c>
      <c r="EL521" t="b">
        <v>0</v>
      </c>
      <c r="EM521" t="b">
        <v>0</v>
      </c>
    </row>
    <row r="522" spans="3:143" ht="15">
      <c r="C522" s="82">
        <v>3</v>
      </c>
      <c r="D522" s="5"/>
      <c r="E522" s="4">
        <v>1</v>
      </c>
      <c r="F522" s="5">
        <v>16</v>
      </c>
      <c r="G522" s="5" t="s">
        <v>6779</v>
      </c>
      <c r="H522" s="4" t="s">
        <v>6780</v>
      </c>
      <c r="I522" s="81" t="s">
        <v>920</v>
      </c>
      <c r="J522" s="21" t="b">
        <v>1</v>
      </c>
      <c r="K522" s="22" t="s">
        <v>6750</v>
      </c>
      <c r="L522" s="84" t="s">
        <v>6531</v>
      </c>
      <c r="M522" s="23" t="s">
        <v>920</v>
      </c>
      <c r="N522" s="23">
        <v>43924</v>
      </c>
      <c r="O522" s="24" t="s">
        <v>102</v>
      </c>
      <c r="P522" s="24" t="s">
        <v>181</v>
      </c>
      <c r="Q522" s="24">
        <v>1</v>
      </c>
      <c r="R522" s="24">
        <v>16</v>
      </c>
      <c r="S522" t="s">
        <v>11</v>
      </c>
      <c r="T522">
        <v>800</v>
      </c>
      <c r="U522" s="2" t="s">
        <v>163</v>
      </c>
      <c r="V522">
        <v>43924.840381944443</v>
      </c>
      <c r="W522" s="2" t="s">
        <v>444</v>
      </c>
      <c r="X522">
        <v>43927.461562500001</v>
      </c>
      <c r="AB522" t="s">
        <v>9</v>
      </c>
      <c r="AC522" t="s">
        <v>6751</v>
      </c>
      <c r="AD522" t="s">
        <v>182</v>
      </c>
      <c r="AE522">
        <v>773096</v>
      </c>
      <c r="AF522">
        <v>773096</v>
      </c>
      <c r="AG522" t="s">
        <v>183</v>
      </c>
      <c r="AH522" t="s">
        <v>6752</v>
      </c>
      <c r="AI522" t="s">
        <v>6752</v>
      </c>
      <c r="AJ522" t="s">
        <v>2322</v>
      </c>
      <c r="AK522" t="s">
        <v>2323</v>
      </c>
      <c r="AL522" t="s">
        <v>6753</v>
      </c>
      <c r="AM522" t="s">
        <v>6754</v>
      </c>
      <c r="AN522" t="s">
        <v>6755</v>
      </c>
      <c r="AO522" t="s">
        <v>6756</v>
      </c>
      <c r="AP522" t="s">
        <v>6757</v>
      </c>
      <c r="AQ522" t="s">
        <v>6755</v>
      </c>
      <c r="AR522" t="s">
        <v>6781</v>
      </c>
      <c r="AS522">
        <v>3423570330</v>
      </c>
      <c r="AT522" t="s">
        <v>6758</v>
      </c>
      <c r="AU522" t="s">
        <v>10</v>
      </c>
      <c r="AV522" t="s">
        <v>6759</v>
      </c>
      <c r="AW522" t="s">
        <v>6760</v>
      </c>
      <c r="AX522" t="s">
        <v>6761</v>
      </c>
      <c r="AY522" s="2" t="s">
        <v>6762</v>
      </c>
      <c r="AZ522" t="s">
        <v>6763</v>
      </c>
      <c r="BA522" t="s">
        <v>194</v>
      </c>
      <c r="BB522" t="s">
        <v>272</v>
      </c>
      <c r="BC522" t="s">
        <v>188</v>
      </c>
      <c r="BD522">
        <v>518000</v>
      </c>
      <c r="BE522" t="s">
        <v>6764</v>
      </c>
      <c r="BF522" t="s">
        <v>6760</v>
      </c>
      <c r="BG522" t="b">
        <v>0</v>
      </c>
      <c r="BH522" s="6" t="s">
        <v>6765</v>
      </c>
      <c r="BI522" t="s">
        <v>6766</v>
      </c>
      <c r="BJ522">
        <v>4453163191</v>
      </c>
      <c r="BK522" t="s">
        <v>162</v>
      </c>
      <c r="BL522" t="s">
        <v>161</v>
      </c>
      <c r="BM522" s="2"/>
      <c r="BO522" t="s">
        <v>89</v>
      </c>
      <c r="BP522">
        <v>39233000</v>
      </c>
      <c r="BR522" t="s">
        <v>180</v>
      </c>
      <c r="BS522" t="s">
        <v>103</v>
      </c>
      <c r="BU522">
        <v>52</v>
      </c>
      <c r="BV522">
        <v>110.76</v>
      </c>
      <c r="BW522">
        <v>0</v>
      </c>
      <c r="BX522">
        <v>0</v>
      </c>
      <c r="BY522">
        <v>0</v>
      </c>
      <c r="BZ522">
        <v>0</v>
      </c>
      <c r="CA522">
        <v>162.76</v>
      </c>
      <c r="CF522" s="2"/>
      <c r="CH522" s="2"/>
      <c r="CJ522">
        <v>5.3142020950063802E+17</v>
      </c>
      <c r="CK522" t="s">
        <v>1849</v>
      </c>
      <c r="CL522">
        <v>43924.374340277776</v>
      </c>
      <c r="CO522" t="s">
        <v>11</v>
      </c>
      <c r="CP522" t="s">
        <v>6420</v>
      </c>
      <c r="CQ522" t="s">
        <v>11</v>
      </c>
      <c r="CR522">
        <v>800</v>
      </c>
      <c r="CV522" t="s">
        <v>190</v>
      </c>
      <c r="CW522" t="s">
        <v>12</v>
      </c>
      <c r="CX522" t="s">
        <v>12</v>
      </c>
      <c r="CY522" t="s">
        <v>12</v>
      </c>
      <c r="DA522" t="s">
        <v>104</v>
      </c>
      <c r="DD522" t="s">
        <v>93</v>
      </c>
      <c r="DQ522" t="s">
        <v>94</v>
      </c>
      <c r="DR522" t="s">
        <v>94</v>
      </c>
      <c r="DS522" t="s">
        <v>94</v>
      </c>
      <c r="DT522" t="s">
        <v>94</v>
      </c>
      <c r="DU522" t="s">
        <v>94</v>
      </c>
      <c r="DV522" t="s">
        <v>94</v>
      </c>
      <c r="DW522" t="s">
        <v>94</v>
      </c>
      <c r="DX522" s="2" t="s">
        <v>94</v>
      </c>
      <c r="DY522" t="s">
        <v>94</v>
      </c>
      <c r="DZ522" t="s">
        <v>94</v>
      </c>
      <c r="EA522" t="s">
        <v>94</v>
      </c>
      <c r="EB522" t="s">
        <v>94</v>
      </c>
      <c r="EC522" t="s">
        <v>94</v>
      </c>
      <c r="ED522" t="s">
        <v>94</v>
      </c>
      <c r="EE522" t="s">
        <v>89</v>
      </c>
      <c r="EF522" t="s">
        <v>425</v>
      </c>
      <c r="EG522" t="s">
        <v>105</v>
      </c>
      <c r="EJ522" t="s">
        <v>166</v>
      </c>
      <c r="EK522" t="b">
        <v>0</v>
      </c>
      <c r="EL522" t="b">
        <v>0</v>
      </c>
      <c r="EM522" t="b">
        <v>0</v>
      </c>
    </row>
    <row r="523" spans="3:143" ht="15">
      <c r="C523" s="82">
        <v>1</v>
      </c>
      <c r="D523" s="5"/>
      <c r="E523" s="4">
        <v>1</v>
      </c>
      <c r="F523" s="5">
        <v>24</v>
      </c>
      <c r="G523" s="5" t="s">
        <v>6825</v>
      </c>
      <c r="H523" s="4" t="s">
        <v>6826</v>
      </c>
      <c r="I523" s="81" t="s">
        <v>817</v>
      </c>
      <c r="J523" s="21"/>
      <c r="K523" s="22" t="s">
        <v>6794</v>
      </c>
      <c r="L523" s="84" t="s">
        <v>6795</v>
      </c>
      <c r="M523" s="23" t="s">
        <v>817</v>
      </c>
      <c r="N523" s="23">
        <v>43926</v>
      </c>
      <c r="O523" s="24" t="s">
        <v>102</v>
      </c>
      <c r="P523" s="24" t="s">
        <v>181</v>
      </c>
      <c r="Q523" s="24">
        <v>1</v>
      </c>
      <c r="R523" s="24">
        <v>24</v>
      </c>
      <c r="S523" t="s">
        <v>11</v>
      </c>
      <c r="T523">
        <v>4480</v>
      </c>
      <c r="U523" s="2" t="s">
        <v>163</v>
      </c>
      <c r="V523">
        <v>43936.712546296294</v>
      </c>
      <c r="W523" s="2" t="s">
        <v>444</v>
      </c>
      <c r="X523">
        <v>43936.715949074074</v>
      </c>
      <c r="AB523" t="s">
        <v>9</v>
      </c>
      <c r="AC523" t="s">
        <v>1230</v>
      </c>
      <c r="AD523" t="s">
        <v>182</v>
      </c>
      <c r="AE523">
        <v>5643</v>
      </c>
      <c r="AF523">
        <v>5643</v>
      </c>
      <c r="AG523" t="s">
        <v>6827</v>
      </c>
      <c r="AH523" t="s">
        <v>6796</v>
      </c>
      <c r="AI523" t="s">
        <v>6796</v>
      </c>
      <c r="AJ523" t="s">
        <v>1232</v>
      </c>
      <c r="AK523" t="s">
        <v>1233</v>
      </c>
      <c r="AL523" t="s">
        <v>6797</v>
      </c>
      <c r="AO523" t="s">
        <v>1236</v>
      </c>
      <c r="AP523" t="s">
        <v>1233</v>
      </c>
      <c r="AR523" t="s">
        <v>6828</v>
      </c>
      <c r="AS523" t="s">
        <v>6829</v>
      </c>
      <c r="AT523" t="s">
        <v>6798</v>
      </c>
      <c r="AU523" t="s">
        <v>10</v>
      </c>
      <c r="AV523" t="s">
        <v>6799</v>
      </c>
      <c r="AW523" t="s">
        <v>6799</v>
      </c>
      <c r="AX523" t="s">
        <v>6800</v>
      </c>
      <c r="AY523" s="2" t="s">
        <v>6801</v>
      </c>
      <c r="AZ523" t="s">
        <v>6802</v>
      </c>
      <c r="BA523" t="s">
        <v>194</v>
      </c>
      <c r="BB523" t="s">
        <v>187</v>
      </c>
      <c r="BC523" t="s">
        <v>188</v>
      </c>
      <c r="BD523" t="s">
        <v>6830</v>
      </c>
      <c r="BE523" t="s">
        <v>6803</v>
      </c>
      <c r="BF523" t="s">
        <v>6804</v>
      </c>
      <c r="BG523" t="b">
        <v>0</v>
      </c>
      <c r="BH523" s="6" t="s">
        <v>6805</v>
      </c>
      <c r="BI523" t="s">
        <v>6806</v>
      </c>
      <c r="BJ523">
        <v>4453163191</v>
      </c>
      <c r="BK523" t="s">
        <v>162</v>
      </c>
      <c r="BL523" t="s">
        <v>161</v>
      </c>
      <c r="BM523" s="2"/>
      <c r="BN523" t="s">
        <v>6807</v>
      </c>
      <c r="BO523" t="s">
        <v>89</v>
      </c>
      <c r="BP523">
        <v>84834090</v>
      </c>
      <c r="BR523" t="s">
        <v>180</v>
      </c>
      <c r="BS523" t="s">
        <v>103</v>
      </c>
      <c r="BU523">
        <v>358.4</v>
      </c>
      <c r="BV523">
        <v>628.99</v>
      </c>
      <c r="BW523">
        <v>0</v>
      </c>
      <c r="BX523">
        <v>0</v>
      </c>
      <c r="BY523">
        <v>0</v>
      </c>
      <c r="BZ523">
        <v>0</v>
      </c>
      <c r="CA523">
        <v>987.39</v>
      </c>
      <c r="CF523" s="2"/>
      <c r="CH523" s="2"/>
      <c r="CJ523">
        <v>5.3142020950064397E+17</v>
      </c>
      <c r="CK523" t="s">
        <v>4402</v>
      </c>
      <c r="CL523">
        <v>43925.389849537038</v>
      </c>
      <c r="CO523" t="s">
        <v>11</v>
      </c>
      <c r="CP523" t="s">
        <v>6831</v>
      </c>
      <c r="CQ523" t="s">
        <v>11</v>
      </c>
      <c r="CR523">
        <v>4480</v>
      </c>
      <c r="CV523" t="s">
        <v>525</v>
      </c>
      <c r="CW523" t="s">
        <v>12</v>
      </c>
      <c r="CX523" t="s">
        <v>12</v>
      </c>
      <c r="CY523" t="s">
        <v>12</v>
      </c>
      <c r="DA523" t="s">
        <v>104</v>
      </c>
      <c r="DD523" t="s">
        <v>93</v>
      </c>
      <c r="DQ523" t="s">
        <v>94</v>
      </c>
      <c r="DR523" t="s">
        <v>94</v>
      </c>
      <c r="DS523" t="s">
        <v>94</v>
      </c>
      <c r="DT523" t="s">
        <v>94</v>
      </c>
      <c r="DU523" t="s">
        <v>94</v>
      </c>
      <c r="DV523" t="s">
        <v>94</v>
      </c>
      <c r="DW523" t="s">
        <v>94</v>
      </c>
      <c r="DX523" s="2" t="s">
        <v>94</v>
      </c>
      <c r="DY523" t="s">
        <v>94</v>
      </c>
      <c r="DZ523" t="s">
        <v>94</v>
      </c>
      <c r="EA523" t="s">
        <v>94</v>
      </c>
      <c r="EB523" t="s">
        <v>94</v>
      </c>
      <c r="EC523" t="s">
        <v>94</v>
      </c>
      <c r="ED523" t="s">
        <v>94</v>
      </c>
      <c r="EE523" t="s">
        <v>89</v>
      </c>
      <c r="EF523" t="s">
        <v>425</v>
      </c>
      <c r="EG523" t="s">
        <v>105</v>
      </c>
      <c r="EJ523" t="s">
        <v>526</v>
      </c>
      <c r="EK523" t="b">
        <v>0</v>
      </c>
      <c r="EL523" t="b">
        <v>0</v>
      </c>
      <c r="EM523" t="b">
        <v>0</v>
      </c>
    </row>
    <row r="524" spans="3:143" ht="15">
      <c r="C524" s="82">
        <v>2</v>
      </c>
      <c r="D524" s="5"/>
      <c r="E524" s="4">
        <v>3</v>
      </c>
      <c r="F524" s="5">
        <v>8.9</v>
      </c>
      <c r="G524" s="5" t="s">
        <v>6832</v>
      </c>
      <c r="H524" s="4" t="s">
        <v>6833</v>
      </c>
      <c r="I524" s="81" t="s">
        <v>164</v>
      </c>
      <c r="J524" s="21"/>
      <c r="K524" s="22" t="s">
        <v>6782</v>
      </c>
      <c r="L524" s="84" t="s">
        <v>6641</v>
      </c>
      <c r="M524" s="23" t="s">
        <v>164</v>
      </c>
      <c r="N524" s="23">
        <v>43932</v>
      </c>
      <c r="O524" s="24" t="s">
        <v>102</v>
      </c>
      <c r="P524" s="24" t="s">
        <v>181</v>
      </c>
      <c r="Q524" s="24">
        <v>3</v>
      </c>
      <c r="R524" s="24">
        <v>8.9</v>
      </c>
      <c r="S524" t="s">
        <v>5383</v>
      </c>
      <c r="T524">
        <v>600</v>
      </c>
      <c r="U524" s="2" t="s">
        <v>163</v>
      </c>
      <c r="V524">
        <v>43932.891122685185</v>
      </c>
      <c r="W524" s="2" t="s">
        <v>444</v>
      </c>
      <c r="X524">
        <v>43935.61146990741</v>
      </c>
      <c r="AB524" t="s">
        <v>9</v>
      </c>
      <c r="AC524" t="s">
        <v>1230</v>
      </c>
      <c r="AD524" t="s">
        <v>275</v>
      </c>
      <c r="AE524">
        <v>3000773</v>
      </c>
      <c r="AF524">
        <v>3000773</v>
      </c>
      <c r="AG524" t="s">
        <v>183</v>
      </c>
      <c r="AH524" t="s">
        <v>6783</v>
      </c>
      <c r="AI524" t="s">
        <v>6783</v>
      </c>
      <c r="AJ524" t="s">
        <v>1232</v>
      </c>
      <c r="AK524" t="s">
        <v>1233</v>
      </c>
      <c r="AL524" t="s">
        <v>6784</v>
      </c>
      <c r="AM524" t="s">
        <v>6785</v>
      </c>
      <c r="AO524" t="s">
        <v>1236</v>
      </c>
      <c r="AP524" t="s">
        <v>1233</v>
      </c>
      <c r="AR524" t="s">
        <v>6834</v>
      </c>
      <c r="AS524" t="s">
        <v>6835</v>
      </c>
      <c r="AT524" t="s">
        <v>6786</v>
      </c>
      <c r="AU524" t="s">
        <v>10</v>
      </c>
      <c r="AV524" t="s">
        <v>6787</v>
      </c>
      <c r="AW524" t="s">
        <v>6787</v>
      </c>
      <c r="AX524" t="s">
        <v>6788</v>
      </c>
      <c r="AY524" s="2" t="s">
        <v>6789</v>
      </c>
      <c r="BA524" t="s">
        <v>6790</v>
      </c>
      <c r="BB524" t="s">
        <v>286</v>
      </c>
      <c r="BC524" t="s">
        <v>287</v>
      </c>
      <c r="BD524" t="s">
        <v>6836</v>
      </c>
      <c r="BE524" t="s">
        <v>6837</v>
      </c>
      <c r="BF524" t="s">
        <v>6791</v>
      </c>
      <c r="BG524" t="b">
        <v>0</v>
      </c>
      <c r="BH524" s="6" t="s">
        <v>6792</v>
      </c>
      <c r="BI524" t="s">
        <v>6793</v>
      </c>
      <c r="BJ524">
        <v>4453163191</v>
      </c>
      <c r="BK524" t="s">
        <v>162</v>
      </c>
      <c r="BL524" t="s">
        <v>161</v>
      </c>
      <c r="BM524" s="2"/>
      <c r="BO524" t="s">
        <v>89</v>
      </c>
      <c r="BP524">
        <v>6307900010</v>
      </c>
      <c r="BR524" t="s">
        <v>180</v>
      </c>
      <c r="BS524" t="s">
        <v>103</v>
      </c>
      <c r="BU524">
        <v>177.12</v>
      </c>
      <c r="BV524">
        <v>406.79</v>
      </c>
      <c r="BW524">
        <v>0</v>
      </c>
      <c r="BX524">
        <v>0</v>
      </c>
      <c r="BY524">
        <v>0</v>
      </c>
      <c r="BZ524">
        <v>0</v>
      </c>
      <c r="CA524">
        <v>583.91</v>
      </c>
      <c r="CF524" s="2"/>
      <c r="CH524" s="2"/>
      <c r="CJ524">
        <v>5.3142020950068301E+17</v>
      </c>
      <c r="CK524" t="s">
        <v>165</v>
      </c>
      <c r="CL524">
        <v>43932.368622685186</v>
      </c>
      <c r="CO524" t="s">
        <v>11</v>
      </c>
      <c r="CP524" t="s">
        <v>6838</v>
      </c>
      <c r="CQ524" t="s">
        <v>11</v>
      </c>
      <c r="CR524">
        <v>2952</v>
      </c>
      <c r="CV524" t="s">
        <v>190</v>
      </c>
      <c r="CW524" t="s">
        <v>12</v>
      </c>
      <c r="CX524" t="s">
        <v>12</v>
      </c>
      <c r="CY524" t="s">
        <v>12</v>
      </c>
      <c r="DA524" t="s">
        <v>104</v>
      </c>
      <c r="DD524" t="s">
        <v>93</v>
      </c>
      <c r="DQ524" t="s">
        <v>94</v>
      </c>
      <c r="DR524" t="s">
        <v>94</v>
      </c>
      <c r="DS524" t="s">
        <v>94</v>
      </c>
      <c r="DT524" t="s">
        <v>94</v>
      </c>
      <c r="DU524" t="s">
        <v>94</v>
      </c>
      <c r="DV524" t="s">
        <v>94</v>
      </c>
      <c r="DW524" t="s">
        <v>94</v>
      </c>
      <c r="DX524" s="2" t="s">
        <v>94</v>
      </c>
      <c r="DY524" t="s">
        <v>94</v>
      </c>
      <c r="DZ524" t="s">
        <v>94</v>
      </c>
      <c r="EA524" t="s">
        <v>94</v>
      </c>
      <c r="EB524" t="s">
        <v>94</v>
      </c>
      <c r="EC524" t="s">
        <v>94</v>
      </c>
      <c r="ED524" t="s">
        <v>94</v>
      </c>
      <c r="EE524" t="s">
        <v>89</v>
      </c>
      <c r="EF524" t="s">
        <v>425</v>
      </c>
      <c r="EG524" t="s">
        <v>105</v>
      </c>
      <c r="EJ524" t="s">
        <v>166</v>
      </c>
      <c r="EK524" t="b">
        <v>0</v>
      </c>
      <c r="EL524" t="b">
        <v>0</v>
      </c>
      <c r="EM524" t="b">
        <v>0</v>
      </c>
    </row>
    <row r="525" spans="3:143">
      <c r="C525" s="4">
        <v>2</v>
      </c>
      <c r="D525" s="4"/>
      <c r="E525" s="4">
        <v>1</v>
      </c>
      <c r="F525" s="4">
        <v>4.2</v>
      </c>
      <c r="G525" s="5" t="s">
        <v>6832</v>
      </c>
      <c r="H525" s="4" t="s">
        <v>6839</v>
      </c>
      <c r="I525" s="4" t="s">
        <v>164</v>
      </c>
      <c r="J525" s="5"/>
      <c r="K525" s="22" t="s">
        <v>6808</v>
      </c>
      <c r="L525" s="84" t="s">
        <v>6641</v>
      </c>
      <c r="M525" s="23" t="s">
        <v>164</v>
      </c>
      <c r="N525" s="23">
        <v>43932</v>
      </c>
      <c r="O525" s="24" t="s">
        <v>102</v>
      </c>
      <c r="P525" s="24" t="s">
        <v>179</v>
      </c>
      <c r="Q525" s="24">
        <v>1</v>
      </c>
      <c r="R525" s="24">
        <v>4.2</v>
      </c>
      <c r="S525" t="s">
        <v>11</v>
      </c>
      <c r="T525">
        <v>230</v>
      </c>
      <c r="U525" s="2" t="s">
        <v>163</v>
      </c>
      <c r="V525">
        <v>43932.89099537037</v>
      </c>
      <c r="W525" s="2" t="s">
        <v>444</v>
      </c>
      <c r="X525">
        <v>43935.61146990741</v>
      </c>
      <c r="AB525" t="s">
        <v>9</v>
      </c>
      <c r="AC525" t="s">
        <v>755</v>
      </c>
      <c r="AD525" t="s">
        <v>182</v>
      </c>
      <c r="AE525">
        <v>9190</v>
      </c>
      <c r="AF525">
        <v>9190</v>
      </c>
      <c r="AG525" t="s">
        <v>183</v>
      </c>
      <c r="AH525" t="s">
        <v>6809</v>
      </c>
      <c r="AI525" t="s">
        <v>6809</v>
      </c>
      <c r="AJ525" t="s">
        <v>584</v>
      </c>
      <c r="AK525" t="s">
        <v>585</v>
      </c>
      <c r="AL525" t="s">
        <v>6810</v>
      </c>
      <c r="AO525" t="s">
        <v>6033</v>
      </c>
      <c r="AP525" t="s">
        <v>759</v>
      </c>
      <c r="AR525" t="s">
        <v>6034</v>
      </c>
      <c r="AS525" t="s">
        <v>6840</v>
      </c>
      <c r="AT525" t="s">
        <v>6811</v>
      </c>
      <c r="AU525" t="s">
        <v>10</v>
      </c>
      <c r="AV525" t="s">
        <v>6812</v>
      </c>
      <c r="AW525" t="s">
        <v>6812</v>
      </c>
      <c r="AX525" t="s">
        <v>6813</v>
      </c>
      <c r="AY525" t="s">
        <v>6814</v>
      </c>
      <c r="AZ525" t="s">
        <v>6815</v>
      </c>
      <c r="BA525" t="s">
        <v>271</v>
      </c>
      <c r="BB525" t="s">
        <v>272</v>
      </c>
      <c r="BC525" t="s">
        <v>188</v>
      </c>
      <c r="BD525" t="s">
        <v>6841</v>
      </c>
      <c r="BE525" t="s">
        <v>6842</v>
      </c>
      <c r="BF525" t="s">
        <v>6816</v>
      </c>
      <c r="BG525" t="b">
        <v>0</v>
      </c>
      <c r="BH525" s="6" t="s">
        <v>3230</v>
      </c>
      <c r="BI525" t="s">
        <v>6817</v>
      </c>
      <c r="BJ525">
        <v>4453163191</v>
      </c>
      <c r="BK525" t="s">
        <v>162</v>
      </c>
      <c r="BL525" t="s">
        <v>161</v>
      </c>
      <c r="BM525" s="2"/>
      <c r="BO525" t="s">
        <v>89</v>
      </c>
      <c r="BP525">
        <v>3926909090</v>
      </c>
      <c r="BR525" t="s">
        <v>189</v>
      </c>
      <c r="BS525" t="s">
        <v>103</v>
      </c>
      <c r="BU525">
        <v>0</v>
      </c>
      <c r="BV525">
        <v>0</v>
      </c>
      <c r="BW525">
        <v>0</v>
      </c>
      <c r="BX525">
        <v>0</v>
      </c>
      <c r="BY525">
        <v>0</v>
      </c>
      <c r="BZ525">
        <v>0</v>
      </c>
      <c r="CA525">
        <v>0</v>
      </c>
      <c r="CF525" s="2"/>
      <c r="CH525" s="2"/>
      <c r="CJ525">
        <v>5.3142020950068301E+17</v>
      </c>
      <c r="CK525" t="s">
        <v>165</v>
      </c>
      <c r="CL525">
        <v>43932.568414351852</v>
      </c>
      <c r="CO525" t="s">
        <v>11</v>
      </c>
      <c r="CP525" t="s">
        <v>6843</v>
      </c>
      <c r="CQ525" t="s">
        <v>11</v>
      </c>
      <c r="CR525">
        <v>230</v>
      </c>
      <c r="CV525" t="s">
        <v>190</v>
      </c>
      <c r="CW525" t="s">
        <v>12</v>
      </c>
      <c r="CX525" t="s">
        <v>12</v>
      </c>
      <c r="CY525" t="s">
        <v>12</v>
      </c>
      <c r="DA525" t="s">
        <v>104</v>
      </c>
      <c r="DD525" t="s">
        <v>93</v>
      </c>
      <c r="DQ525" t="s">
        <v>94</v>
      </c>
      <c r="DR525" t="s">
        <v>94</v>
      </c>
      <c r="DS525" t="s">
        <v>94</v>
      </c>
      <c r="DT525" t="s">
        <v>94</v>
      </c>
      <c r="DU525" t="s">
        <v>94</v>
      </c>
      <c r="DV525" t="s">
        <v>94</v>
      </c>
      <c r="DW525" t="s">
        <v>94</v>
      </c>
      <c r="DX525" s="2" t="s">
        <v>94</v>
      </c>
      <c r="DY525" t="s">
        <v>94</v>
      </c>
      <c r="DZ525" t="s">
        <v>94</v>
      </c>
      <c r="EA525" t="s">
        <v>94</v>
      </c>
      <c r="EB525" t="s">
        <v>94</v>
      </c>
      <c r="EC525" t="s">
        <v>94</v>
      </c>
      <c r="ED525" t="s">
        <v>94</v>
      </c>
      <c r="EE525" t="s">
        <v>89</v>
      </c>
      <c r="EF525" t="s">
        <v>425</v>
      </c>
      <c r="EG525" t="s">
        <v>105</v>
      </c>
      <c r="EJ525" t="s">
        <v>166</v>
      </c>
      <c r="EK525" t="b">
        <v>0</v>
      </c>
      <c r="EL525" t="b">
        <v>0</v>
      </c>
      <c r="EM525" t="b">
        <v>0</v>
      </c>
    </row>
    <row r="526" spans="3:143" ht="15">
      <c r="C526" s="82">
        <v>3</v>
      </c>
      <c r="D526" s="5"/>
      <c r="E526" s="4">
        <v>1</v>
      </c>
      <c r="F526" s="5">
        <v>4.3499999999999996</v>
      </c>
      <c r="G526" s="5" t="s">
        <v>6844</v>
      </c>
      <c r="H526" s="4" t="s">
        <v>6845</v>
      </c>
      <c r="I526" s="81" t="s">
        <v>466</v>
      </c>
      <c r="J526" s="21"/>
      <c r="K526" s="22" t="s">
        <v>6818</v>
      </c>
      <c r="L526" s="84" t="s">
        <v>6819</v>
      </c>
      <c r="M526" s="23" t="s">
        <v>409</v>
      </c>
      <c r="N526" s="23">
        <v>43935</v>
      </c>
      <c r="O526" s="24" t="s">
        <v>102</v>
      </c>
      <c r="P526" s="24" t="s">
        <v>181</v>
      </c>
      <c r="Q526" s="24">
        <v>1</v>
      </c>
      <c r="R526" s="24">
        <v>4.3499999999999996</v>
      </c>
      <c r="S526" t="s">
        <v>319</v>
      </c>
      <c r="T526">
        <v>210.48</v>
      </c>
      <c r="U526" s="2" t="s">
        <v>163</v>
      </c>
      <c r="V526">
        <v>43935.80878472222</v>
      </c>
      <c r="W526" s="2" t="s">
        <v>444</v>
      </c>
      <c r="X526">
        <v>43935.814189814817</v>
      </c>
      <c r="AB526" t="s">
        <v>9</v>
      </c>
      <c r="AC526" t="s">
        <v>481</v>
      </c>
      <c r="AD526" t="s">
        <v>482</v>
      </c>
      <c r="AE526">
        <v>149964</v>
      </c>
      <c r="AF526">
        <v>149964</v>
      </c>
      <c r="AG526" t="s">
        <v>183</v>
      </c>
      <c r="AH526" t="s">
        <v>483</v>
      </c>
      <c r="AI526" t="s">
        <v>483</v>
      </c>
      <c r="AJ526" t="s">
        <v>484</v>
      </c>
      <c r="AK526" t="s">
        <v>485</v>
      </c>
      <c r="AL526" t="s">
        <v>486</v>
      </c>
      <c r="AO526" t="s">
        <v>487</v>
      </c>
      <c r="AP526" t="s">
        <v>488</v>
      </c>
      <c r="AQ526" t="s">
        <v>489</v>
      </c>
      <c r="AR526" t="s">
        <v>490</v>
      </c>
      <c r="AS526" t="s">
        <v>6846</v>
      </c>
      <c r="AT526" t="s">
        <v>6820</v>
      </c>
      <c r="AU526" t="s">
        <v>10</v>
      </c>
      <c r="AV526" t="s">
        <v>492</v>
      </c>
      <c r="AW526" t="s">
        <v>492</v>
      </c>
      <c r="AX526" t="s">
        <v>493</v>
      </c>
      <c r="AY526" s="2" t="s">
        <v>6821</v>
      </c>
      <c r="BA526" t="s">
        <v>494</v>
      </c>
      <c r="BB526" t="s">
        <v>495</v>
      </c>
      <c r="BC526" t="s">
        <v>496</v>
      </c>
      <c r="BD526" t="s">
        <v>6847</v>
      </c>
      <c r="BE526" t="s">
        <v>6848</v>
      </c>
      <c r="BF526" t="s">
        <v>6822</v>
      </c>
      <c r="BG526" t="b">
        <v>0</v>
      </c>
      <c r="BH526" s="6" t="s">
        <v>6823</v>
      </c>
      <c r="BI526" t="s">
        <v>6824</v>
      </c>
      <c r="BJ526">
        <v>4453163191</v>
      </c>
      <c r="BK526" t="s">
        <v>162</v>
      </c>
      <c r="BL526" t="s">
        <v>161</v>
      </c>
      <c r="BM526" s="2"/>
      <c r="BO526" t="s">
        <v>89</v>
      </c>
      <c r="BP526">
        <v>85119090</v>
      </c>
      <c r="BR526" t="s">
        <v>189</v>
      </c>
      <c r="BS526" t="s">
        <v>103</v>
      </c>
      <c r="BU526">
        <v>74.010000000000005</v>
      </c>
      <c r="BV526">
        <v>202.06</v>
      </c>
      <c r="BW526">
        <v>0</v>
      </c>
      <c r="BX526">
        <v>0</v>
      </c>
      <c r="BY526">
        <v>0</v>
      </c>
      <c r="BZ526">
        <v>0</v>
      </c>
      <c r="CA526">
        <v>276.07</v>
      </c>
      <c r="CF526" s="2"/>
      <c r="CH526" s="2"/>
      <c r="CJ526">
        <v>5.3142020950068902E+17</v>
      </c>
      <c r="CK526" t="s">
        <v>1849</v>
      </c>
      <c r="CL526">
        <v>43935.370694444442</v>
      </c>
      <c r="CO526" t="s">
        <v>11</v>
      </c>
      <c r="CP526" t="s">
        <v>6849</v>
      </c>
      <c r="CQ526" t="s">
        <v>11</v>
      </c>
      <c r="CR526">
        <v>1480.26</v>
      </c>
      <c r="CV526" t="s">
        <v>190</v>
      </c>
      <c r="CW526" t="s">
        <v>12</v>
      </c>
      <c r="CX526" t="s">
        <v>12</v>
      </c>
      <c r="CY526" t="s">
        <v>12</v>
      </c>
      <c r="DA526" t="s">
        <v>104</v>
      </c>
      <c r="DD526" t="s">
        <v>93</v>
      </c>
      <c r="DQ526" t="s">
        <v>94</v>
      </c>
      <c r="DR526" t="s">
        <v>94</v>
      </c>
      <c r="DS526" t="s">
        <v>94</v>
      </c>
      <c r="DT526" t="s">
        <v>94</v>
      </c>
      <c r="DU526" t="s">
        <v>94</v>
      </c>
      <c r="DV526" t="s">
        <v>94</v>
      </c>
      <c r="DW526" t="s">
        <v>94</v>
      </c>
      <c r="DX526" s="2" t="s">
        <v>94</v>
      </c>
      <c r="DY526" t="s">
        <v>94</v>
      </c>
      <c r="DZ526" t="s">
        <v>94</v>
      </c>
      <c r="EA526" t="s">
        <v>94</v>
      </c>
      <c r="EB526" t="s">
        <v>94</v>
      </c>
      <c r="EC526" t="s">
        <v>94</v>
      </c>
      <c r="ED526" t="s">
        <v>94</v>
      </c>
      <c r="EE526" t="s">
        <v>89</v>
      </c>
      <c r="EF526" t="s">
        <v>425</v>
      </c>
      <c r="EG526" t="s">
        <v>105</v>
      </c>
      <c r="EJ526" t="s">
        <v>166</v>
      </c>
      <c r="EK526" t="b">
        <v>0</v>
      </c>
      <c r="EL526" t="b">
        <v>0</v>
      </c>
      <c r="EM526" t="b">
        <v>0</v>
      </c>
    </row>
    <row r="527" spans="3:143" ht="15">
      <c r="C527" s="82">
        <v>3</v>
      </c>
      <c r="D527" s="5"/>
      <c r="E527" s="4">
        <v>1</v>
      </c>
      <c r="F527" s="5">
        <v>2.2000000000000002</v>
      </c>
      <c r="G527" s="5" t="s">
        <v>6891</v>
      </c>
      <c r="H527" s="4" t="s">
        <v>6892</v>
      </c>
      <c r="I527" s="81" t="s">
        <v>164</v>
      </c>
      <c r="J527" s="21"/>
      <c r="K527" s="22" t="s">
        <v>6850</v>
      </c>
      <c r="L527" s="84" t="s">
        <v>6851</v>
      </c>
      <c r="M527" s="23" t="s">
        <v>447</v>
      </c>
      <c r="N527" s="23">
        <v>43938</v>
      </c>
      <c r="O527" s="24" t="s">
        <v>102</v>
      </c>
      <c r="P527" s="24" t="s">
        <v>179</v>
      </c>
      <c r="Q527" s="24">
        <v>1</v>
      </c>
      <c r="R527" s="24">
        <v>2.2000000000000002</v>
      </c>
      <c r="S527" t="s">
        <v>319</v>
      </c>
      <c r="T527">
        <v>25</v>
      </c>
      <c r="U527" s="2" t="s">
        <v>163</v>
      </c>
      <c r="V527">
        <v>43938.836087962962</v>
      </c>
      <c r="W527" s="2" t="s">
        <v>444</v>
      </c>
      <c r="X527">
        <v>43938.845821759256</v>
      </c>
      <c r="AB527" t="s">
        <v>9</v>
      </c>
      <c r="AC527" t="s">
        <v>2577</v>
      </c>
      <c r="AD527" t="s">
        <v>182</v>
      </c>
      <c r="AE527" t="s">
        <v>2617</v>
      </c>
      <c r="AF527" t="s">
        <v>2617</v>
      </c>
      <c r="AG527" t="s">
        <v>183</v>
      </c>
      <c r="AH527" t="s">
        <v>2578</v>
      </c>
      <c r="AI527" t="s">
        <v>2578</v>
      </c>
      <c r="AJ527" t="s">
        <v>373</v>
      </c>
      <c r="AK527" t="s">
        <v>430</v>
      </c>
      <c r="AL527" t="s">
        <v>2579</v>
      </c>
      <c r="AM527" t="s">
        <v>2580</v>
      </c>
      <c r="AO527" t="s">
        <v>2581</v>
      </c>
      <c r="AR527" t="s">
        <v>2618</v>
      </c>
      <c r="AS527">
        <v>225559708</v>
      </c>
      <c r="AT527" t="s">
        <v>6852</v>
      </c>
      <c r="AU527" t="s">
        <v>10</v>
      </c>
      <c r="AV527" t="s">
        <v>6853</v>
      </c>
      <c r="AW527" t="s">
        <v>6853</v>
      </c>
      <c r="AX527" t="s">
        <v>6854</v>
      </c>
      <c r="AY527" s="2" t="s">
        <v>6855</v>
      </c>
      <c r="BA527" t="s">
        <v>186</v>
      </c>
      <c r="BB527" t="s">
        <v>187</v>
      </c>
      <c r="BC527" t="s">
        <v>188</v>
      </c>
      <c r="BD527">
        <v>518104</v>
      </c>
      <c r="BE527" t="s">
        <v>6893</v>
      </c>
      <c r="BF527" t="s">
        <v>6856</v>
      </c>
      <c r="BG527" t="b">
        <v>0</v>
      </c>
      <c r="BH527" s="6" t="s">
        <v>6857</v>
      </c>
      <c r="BI527" t="s">
        <v>6858</v>
      </c>
      <c r="BJ527">
        <v>4453163191</v>
      </c>
      <c r="BK527" t="s">
        <v>162</v>
      </c>
      <c r="BL527" t="s">
        <v>161</v>
      </c>
      <c r="BM527" s="2"/>
      <c r="BO527" t="s">
        <v>89</v>
      </c>
      <c r="BP527">
        <v>28492000</v>
      </c>
      <c r="BR527" t="s">
        <v>180</v>
      </c>
      <c r="BS527" t="s">
        <v>103</v>
      </c>
      <c r="BU527">
        <v>0</v>
      </c>
      <c r="BV527">
        <v>0</v>
      </c>
      <c r="BW527">
        <v>0</v>
      </c>
      <c r="BX527">
        <v>0</v>
      </c>
      <c r="BY527">
        <v>0</v>
      </c>
      <c r="BZ527">
        <v>0</v>
      </c>
      <c r="CA527">
        <v>0</v>
      </c>
      <c r="CF527" s="2"/>
      <c r="CH527" s="2"/>
      <c r="CJ527">
        <v>5.31420209500712E+17</v>
      </c>
      <c r="CK527" t="s">
        <v>1849</v>
      </c>
      <c r="CL527">
        <v>43938.555428240739</v>
      </c>
      <c r="CO527" t="s">
        <v>11</v>
      </c>
      <c r="CP527" t="s">
        <v>6894</v>
      </c>
      <c r="CQ527" t="s">
        <v>11</v>
      </c>
      <c r="CR527">
        <v>175.82</v>
      </c>
      <c r="CV527" t="s">
        <v>190</v>
      </c>
      <c r="CW527" t="s">
        <v>12</v>
      </c>
      <c r="CX527" t="s">
        <v>12</v>
      </c>
      <c r="CY527" t="s">
        <v>12</v>
      </c>
      <c r="DA527" t="s">
        <v>104</v>
      </c>
      <c r="DD527" t="s">
        <v>93</v>
      </c>
      <c r="DQ527" t="s">
        <v>94</v>
      </c>
      <c r="DR527" t="s">
        <v>94</v>
      </c>
      <c r="DS527" t="s">
        <v>94</v>
      </c>
      <c r="DT527" t="s">
        <v>94</v>
      </c>
      <c r="DU527" t="s">
        <v>94</v>
      </c>
      <c r="DV527" t="s">
        <v>94</v>
      </c>
      <c r="DW527" t="s">
        <v>94</v>
      </c>
      <c r="DX527" s="2" t="s">
        <v>94</v>
      </c>
      <c r="DY527" t="s">
        <v>94</v>
      </c>
      <c r="DZ527" t="s">
        <v>94</v>
      </c>
      <c r="EA527" t="s">
        <v>94</v>
      </c>
      <c r="EB527" t="s">
        <v>94</v>
      </c>
      <c r="EC527" t="s">
        <v>94</v>
      </c>
      <c r="ED527" t="s">
        <v>94</v>
      </c>
      <c r="EE527" t="s">
        <v>89</v>
      </c>
      <c r="EF527" t="s">
        <v>425</v>
      </c>
      <c r="EG527" t="s">
        <v>105</v>
      </c>
      <c r="EJ527" t="s">
        <v>166</v>
      </c>
      <c r="EK527" t="b">
        <v>0</v>
      </c>
      <c r="EL527" t="b">
        <v>0</v>
      </c>
      <c r="EM527" t="b">
        <v>0</v>
      </c>
    </row>
    <row r="528" spans="3:143" ht="15">
      <c r="C528" s="82">
        <v>3</v>
      </c>
      <c r="D528" s="5"/>
      <c r="E528" s="4">
        <v>1</v>
      </c>
      <c r="F528" s="5">
        <v>2</v>
      </c>
      <c r="G528" s="5" t="s">
        <v>6897</v>
      </c>
      <c r="H528" s="4" t="s">
        <v>6898</v>
      </c>
      <c r="I528" s="81" t="s">
        <v>817</v>
      </c>
      <c r="J528" s="21"/>
      <c r="K528" s="22" t="s">
        <v>6859</v>
      </c>
      <c r="L528" s="84" t="s">
        <v>6860</v>
      </c>
      <c r="M528" s="23" t="s">
        <v>817</v>
      </c>
      <c r="N528" s="23">
        <v>43940</v>
      </c>
      <c r="O528" s="24" t="s">
        <v>102</v>
      </c>
      <c r="P528" s="24" t="s">
        <v>179</v>
      </c>
      <c r="Q528" s="24">
        <v>1</v>
      </c>
      <c r="R528" s="24">
        <v>2</v>
      </c>
      <c r="S528" t="s">
        <v>528</v>
      </c>
      <c r="T528">
        <v>44</v>
      </c>
      <c r="U528" s="2" t="s">
        <v>163</v>
      </c>
      <c r="V528">
        <v>43940.789189814815</v>
      </c>
      <c r="W528" s="2" t="s">
        <v>444</v>
      </c>
      <c r="X528">
        <v>43942.401539351849</v>
      </c>
      <c r="AB528" t="s">
        <v>9</v>
      </c>
      <c r="AC528" t="s">
        <v>6861</v>
      </c>
      <c r="AD528" t="s">
        <v>191</v>
      </c>
      <c r="AE528" t="s">
        <v>6899</v>
      </c>
      <c r="AF528" t="s">
        <v>6899</v>
      </c>
      <c r="AG528" t="s">
        <v>183</v>
      </c>
      <c r="AH528" t="s">
        <v>6862</v>
      </c>
      <c r="AI528" t="s">
        <v>6862</v>
      </c>
      <c r="AJ528" t="s">
        <v>508</v>
      </c>
      <c r="AK528" t="s">
        <v>509</v>
      </c>
      <c r="AL528" t="s">
        <v>6863</v>
      </c>
      <c r="AO528" t="s">
        <v>6864</v>
      </c>
      <c r="AP528" t="s">
        <v>6865</v>
      </c>
      <c r="AR528" t="s">
        <v>6900</v>
      </c>
      <c r="AS528">
        <v>33238581886</v>
      </c>
      <c r="AT528" t="s">
        <v>6866</v>
      </c>
      <c r="AU528" t="s">
        <v>10</v>
      </c>
      <c r="AV528" t="s">
        <v>6867</v>
      </c>
      <c r="AW528" t="s">
        <v>6867</v>
      </c>
      <c r="AX528" t="s">
        <v>6868</v>
      </c>
      <c r="AY528" s="2"/>
      <c r="BA528" t="s">
        <v>371</v>
      </c>
      <c r="BB528" t="s">
        <v>192</v>
      </c>
      <c r="BC528" t="s">
        <v>188</v>
      </c>
      <c r="BD528">
        <v>523861</v>
      </c>
      <c r="BE528" t="s">
        <v>6901</v>
      </c>
      <c r="BF528" t="s">
        <v>6869</v>
      </c>
      <c r="BG528" t="b">
        <v>0</v>
      </c>
      <c r="BH528" s="6" t="s">
        <v>6870</v>
      </c>
      <c r="BI528" t="s">
        <v>6871</v>
      </c>
      <c r="BJ528">
        <v>4453163191</v>
      </c>
      <c r="BK528" t="s">
        <v>162</v>
      </c>
      <c r="BL528" t="s">
        <v>161</v>
      </c>
      <c r="BM528" s="2"/>
      <c r="BO528" t="s">
        <v>89</v>
      </c>
      <c r="BP528">
        <v>73261910</v>
      </c>
      <c r="BR528" t="s">
        <v>180</v>
      </c>
      <c r="BS528" t="s">
        <v>103</v>
      </c>
      <c r="BU528">
        <v>0</v>
      </c>
      <c r="BV528">
        <v>0</v>
      </c>
      <c r="BW528">
        <v>0</v>
      </c>
      <c r="BX528">
        <v>0</v>
      </c>
      <c r="BY528">
        <v>0</v>
      </c>
      <c r="BZ528">
        <v>0</v>
      </c>
      <c r="CA528">
        <v>0</v>
      </c>
      <c r="CF528" s="2"/>
      <c r="CH528" s="2"/>
      <c r="CJ528">
        <v>5.3142020950072102E+17</v>
      </c>
      <c r="CK528" t="s">
        <v>1849</v>
      </c>
      <c r="CL528">
        <v>43940.391921296294</v>
      </c>
      <c r="CO528" t="s">
        <v>11</v>
      </c>
      <c r="CP528" t="s">
        <v>6902</v>
      </c>
      <c r="CQ528" t="s">
        <v>11</v>
      </c>
      <c r="CR528">
        <v>340.67</v>
      </c>
      <c r="CV528" t="s">
        <v>190</v>
      </c>
      <c r="CW528" t="s">
        <v>12</v>
      </c>
      <c r="CX528" t="s">
        <v>12</v>
      </c>
      <c r="CY528" t="s">
        <v>12</v>
      </c>
      <c r="DA528" t="s">
        <v>104</v>
      </c>
      <c r="DD528" t="s">
        <v>93</v>
      </c>
      <c r="DQ528" t="s">
        <v>94</v>
      </c>
      <c r="DR528" t="s">
        <v>94</v>
      </c>
      <c r="DS528" t="s">
        <v>94</v>
      </c>
      <c r="DT528" t="s">
        <v>94</v>
      </c>
      <c r="DU528" t="s">
        <v>94</v>
      </c>
      <c r="DV528" t="s">
        <v>94</v>
      </c>
      <c r="DW528" t="s">
        <v>94</v>
      </c>
      <c r="DX528" s="2" t="s">
        <v>94</v>
      </c>
      <c r="DY528" t="s">
        <v>94</v>
      </c>
      <c r="DZ528" t="s">
        <v>94</v>
      </c>
      <c r="EA528" t="s">
        <v>94</v>
      </c>
      <c r="EB528" t="s">
        <v>94</v>
      </c>
      <c r="EC528" t="s">
        <v>94</v>
      </c>
      <c r="ED528" t="s">
        <v>94</v>
      </c>
      <c r="EE528" t="s">
        <v>89</v>
      </c>
      <c r="EF528" t="s">
        <v>425</v>
      </c>
      <c r="EG528" t="s">
        <v>105</v>
      </c>
      <c r="EJ528" t="s">
        <v>166</v>
      </c>
      <c r="EK528" t="b">
        <v>0</v>
      </c>
      <c r="EL528" t="b">
        <v>0</v>
      </c>
      <c r="EM528" t="b">
        <v>0</v>
      </c>
    </row>
    <row r="529" spans="3:143" ht="15">
      <c r="C529" s="82">
        <v>213</v>
      </c>
      <c r="D529" s="5"/>
      <c r="E529" s="4">
        <v>1</v>
      </c>
      <c r="F529" s="5">
        <v>5</v>
      </c>
      <c r="G529" s="5" t="s">
        <v>6903</v>
      </c>
      <c r="H529" s="4" t="s">
        <v>6904</v>
      </c>
      <c r="I529" s="81" t="s">
        <v>920</v>
      </c>
      <c r="J529" s="21"/>
      <c r="K529" s="22" t="s">
        <v>6872</v>
      </c>
      <c r="L529" s="84" t="s">
        <v>6873</v>
      </c>
      <c r="M529" s="23" t="s">
        <v>905</v>
      </c>
      <c r="N529" s="23">
        <v>43942</v>
      </c>
      <c r="O529" s="24" t="s">
        <v>102</v>
      </c>
      <c r="P529" s="24" t="s">
        <v>181</v>
      </c>
      <c r="Q529" s="24">
        <v>1</v>
      </c>
      <c r="R529" s="24">
        <v>5</v>
      </c>
      <c r="S529" t="s">
        <v>319</v>
      </c>
      <c r="T529">
        <v>234</v>
      </c>
      <c r="U529" s="2" t="s">
        <v>163</v>
      </c>
      <c r="V529">
        <v>43942.789398148147</v>
      </c>
      <c r="W529" s="2" t="s">
        <v>444</v>
      </c>
      <c r="X529">
        <v>43942.789606481485</v>
      </c>
      <c r="AB529" t="s">
        <v>9</v>
      </c>
      <c r="AC529" t="s">
        <v>4009</v>
      </c>
      <c r="AD529" t="s">
        <v>200</v>
      </c>
      <c r="AE529" t="s">
        <v>183</v>
      </c>
      <c r="AF529" t="s">
        <v>183</v>
      </c>
      <c r="AG529" t="s">
        <v>6905</v>
      </c>
      <c r="AH529" t="s">
        <v>5335</v>
      </c>
      <c r="AI529" t="s">
        <v>5335</v>
      </c>
      <c r="AJ529" t="s">
        <v>184</v>
      </c>
      <c r="AK529" t="s">
        <v>185</v>
      </c>
      <c r="AL529" t="s">
        <v>5336</v>
      </c>
      <c r="AM529" t="s">
        <v>5337</v>
      </c>
      <c r="AN529" t="s">
        <v>6874</v>
      </c>
      <c r="AO529" t="s">
        <v>5338</v>
      </c>
      <c r="AP529" t="s">
        <v>4014</v>
      </c>
      <c r="AQ529" t="s">
        <v>5339</v>
      </c>
      <c r="AR529" t="s">
        <v>5340</v>
      </c>
      <c r="AS529">
        <v>7778526330</v>
      </c>
      <c r="AT529" t="s">
        <v>5341</v>
      </c>
      <c r="AU529" t="s">
        <v>10</v>
      </c>
      <c r="AV529" t="s">
        <v>5342</v>
      </c>
      <c r="AW529" t="s">
        <v>5342</v>
      </c>
      <c r="AX529" t="s">
        <v>5343</v>
      </c>
      <c r="AY529" s="2" t="s">
        <v>5344</v>
      </c>
      <c r="BA529" t="s">
        <v>230</v>
      </c>
      <c r="BB529" t="s">
        <v>1864</v>
      </c>
      <c r="BC529" t="s">
        <v>188</v>
      </c>
      <c r="BD529">
        <v>510610</v>
      </c>
      <c r="BE529" t="s">
        <v>5345</v>
      </c>
      <c r="BF529" t="s">
        <v>5346</v>
      </c>
      <c r="BG529" t="b">
        <v>0</v>
      </c>
      <c r="BH529" s="6" t="s">
        <v>6875</v>
      </c>
      <c r="BI529" t="s">
        <v>6876</v>
      </c>
      <c r="BJ529">
        <v>4453163191</v>
      </c>
      <c r="BK529" t="s">
        <v>162</v>
      </c>
      <c r="BL529" t="s">
        <v>161</v>
      </c>
      <c r="BM529" s="2"/>
      <c r="BN529" t="s">
        <v>5349</v>
      </c>
      <c r="BO529" t="s">
        <v>89</v>
      </c>
      <c r="BP529">
        <v>38220010</v>
      </c>
      <c r="BR529" t="s">
        <v>189</v>
      </c>
      <c r="BS529" t="s">
        <v>103</v>
      </c>
      <c r="BU529">
        <v>0</v>
      </c>
      <c r="BV529">
        <v>0</v>
      </c>
      <c r="BW529">
        <v>0</v>
      </c>
      <c r="BX529">
        <v>0</v>
      </c>
      <c r="BY529">
        <v>0</v>
      </c>
      <c r="BZ529">
        <v>0</v>
      </c>
      <c r="CA529">
        <v>0</v>
      </c>
      <c r="CF529" s="2"/>
      <c r="CH529" s="2"/>
      <c r="CJ529">
        <v>5.3142020950072902E+17</v>
      </c>
      <c r="CK529" t="s">
        <v>1849</v>
      </c>
      <c r="CL529">
        <v>43942.373159722221</v>
      </c>
      <c r="CO529" t="s">
        <v>11</v>
      </c>
      <c r="CP529" t="s">
        <v>6906</v>
      </c>
      <c r="CQ529" t="s">
        <v>11</v>
      </c>
      <c r="CR529">
        <v>1645.68</v>
      </c>
      <c r="CV529" t="s">
        <v>525</v>
      </c>
      <c r="CW529" t="s">
        <v>12</v>
      </c>
      <c r="CX529" t="s">
        <v>12</v>
      </c>
      <c r="CY529" t="s">
        <v>12</v>
      </c>
      <c r="DA529" t="s">
        <v>104</v>
      </c>
      <c r="DD529" t="s">
        <v>93</v>
      </c>
      <c r="DQ529" t="s">
        <v>94</v>
      </c>
      <c r="DR529" t="s">
        <v>94</v>
      </c>
      <c r="DS529" t="s">
        <v>94</v>
      </c>
      <c r="DT529" t="s">
        <v>94</v>
      </c>
      <c r="DU529" t="s">
        <v>94</v>
      </c>
      <c r="DV529" t="s">
        <v>94</v>
      </c>
      <c r="DW529" t="s">
        <v>94</v>
      </c>
      <c r="DX529" s="2" t="s">
        <v>94</v>
      </c>
      <c r="DY529" t="s">
        <v>94</v>
      </c>
      <c r="DZ529" t="s">
        <v>94</v>
      </c>
      <c r="EA529" t="s">
        <v>94</v>
      </c>
      <c r="EB529" t="s">
        <v>94</v>
      </c>
      <c r="EC529" t="s">
        <v>94</v>
      </c>
      <c r="ED529" t="s">
        <v>94</v>
      </c>
      <c r="EE529" t="s">
        <v>89</v>
      </c>
      <c r="EF529" t="s">
        <v>425</v>
      </c>
      <c r="EG529" t="s">
        <v>105</v>
      </c>
      <c r="EJ529" t="s">
        <v>166</v>
      </c>
      <c r="EK529" t="b">
        <v>0</v>
      </c>
      <c r="EL529" t="b">
        <v>0</v>
      </c>
      <c r="EM529" t="b">
        <v>0</v>
      </c>
    </row>
    <row r="530" spans="3:143" ht="15">
      <c r="C530" s="82">
        <v>234</v>
      </c>
      <c r="D530" s="5"/>
      <c r="E530" s="4">
        <v>1</v>
      </c>
      <c r="F530" s="5">
        <v>14.15</v>
      </c>
      <c r="G530" s="5" t="s">
        <v>6907</v>
      </c>
      <c r="H530" s="4" t="s">
        <v>6908</v>
      </c>
      <c r="I530" s="81" t="s">
        <v>817</v>
      </c>
      <c r="J530" s="21"/>
      <c r="K530" s="22" t="s">
        <v>6877</v>
      </c>
      <c r="L530" s="84" t="s">
        <v>6648</v>
      </c>
      <c r="M530" s="23" t="s">
        <v>817</v>
      </c>
      <c r="N530" s="23">
        <v>43933</v>
      </c>
      <c r="O530" s="24" t="s">
        <v>102</v>
      </c>
      <c r="P530" s="24" t="s">
        <v>181</v>
      </c>
      <c r="Q530" s="24">
        <v>1</v>
      </c>
      <c r="R530" s="24">
        <v>14.15</v>
      </c>
      <c r="S530" t="s">
        <v>319</v>
      </c>
      <c r="T530">
        <v>125</v>
      </c>
      <c r="U530" s="2" t="s">
        <v>163</v>
      </c>
      <c r="V530">
        <v>43933.789930555555</v>
      </c>
      <c r="W530" s="2" t="s">
        <v>444</v>
      </c>
      <c r="X530">
        <v>43943.601759259262</v>
      </c>
      <c r="AB530" t="s">
        <v>9</v>
      </c>
      <c r="AC530" t="s">
        <v>1363</v>
      </c>
      <c r="AD530" t="s">
        <v>191</v>
      </c>
      <c r="AE530" t="s">
        <v>6909</v>
      </c>
      <c r="AF530" t="s">
        <v>6909</v>
      </c>
      <c r="AH530" t="s">
        <v>6878</v>
      </c>
      <c r="AI530" t="s">
        <v>6878</v>
      </c>
      <c r="AJ530" t="s">
        <v>184</v>
      </c>
      <c r="AK530" t="s">
        <v>185</v>
      </c>
      <c r="AL530" t="s">
        <v>6879</v>
      </c>
      <c r="AM530" t="s">
        <v>6880</v>
      </c>
      <c r="AN530" t="s">
        <v>6881</v>
      </c>
      <c r="AO530" t="s">
        <v>1366</v>
      </c>
      <c r="AP530" t="s">
        <v>1367</v>
      </c>
      <c r="AQ530" t="s">
        <v>1368</v>
      </c>
      <c r="AR530" t="s">
        <v>6882</v>
      </c>
      <c r="AS530">
        <v>1413742528</v>
      </c>
      <c r="AT530" t="s">
        <v>6883</v>
      </c>
      <c r="AU530" t="s">
        <v>10</v>
      </c>
      <c r="AV530" t="s">
        <v>6884</v>
      </c>
      <c r="AW530" t="s">
        <v>6884</v>
      </c>
      <c r="AX530" t="s">
        <v>6885</v>
      </c>
      <c r="AY530" s="2" t="s">
        <v>6886</v>
      </c>
      <c r="AZ530" t="s">
        <v>6887</v>
      </c>
      <c r="BA530" t="s">
        <v>726</v>
      </c>
      <c r="BB530" t="s">
        <v>192</v>
      </c>
      <c r="BC530" t="s">
        <v>188</v>
      </c>
      <c r="BD530">
        <v>523405</v>
      </c>
      <c r="BE530" t="s">
        <v>6910</v>
      </c>
      <c r="BF530" t="s">
        <v>6888</v>
      </c>
      <c r="BG530" t="b">
        <v>0</v>
      </c>
      <c r="BH530" s="6" t="s">
        <v>6889</v>
      </c>
      <c r="BI530" t="s">
        <v>6890</v>
      </c>
      <c r="BJ530">
        <v>4453163191</v>
      </c>
      <c r="BK530" t="s">
        <v>162</v>
      </c>
      <c r="BL530" t="s">
        <v>161</v>
      </c>
      <c r="BM530" s="2"/>
      <c r="BO530" t="s">
        <v>89</v>
      </c>
      <c r="BP530">
        <v>94054090</v>
      </c>
      <c r="BR530" t="s">
        <v>180</v>
      </c>
      <c r="BS530" t="s">
        <v>103</v>
      </c>
      <c r="BU530">
        <v>52.75</v>
      </c>
      <c r="BV530">
        <v>121.14</v>
      </c>
      <c r="BW530">
        <v>0</v>
      </c>
      <c r="BX530">
        <v>0</v>
      </c>
      <c r="BY530">
        <v>0</v>
      </c>
      <c r="BZ530">
        <v>0</v>
      </c>
      <c r="CA530">
        <v>173.89</v>
      </c>
      <c r="CF530" s="2"/>
      <c r="CH530" s="2"/>
      <c r="CJ530">
        <v>5.3142020950068403E+17</v>
      </c>
      <c r="CK530" t="s">
        <v>2648</v>
      </c>
      <c r="CL530">
        <v>43933.562916666669</v>
      </c>
      <c r="CO530" t="s">
        <v>11</v>
      </c>
      <c r="CP530" t="s">
        <v>6911</v>
      </c>
      <c r="CQ530" t="s">
        <v>11</v>
      </c>
      <c r="CR530">
        <v>879.1</v>
      </c>
      <c r="CV530" t="s">
        <v>190</v>
      </c>
      <c r="CW530" t="s">
        <v>12</v>
      </c>
      <c r="CX530" t="s">
        <v>12</v>
      </c>
      <c r="CY530" t="s">
        <v>12</v>
      </c>
      <c r="DA530" t="s">
        <v>104</v>
      </c>
      <c r="DD530" t="s">
        <v>93</v>
      </c>
      <c r="DQ530" t="s">
        <v>94</v>
      </c>
      <c r="DR530" t="s">
        <v>94</v>
      </c>
      <c r="DS530" t="s">
        <v>94</v>
      </c>
      <c r="DT530" t="s">
        <v>94</v>
      </c>
      <c r="DU530" t="s">
        <v>94</v>
      </c>
      <c r="DV530" t="s">
        <v>94</v>
      </c>
      <c r="DW530" t="s">
        <v>94</v>
      </c>
      <c r="DX530" s="2" t="s">
        <v>94</v>
      </c>
      <c r="DY530" t="s">
        <v>94</v>
      </c>
      <c r="DZ530" t="s">
        <v>94</v>
      </c>
      <c r="EA530" t="s">
        <v>94</v>
      </c>
      <c r="EB530" t="s">
        <v>94</v>
      </c>
      <c r="EC530" t="s">
        <v>94</v>
      </c>
      <c r="ED530" t="s">
        <v>94</v>
      </c>
      <c r="EE530" t="s">
        <v>89</v>
      </c>
      <c r="EF530" t="s">
        <v>425</v>
      </c>
      <c r="EG530" t="s">
        <v>105</v>
      </c>
      <c r="EJ530" t="s">
        <v>166</v>
      </c>
      <c r="EK530" t="b">
        <v>0</v>
      </c>
      <c r="EL530" t="b">
        <v>0</v>
      </c>
      <c r="EM530" t="b">
        <v>0</v>
      </c>
    </row>
    <row r="531" spans="3:143" ht="15">
      <c r="C531" s="82">
        <v>3</v>
      </c>
      <c r="D531" s="5"/>
      <c r="E531" s="4">
        <v>1</v>
      </c>
      <c r="F531" s="5">
        <v>0.18</v>
      </c>
      <c r="G531" s="5" t="s">
        <v>6941</v>
      </c>
      <c r="H531" s="4" t="s">
        <v>4180</v>
      </c>
      <c r="I531" s="81" t="s">
        <v>817</v>
      </c>
      <c r="J531" s="21"/>
      <c r="K531" s="22" t="s">
        <v>6912</v>
      </c>
      <c r="L531" s="84" t="s">
        <v>6860</v>
      </c>
      <c r="M531" s="23" t="s">
        <v>817</v>
      </c>
      <c r="N531" s="23">
        <v>43940</v>
      </c>
      <c r="O531" s="24" t="s">
        <v>102</v>
      </c>
      <c r="P531" s="24" t="s">
        <v>179</v>
      </c>
      <c r="Q531" s="24">
        <v>1</v>
      </c>
      <c r="R531" s="24">
        <v>0.18</v>
      </c>
      <c r="S531" t="s">
        <v>319</v>
      </c>
      <c r="T531">
        <v>36</v>
      </c>
      <c r="U531" s="2" t="s">
        <v>163</v>
      </c>
      <c r="V531">
        <v>43940.789120370369</v>
      </c>
      <c r="W531" s="2" t="s">
        <v>444</v>
      </c>
      <c r="X531">
        <v>43942.401539351849</v>
      </c>
      <c r="AB531" t="s">
        <v>9</v>
      </c>
      <c r="AC531" t="s">
        <v>4034</v>
      </c>
      <c r="AD531" t="s">
        <v>209</v>
      </c>
      <c r="AE531">
        <v>509927</v>
      </c>
      <c r="AF531">
        <v>509927</v>
      </c>
      <c r="AG531" t="s">
        <v>183</v>
      </c>
      <c r="AH531" t="s">
        <v>4035</v>
      </c>
      <c r="AI531" t="s">
        <v>4035</v>
      </c>
      <c r="AJ531" t="s">
        <v>2786</v>
      </c>
      <c r="AK531" t="s">
        <v>2787</v>
      </c>
      <c r="AL531" t="s">
        <v>4036</v>
      </c>
      <c r="AM531" t="s">
        <v>4037</v>
      </c>
      <c r="AO531" t="s">
        <v>4038</v>
      </c>
      <c r="AP531" t="s">
        <v>4039</v>
      </c>
      <c r="AQ531" t="s">
        <v>3952</v>
      </c>
      <c r="AR531" t="s">
        <v>4183</v>
      </c>
      <c r="AS531">
        <v>82234840933</v>
      </c>
      <c r="AT531" t="s">
        <v>4040</v>
      </c>
      <c r="AU531" t="s">
        <v>10</v>
      </c>
      <c r="AV531" t="s">
        <v>4041</v>
      </c>
      <c r="AW531" t="s">
        <v>4041</v>
      </c>
      <c r="AX531" t="s">
        <v>4042</v>
      </c>
      <c r="AY531" s="2" t="s">
        <v>4043</v>
      </c>
      <c r="AZ531" t="s">
        <v>4044</v>
      </c>
      <c r="BA531" t="s">
        <v>1446</v>
      </c>
      <c r="BB531" t="s">
        <v>223</v>
      </c>
      <c r="BC531" t="s">
        <v>188</v>
      </c>
      <c r="BD531">
        <v>510730</v>
      </c>
      <c r="BE531">
        <v>-8602082227758</v>
      </c>
      <c r="BF531" t="s">
        <v>6913</v>
      </c>
      <c r="BG531" t="b">
        <v>0</v>
      </c>
      <c r="BH531" s="6" t="s">
        <v>4046</v>
      </c>
      <c r="BI531" t="s">
        <v>4047</v>
      </c>
      <c r="BJ531">
        <v>4453163191</v>
      </c>
      <c r="BK531" t="s">
        <v>162</v>
      </c>
      <c r="BL531" t="s">
        <v>161</v>
      </c>
      <c r="BM531" s="2"/>
      <c r="BO531" t="s">
        <v>89</v>
      </c>
      <c r="BP531">
        <v>39232900</v>
      </c>
      <c r="BR531" t="s">
        <v>180</v>
      </c>
      <c r="BS531" t="s">
        <v>103</v>
      </c>
      <c r="BU531">
        <v>0</v>
      </c>
      <c r="BV531">
        <v>0</v>
      </c>
      <c r="BW531">
        <v>0</v>
      </c>
      <c r="BX531">
        <v>0</v>
      </c>
      <c r="BY531">
        <v>0</v>
      </c>
      <c r="BZ531">
        <v>0</v>
      </c>
      <c r="CA531">
        <v>0</v>
      </c>
      <c r="CF531" s="2"/>
      <c r="CH531" s="2"/>
      <c r="CJ531">
        <v>5.3142020950072102E+17</v>
      </c>
      <c r="CK531" t="s">
        <v>1849</v>
      </c>
      <c r="CL531">
        <v>43940.391909722224</v>
      </c>
      <c r="CO531" t="s">
        <v>11</v>
      </c>
      <c r="CP531">
        <v>253.18</v>
      </c>
      <c r="CQ531" t="s">
        <v>11</v>
      </c>
      <c r="CR531">
        <v>253.18</v>
      </c>
      <c r="CV531" t="s">
        <v>190</v>
      </c>
      <c r="CW531" t="s">
        <v>12</v>
      </c>
      <c r="CX531" t="s">
        <v>12</v>
      </c>
      <c r="CY531" t="s">
        <v>12</v>
      </c>
      <c r="DA531" t="s">
        <v>104</v>
      </c>
      <c r="DD531" t="s">
        <v>93</v>
      </c>
      <c r="DQ531" t="s">
        <v>94</v>
      </c>
      <c r="DR531" t="s">
        <v>94</v>
      </c>
      <c r="DS531" t="s">
        <v>94</v>
      </c>
      <c r="DT531" t="s">
        <v>94</v>
      </c>
      <c r="DU531" t="s">
        <v>94</v>
      </c>
      <c r="DV531" t="s">
        <v>94</v>
      </c>
      <c r="DW531" t="s">
        <v>94</v>
      </c>
      <c r="DX531" s="2" t="s">
        <v>94</v>
      </c>
      <c r="DY531" t="s">
        <v>94</v>
      </c>
      <c r="DZ531" t="s">
        <v>94</v>
      </c>
      <c r="EA531" t="s">
        <v>94</v>
      </c>
      <c r="EB531" t="s">
        <v>94</v>
      </c>
      <c r="EC531" t="s">
        <v>94</v>
      </c>
      <c r="ED531" t="s">
        <v>94</v>
      </c>
      <c r="EE531" t="s">
        <v>89</v>
      </c>
      <c r="EF531" t="s">
        <v>425</v>
      </c>
      <c r="EG531" t="s">
        <v>105</v>
      </c>
      <c r="EJ531" t="s">
        <v>166</v>
      </c>
      <c r="EK531" t="b">
        <v>0</v>
      </c>
      <c r="EL531" t="b">
        <v>0</v>
      </c>
      <c r="EM531" t="b">
        <v>0</v>
      </c>
    </row>
    <row r="532" spans="3:143">
      <c r="C532" s="4">
        <v>3</v>
      </c>
      <c r="D532" s="4"/>
      <c r="E532" s="4">
        <v>1</v>
      </c>
      <c r="F532" s="4">
        <v>2</v>
      </c>
      <c r="G532" s="5" t="s">
        <v>6941</v>
      </c>
      <c r="H532" s="4" t="s">
        <v>6942</v>
      </c>
      <c r="I532" s="4" t="s">
        <v>817</v>
      </c>
      <c r="J532" s="5"/>
      <c r="K532" s="22" t="s">
        <v>6914</v>
      </c>
      <c r="L532" s="84" t="s">
        <v>6860</v>
      </c>
      <c r="M532" s="23" t="s">
        <v>817</v>
      </c>
      <c r="N532" s="23">
        <v>43940</v>
      </c>
      <c r="O532" s="24" t="s">
        <v>102</v>
      </c>
      <c r="P532" s="24" t="s">
        <v>179</v>
      </c>
      <c r="Q532" s="24">
        <v>1</v>
      </c>
      <c r="R532" s="24">
        <v>2</v>
      </c>
      <c r="S532" t="s">
        <v>319</v>
      </c>
      <c r="T532">
        <v>50</v>
      </c>
      <c r="U532" s="2" t="s">
        <v>163</v>
      </c>
      <c r="V532">
        <v>43940.788969907408</v>
      </c>
      <c r="W532" s="2" t="s">
        <v>444</v>
      </c>
      <c r="X532">
        <v>43940.79787037037</v>
      </c>
      <c r="AB532" t="s">
        <v>9</v>
      </c>
      <c r="AC532" t="s">
        <v>6915</v>
      </c>
      <c r="AD532" t="s">
        <v>191</v>
      </c>
      <c r="AE532">
        <v>62951</v>
      </c>
      <c r="AF532">
        <v>62951</v>
      </c>
      <c r="AG532" t="s">
        <v>183</v>
      </c>
      <c r="AH532" t="s">
        <v>6916</v>
      </c>
      <c r="AI532" t="s">
        <v>6916</v>
      </c>
      <c r="AJ532" t="s">
        <v>1072</v>
      </c>
      <c r="AK532" t="s">
        <v>1073</v>
      </c>
      <c r="AL532" t="s">
        <v>6917</v>
      </c>
      <c r="AO532" t="s">
        <v>6918</v>
      </c>
      <c r="AP532" t="s">
        <v>6919</v>
      </c>
      <c r="AR532" t="s">
        <v>6920</v>
      </c>
      <c r="AS532">
        <v>-4645124590</v>
      </c>
      <c r="AT532" t="s">
        <v>6921</v>
      </c>
      <c r="AU532" t="s">
        <v>10</v>
      </c>
      <c r="AV532" t="s">
        <v>6922</v>
      </c>
      <c r="AW532" t="s">
        <v>6922</v>
      </c>
      <c r="AX532" t="s">
        <v>6923</v>
      </c>
      <c r="AY532" t="s">
        <v>6924</v>
      </c>
      <c r="BA532" t="s">
        <v>726</v>
      </c>
      <c r="BB532" t="s">
        <v>192</v>
      </c>
      <c r="BC532" t="s">
        <v>188</v>
      </c>
      <c r="BD532">
        <v>523710</v>
      </c>
      <c r="BE532">
        <v>-13829246186</v>
      </c>
      <c r="BF532" t="s">
        <v>6925</v>
      </c>
      <c r="BG532" t="b">
        <v>0</v>
      </c>
      <c r="BH532" s="6" t="s">
        <v>6926</v>
      </c>
      <c r="BI532" t="s">
        <v>6927</v>
      </c>
      <c r="BJ532">
        <v>4453163191</v>
      </c>
      <c r="BK532" t="s">
        <v>162</v>
      </c>
      <c r="BL532" t="s">
        <v>161</v>
      </c>
      <c r="BM532" s="2"/>
      <c r="BO532" t="s">
        <v>89</v>
      </c>
      <c r="BP532">
        <v>8715000090</v>
      </c>
      <c r="BR532" t="s">
        <v>180</v>
      </c>
      <c r="BS532" t="s">
        <v>103</v>
      </c>
      <c r="BU532">
        <v>0</v>
      </c>
      <c r="BV532">
        <v>0</v>
      </c>
      <c r="BW532">
        <v>0</v>
      </c>
      <c r="BX532">
        <v>0</v>
      </c>
      <c r="BY532">
        <v>0</v>
      </c>
      <c r="BZ532">
        <v>0</v>
      </c>
      <c r="CA532">
        <v>0</v>
      </c>
      <c r="CF532" s="2"/>
      <c r="CH532" s="2"/>
      <c r="CJ532">
        <v>5.3142020950072102E+17</v>
      </c>
      <c r="CK532" t="s">
        <v>1849</v>
      </c>
      <c r="CL532">
        <v>43940.392094907409</v>
      </c>
      <c r="CO532" t="s">
        <v>11</v>
      </c>
      <c r="CP532">
        <v>351.64</v>
      </c>
      <c r="CQ532" t="s">
        <v>11</v>
      </c>
      <c r="CR532">
        <v>351.64</v>
      </c>
      <c r="CV532" t="s">
        <v>190</v>
      </c>
      <c r="CW532" t="s">
        <v>12</v>
      </c>
      <c r="CX532" t="s">
        <v>12</v>
      </c>
      <c r="CY532" t="s">
        <v>12</v>
      </c>
      <c r="DA532" t="s">
        <v>104</v>
      </c>
      <c r="DD532" t="s">
        <v>93</v>
      </c>
      <c r="DQ532" t="s">
        <v>94</v>
      </c>
      <c r="DR532" t="s">
        <v>94</v>
      </c>
      <c r="DS532" t="s">
        <v>94</v>
      </c>
      <c r="DT532" t="s">
        <v>94</v>
      </c>
      <c r="DU532" t="s">
        <v>94</v>
      </c>
      <c r="DV532" t="s">
        <v>94</v>
      </c>
      <c r="DW532" t="s">
        <v>94</v>
      </c>
      <c r="DX532" s="2" t="s">
        <v>94</v>
      </c>
      <c r="DY532" t="s">
        <v>94</v>
      </c>
      <c r="DZ532" t="s">
        <v>94</v>
      </c>
      <c r="EA532" t="s">
        <v>94</v>
      </c>
      <c r="EB532" t="s">
        <v>94</v>
      </c>
      <c r="EC532" t="s">
        <v>94</v>
      </c>
      <c r="ED532" t="s">
        <v>94</v>
      </c>
      <c r="EE532" t="s">
        <v>89</v>
      </c>
      <c r="EF532" t="s">
        <v>425</v>
      </c>
      <c r="EG532" t="s">
        <v>105</v>
      </c>
      <c r="EJ532" t="s">
        <v>166</v>
      </c>
      <c r="EK532" t="b">
        <v>0</v>
      </c>
      <c r="EL532" t="b">
        <v>0</v>
      </c>
      <c r="EM532" t="b">
        <v>0</v>
      </c>
    </row>
    <row r="533" spans="3:143" ht="15">
      <c r="C533" s="82">
        <v>8990</v>
      </c>
      <c r="D533" s="5">
        <v>5</v>
      </c>
      <c r="E533" s="4">
        <v>1</v>
      </c>
      <c r="F533" s="5">
        <v>5</v>
      </c>
      <c r="G533" s="5" t="s">
        <v>6943</v>
      </c>
      <c r="H533" s="4" t="s">
        <v>6944</v>
      </c>
      <c r="I533" s="81" t="s">
        <v>920</v>
      </c>
      <c r="J533" s="21"/>
      <c r="K533" s="22" t="s">
        <v>6928</v>
      </c>
      <c r="L533" s="84" t="s">
        <v>6873</v>
      </c>
      <c r="M533" s="23" t="s">
        <v>905</v>
      </c>
      <c r="N533" s="23">
        <v>43942</v>
      </c>
      <c r="O533" s="24" t="s">
        <v>102</v>
      </c>
      <c r="P533" s="24" t="s">
        <v>480</v>
      </c>
      <c r="Q533" s="24">
        <v>1</v>
      </c>
      <c r="R533" s="24">
        <v>1</v>
      </c>
      <c r="S533" t="s">
        <v>990</v>
      </c>
      <c r="T533">
        <v>244</v>
      </c>
      <c r="U533" s="2"/>
      <c r="W533" s="2"/>
      <c r="AB533" t="s">
        <v>9</v>
      </c>
      <c r="AC533" t="s">
        <v>3706</v>
      </c>
      <c r="AD533" t="s">
        <v>249</v>
      </c>
      <c r="AE533">
        <v>405718</v>
      </c>
      <c r="AF533">
        <v>405718</v>
      </c>
      <c r="AG533" t="s">
        <v>183</v>
      </c>
      <c r="AH533" t="s">
        <v>6929</v>
      </c>
      <c r="AI533" t="s">
        <v>6929</v>
      </c>
      <c r="AJ533" t="s">
        <v>601</v>
      </c>
      <c r="AK533" t="s">
        <v>602</v>
      </c>
      <c r="AL533" t="s">
        <v>6930</v>
      </c>
      <c r="AO533" t="s">
        <v>6931</v>
      </c>
      <c r="AP533" t="s">
        <v>3710</v>
      </c>
      <c r="AQ533" t="s">
        <v>3711</v>
      </c>
      <c r="AR533" t="s">
        <v>6945</v>
      </c>
      <c r="AS533">
        <v>817705183</v>
      </c>
      <c r="AT533" t="s">
        <v>6932</v>
      </c>
      <c r="AU533" t="s">
        <v>10</v>
      </c>
      <c r="AV533" t="s">
        <v>6933</v>
      </c>
      <c r="AW533" t="s">
        <v>6933</v>
      </c>
      <c r="AX533" t="s">
        <v>6934</v>
      </c>
      <c r="AY533" s="2" t="s">
        <v>6935</v>
      </c>
      <c r="BA533" t="s">
        <v>6936</v>
      </c>
      <c r="BB533" t="s">
        <v>6937</v>
      </c>
      <c r="BC533" t="s">
        <v>6938</v>
      </c>
      <c r="BD533">
        <v>665000</v>
      </c>
      <c r="BE533">
        <v>13987977711</v>
      </c>
      <c r="BF533" t="s">
        <v>6933</v>
      </c>
      <c r="BG533" t="b">
        <v>0</v>
      </c>
      <c r="BH533" s="6" t="s">
        <v>6939</v>
      </c>
      <c r="BI533" t="s">
        <v>6940</v>
      </c>
      <c r="BJ533">
        <v>4453163191</v>
      </c>
      <c r="BK533" t="s">
        <v>162</v>
      </c>
      <c r="BL533" t="s">
        <v>161</v>
      </c>
      <c r="BM533" s="2"/>
      <c r="BR533" t="s">
        <v>180</v>
      </c>
      <c r="BS533" t="s">
        <v>103</v>
      </c>
      <c r="BU533">
        <v>0</v>
      </c>
      <c r="BV533">
        <v>0</v>
      </c>
      <c r="BW533">
        <v>0</v>
      </c>
      <c r="BX533">
        <v>0</v>
      </c>
      <c r="BY533">
        <v>0</v>
      </c>
      <c r="BZ533">
        <v>0</v>
      </c>
      <c r="CA533">
        <v>0</v>
      </c>
      <c r="CF533" s="2"/>
      <c r="CH533" s="2"/>
      <c r="CK533" t="s">
        <v>1849</v>
      </c>
      <c r="CL533">
        <v>43942.371423611112</v>
      </c>
      <c r="CO533" t="s">
        <v>11</v>
      </c>
      <c r="CP533">
        <v>1027.7</v>
      </c>
      <c r="CQ533" t="s">
        <v>11</v>
      </c>
      <c r="CR533">
        <v>1027.7</v>
      </c>
      <c r="CV533" t="s">
        <v>190</v>
      </c>
      <c r="CW533" t="s">
        <v>12</v>
      </c>
      <c r="CX533" t="s">
        <v>12</v>
      </c>
      <c r="CY533" t="s">
        <v>12</v>
      </c>
      <c r="DA533" t="s">
        <v>104</v>
      </c>
      <c r="DD533" t="s">
        <v>93</v>
      </c>
      <c r="DQ533" t="s">
        <v>94</v>
      </c>
      <c r="DR533" t="s">
        <v>94</v>
      </c>
      <c r="DS533" t="s">
        <v>94</v>
      </c>
      <c r="DT533" t="s">
        <v>94</v>
      </c>
      <c r="DU533" t="s">
        <v>94</v>
      </c>
      <c r="DV533" t="s">
        <v>94</v>
      </c>
      <c r="DW533" t="s">
        <v>94</v>
      </c>
      <c r="DX533" s="2" t="s">
        <v>94</v>
      </c>
      <c r="DY533" t="s">
        <v>94</v>
      </c>
      <c r="DZ533" t="s">
        <v>94</v>
      </c>
      <c r="EA533" t="s">
        <v>94</v>
      </c>
      <c r="EB533" t="s">
        <v>94</v>
      </c>
      <c r="EC533" t="s">
        <v>94</v>
      </c>
      <c r="ED533" t="s">
        <v>94</v>
      </c>
      <c r="EE533" t="s">
        <v>89</v>
      </c>
      <c r="EF533" t="s">
        <v>94</v>
      </c>
      <c r="EG533" t="s">
        <v>543</v>
      </c>
      <c r="EJ533" t="s">
        <v>166</v>
      </c>
      <c r="EK533" t="b">
        <v>0</v>
      </c>
      <c r="EL533" t="b">
        <v>0</v>
      </c>
      <c r="EM533" t="b">
        <v>0</v>
      </c>
    </row>
    <row r="534" spans="3:143" ht="15">
      <c r="C534" s="82">
        <v>121</v>
      </c>
      <c r="D534" s="5"/>
      <c r="E534" s="4">
        <v>1</v>
      </c>
      <c r="F534" s="5">
        <v>2</v>
      </c>
      <c r="G534" s="5" t="s">
        <v>6983</v>
      </c>
      <c r="H534" s="4" t="s">
        <v>6984</v>
      </c>
      <c r="I534" s="81" t="s">
        <v>164</v>
      </c>
      <c r="J534" s="21"/>
      <c r="K534" s="22" t="s">
        <v>6961</v>
      </c>
      <c r="L534" s="84" t="s">
        <v>6962</v>
      </c>
      <c r="M534" s="23" t="s">
        <v>164</v>
      </c>
      <c r="N534" s="23">
        <v>43946</v>
      </c>
      <c r="O534" s="24" t="s">
        <v>102</v>
      </c>
      <c r="P534" s="24" t="s">
        <v>181</v>
      </c>
      <c r="Q534" s="24">
        <v>1</v>
      </c>
      <c r="R534" s="24">
        <v>2</v>
      </c>
      <c r="S534" t="s">
        <v>319</v>
      </c>
      <c r="T534">
        <v>150</v>
      </c>
      <c r="U534" s="2" t="s">
        <v>163</v>
      </c>
      <c r="V534">
        <v>43946.791643518518</v>
      </c>
      <c r="W534" s="2" t="s">
        <v>444</v>
      </c>
      <c r="X534">
        <v>43946.81050925926</v>
      </c>
      <c r="AB534" t="s">
        <v>9</v>
      </c>
      <c r="AC534" t="s">
        <v>3335</v>
      </c>
      <c r="AD534" t="s">
        <v>182</v>
      </c>
      <c r="AE534">
        <v>2035400</v>
      </c>
      <c r="AF534">
        <v>2035400</v>
      </c>
      <c r="AG534" t="s">
        <v>183</v>
      </c>
      <c r="AH534" t="s">
        <v>6963</v>
      </c>
      <c r="AI534" t="s">
        <v>6963</v>
      </c>
      <c r="AJ534" t="s">
        <v>795</v>
      </c>
      <c r="AK534" t="s">
        <v>796</v>
      </c>
      <c r="AL534" t="s">
        <v>6964</v>
      </c>
      <c r="AO534" t="s">
        <v>6965</v>
      </c>
      <c r="AP534" t="s">
        <v>3339</v>
      </c>
      <c r="AQ534" t="s">
        <v>3340</v>
      </c>
      <c r="AR534">
        <v>8922</v>
      </c>
      <c r="AS534">
        <v>-34935335606</v>
      </c>
      <c r="AT534" t="s">
        <v>6966</v>
      </c>
      <c r="AU534" t="s">
        <v>10</v>
      </c>
      <c r="AV534" t="s">
        <v>6967</v>
      </c>
      <c r="AW534" t="s">
        <v>6967</v>
      </c>
      <c r="AX534" t="s">
        <v>6968</v>
      </c>
      <c r="AY534" s="2" t="s">
        <v>6969</v>
      </c>
      <c r="AZ534" t="s">
        <v>6970</v>
      </c>
      <c r="BA534" t="s">
        <v>186</v>
      </c>
      <c r="BB534" t="s">
        <v>187</v>
      </c>
      <c r="BC534" t="s">
        <v>188</v>
      </c>
      <c r="BD534">
        <v>518101</v>
      </c>
      <c r="BE534">
        <v>-15986650412</v>
      </c>
      <c r="BF534" t="s">
        <v>6971</v>
      </c>
      <c r="BG534" t="b">
        <v>0</v>
      </c>
      <c r="BH534" s="6" t="s">
        <v>6972</v>
      </c>
      <c r="BI534" t="s">
        <v>6973</v>
      </c>
      <c r="BJ534">
        <v>4453163191</v>
      </c>
      <c r="BK534" t="s">
        <v>162</v>
      </c>
      <c r="BL534" t="s">
        <v>161</v>
      </c>
      <c r="BM534" s="2"/>
      <c r="BO534" t="s">
        <v>89</v>
      </c>
      <c r="BP534">
        <v>84713010</v>
      </c>
      <c r="BR534" t="s">
        <v>180</v>
      </c>
      <c r="BS534" t="s">
        <v>103</v>
      </c>
      <c r="BU534">
        <v>0</v>
      </c>
      <c r="BV534">
        <v>137.13999999999999</v>
      </c>
      <c r="BW534">
        <v>0</v>
      </c>
      <c r="BX534">
        <v>0</v>
      </c>
      <c r="BY534">
        <v>0</v>
      </c>
      <c r="BZ534">
        <v>0</v>
      </c>
      <c r="CA534">
        <v>137.13999999999999</v>
      </c>
      <c r="CF534" s="2"/>
      <c r="CH534" s="2"/>
      <c r="CJ534">
        <v>5.3142020950075898E+17</v>
      </c>
      <c r="CK534" t="s">
        <v>445</v>
      </c>
      <c r="CL534">
        <v>43946.374166666668</v>
      </c>
      <c r="CO534" t="s">
        <v>11</v>
      </c>
      <c r="CP534">
        <v>1054.92</v>
      </c>
      <c r="CQ534" t="s">
        <v>11</v>
      </c>
      <c r="CR534">
        <v>1054.92</v>
      </c>
      <c r="CV534" t="s">
        <v>190</v>
      </c>
      <c r="CW534" t="s">
        <v>12</v>
      </c>
      <c r="CX534" t="s">
        <v>12</v>
      </c>
      <c r="CY534" t="s">
        <v>12</v>
      </c>
      <c r="DA534" t="s">
        <v>104</v>
      </c>
      <c r="DD534" t="s">
        <v>93</v>
      </c>
      <c r="DQ534" t="s">
        <v>94</v>
      </c>
      <c r="DR534" t="s">
        <v>94</v>
      </c>
      <c r="DS534" t="s">
        <v>94</v>
      </c>
      <c r="DT534" t="s">
        <v>94</v>
      </c>
      <c r="DU534" t="s">
        <v>94</v>
      </c>
      <c r="DV534" t="s">
        <v>94</v>
      </c>
      <c r="DW534" t="s">
        <v>94</v>
      </c>
      <c r="DX534" s="2" t="s">
        <v>94</v>
      </c>
      <c r="DY534" t="s">
        <v>94</v>
      </c>
      <c r="DZ534" t="s">
        <v>94</v>
      </c>
      <c r="EA534" t="s">
        <v>94</v>
      </c>
      <c r="EB534" t="s">
        <v>94</v>
      </c>
      <c r="EC534" t="s">
        <v>94</v>
      </c>
      <c r="ED534" t="s">
        <v>94</v>
      </c>
      <c r="EE534" t="s">
        <v>89</v>
      </c>
      <c r="EF534" t="s">
        <v>425</v>
      </c>
      <c r="EG534" t="s">
        <v>105</v>
      </c>
      <c r="EJ534" t="s">
        <v>166</v>
      </c>
      <c r="EK534" t="b">
        <v>0</v>
      </c>
      <c r="EL534" t="b">
        <v>0</v>
      </c>
      <c r="EM534" t="b">
        <v>0</v>
      </c>
    </row>
    <row r="535" spans="3:143">
      <c r="C535" s="4">
        <v>8990</v>
      </c>
      <c r="D535" s="4"/>
      <c r="E535" s="4">
        <v>1</v>
      </c>
      <c r="F535" s="4">
        <v>3.78</v>
      </c>
      <c r="G535" s="5" t="s">
        <v>6983</v>
      </c>
      <c r="H535" s="4" t="s">
        <v>6985</v>
      </c>
      <c r="I535" s="4" t="s">
        <v>164</v>
      </c>
      <c r="J535" s="5"/>
      <c r="K535" s="22" t="s">
        <v>6974</v>
      </c>
      <c r="L535" s="84" t="s">
        <v>6962</v>
      </c>
      <c r="M535" s="23" t="s">
        <v>164</v>
      </c>
      <c r="N535" s="23">
        <v>43946</v>
      </c>
      <c r="O535" s="24" t="s">
        <v>102</v>
      </c>
      <c r="P535" s="24" t="s">
        <v>181</v>
      </c>
      <c r="Q535" s="24">
        <v>1</v>
      </c>
      <c r="R535" s="24">
        <v>3.78</v>
      </c>
      <c r="S535" t="s">
        <v>11</v>
      </c>
      <c r="T535">
        <v>2000</v>
      </c>
      <c r="U535" s="2" t="s">
        <v>163</v>
      </c>
      <c r="V535">
        <v>43946.791666666664</v>
      </c>
      <c r="W535" s="2" t="s">
        <v>444</v>
      </c>
      <c r="X535">
        <v>43946.81050925926</v>
      </c>
      <c r="AB535" t="s">
        <v>9</v>
      </c>
      <c r="AC535" t="s">
        <v>1143</v>
      </c>
      <c r="AD535" t="s">
        <v>182</v>
      </c>
      <c r="AE535">
        <v>317309</v>
      </c>
      <c r="AF535">
        <v>317309</v>
      </c>
      <c r="AG535" t="s">
        <v>183</v>
      </c>
      <c r="AH535" t="s">
        <v>1452</v>
      </c>
      <c r="AI535" t="s">
        <v>1452</v>
      </c>
      <c r="AJ535" t="s">
        <v>644</v>
      </c>
      <c r="AK535" t="s">
        <v>645</v>
      </c>
      <c r="AL535" t="s">
        <v>1453</v>
      </c>
      <c r="AM535" t="s">
        <v>1454</v>
      </c>
      <c r="AO535" t="s">
        <v>1455</v>
      </c>
      <c r="AP535" t="s">
        <v>1149</v>
      </c>
      <c r="AR535">
        <v>11950</v>
      </c>
      <c r="AS535">
        <v>124215286</v>
      </c>
      <c r="AT535" t="s">
        <v>1456</v>
      </c>
      <c r="AU535" t="s">
        <v>10</v>
      </c>
      <c r="AV535" t="s">
        <v>6975</v>
      </c>
      <c r="AW535" t="s">
        <v>6976</v>
      </c>
      <c r="AX535" t="s">
        <v>6977</v>
      </c>
      <c r="AY535" t="s">
        <v>6978</v>
      </c>
      <c r="AZ535" t="s">
        <v>6979</v>
      </c>
      <c r="BA535" t="s">
        <v>194</v>
      </c>
      <c r="BB535" t="s">
        <v>272</v>
      </c>
      <c r="BC535" t="s">
        <v>188</v>
      </c>
      <c r="BD535">
        <v>518000</v>
      </c>
      <c r="BE535">
        <v>8615013485942</v>
      </c>
      <c r="BF535" t="s">
        <v>6980</v>
      </c>
      <c r="BG535" t="b">
        <v>0</v>
      </c>
      <c r="BH535" s="6" t="s">
        <v>6981</v>
      </c>
      <c r="BI535" t="s">
        <v>6982</v>
      </c>
      <c r="BJ535">
        <v>4453163191</v>
      </c>
      <c r="BK535" t="s">
        <v>162</v>
      </c>
      <c r="BL535" t="s">
        <v>161</v>
      </c>
      <c r="BM535" s="2"/>
      <c r="BO535" t="s">
        <v>89</v>
      </c>
      <c r="BP535">
        <v>9025199010</v>
      </c>
      <c r="BR535" t="s">
        <v>180</v>
      </c>
      <c r="BS535" t="s">
        <v>103</v>
      </c>
      <c r="BU535">
        <v>56</v>
      </c>
      <c r="BV535">
        <v>267.27999999999997</v>
      </c>
      <c r="BW535">
        <v>0</v>
      </c>
      <c r="BX535">
        <v>0</v>
      </c>
      <c r="BY535">
        <v>0</v>
      </c>
      <c r="BZ535">
        <v>0</v>
      </c>
      <c r="CA535">
        <v>323.27999999999997</v>
      </c>
      <c r="CF535" s="2"/>
      <c r="CH535" s="2"/>
      <c r="CJ535">
        <v>5.3142020950075898E+17</v>
      </c>
      <c r="CK535" t="s">
        <v>445</v>
      </c>
      <c r="CL535">
        <v>43946.374421296299</v>
      </c>
      <c r="CO535" t="s">
        <v>11</v>
      </c>
      <c r="CP535">
        <v>2000</v>
      </c>
      <c r="CQ535" t="s">
        <v>11</v>
      </c>
      <c r="CR535">
        <v>2000</v>
      </c>
      <c r="CV535" t="s">
        <v>190</v>
      </c>
      <c r="CW535" t="s">
        <v>12</v>
      </c>
      <c r="CX535" t="s">
        <v>12</v>
      </c>
      <c r="CY535" t="s">
        <v>12</v>
      </c>
      <c r="DA535" t="s">
        <v>104</v>
      </c>
      <c r="DD535" t="s">
        <v>93</v>
      </c>
      <c r="DQ535" t="s">
        <v>94</v>
      </c>
      <c r="DR535" t="s">
        <v>94</v>
      </c>
      <c r="DS535" t="s">
        <v>94</v>
      </c>
      <c r="DT535" t="s">
        <v>94</v>
      </c>
      <c r="DU535" t="s">
        <v>94</v>
      </c>
      <c r="DV535" t="s">
        <v>94</v>
      </c>
      <c r="DW535" t="s">
        <v>94</v>
      </c>
      <c r="DX535" s="2" t="s">
        <v>94</v>
      </c>
      <c r="DY535" t="s">
        <v>94</v>
      </c>
      <c r="DZ535" t="s">
        <v>94</v>
      </c>
      <c r="EA535" t="s">
        <v>94</v>
      </c>
      <c r="EB535" t="s">
        <v>94</v>
      </c>
      <c r="EC535" t="s">
        <v>94</v>
      </c>
      <c r="ED535" t="s">
        <v>94</v>
      </c>
      <c r="EE535" t="s">
        <v>89</v>
      </c>
      <c r="EF535" t="s">
        <v>425</v>
      </c>
      <c r="EG535" t="s">
        <v>226</v>
      </c>
      <c r="EJ535" t="s">
        <v>166</v>
      </c>
      <c r="EK535" t="b">
        <v>0</v>
      </c>
      <c r="EL535" t="b">
        <v>0</v>
      </c>
      <c r="EM535" t="b">
        <v>0</v>
      </c>
    </row>
    <row r="536" spans="3:143" ht="15">
      <c r="C536" s="82">
        <v>1</v>
      </c>
      <c r="D536" s="5"/>
      <c r="E536" s="4">
        <v>1</v>
      </c>
      <c r="F536" s="5">
        <v>2</v>
      </c>
      <c r="G536" s="5" t="s">
        <v>6986</v>
      </c>
      <c r="H536" s="4" t="s">
        <v>6984</v>
      </c>
      <c r="I536" s="81" t="s">
        <v>164</v>
      </c>
      <c r="J536" s="21"/>
      <c r="K536" s="22" t="s">
        <v>6961</v>
      </c>
      <c r="L536" s="84" t="s">
        <v>6962</v>
      </c>
      <c r="M536" s="23" t="s">
        <v>164</v>
      </c>
      <c r="N536" s="23">
        <v>43946</v>
      </c>
      <c r="O536" s="24" t="s">
        <v>102</v>
      </c>
      <c r="P536" s="24" t="s">
        <v>181</v>
      </c>
      <c r="Q536" s="24">
        <v>1</v>
      </c>
      <c r="R536" s="24">
        <v>2</v>
      </c>
      <c r="S536" t="s">
        <v>319</v>
      </c>
      <c r="T536">
        <v>150</v>
      </c>
      <c r="U536" s="2" t="s">
        <v>163</v>
      </c>
      <c r="V536">
        <v>43946.791643518518</v>
      </c>
      <c r="W536" s="2" t="s">
        <v>444</v>
      </c>
      <c r="X536">
        <v>43946.81050925926</v>
      </c>
      <c r="AB536" t="s">
        <v>9</v>
      </c>
      <c r="AC536" t="s">
        <v>3335</v>
      </c>
      <c r="AD536" t="s">
        <v>182</v>
      </c>
      <c r="AE536">
        <v>2035400</v>
      </c>
      <c r="AF536">
        <v>2035400</v>
      </c>
      <c r="AG536" t="s">
        <v>183</v>
      </c>
      <c r="AH536" t="s">
        <v>6963</v>
      </c>
      <c r="AI536" t="s">
        <v>6963</v>
      </c>
      <c r="AJ536" t="s">
        <v>795</v>
      </c>
      <c r="AK536" t="s">
        <v>796</v>
      </c>
      <c r="AL536" t="s">
        <v>6964</v>
      </c>
      <c r="AO536" t="s">
        <v>6965</v>
      </c>
      <c r="AP536" t="s">
        <v>3339</v>
      </c>
      <c r="AQ536" t="s">
        <v>3340</v>
      </c>
      <c r="AR536">
        <v>8922</v>
      </c>
      <c r="AS536">
        <v>-34935335606</v>
      </c>
      <c r="AT536" t="s">
        <v>6966</v>
      </c>
      <c r="AU536" t="s">
        <v>10</v>
      </c>
      <c r="AV536" t="s">
        <v>6967</v>
      </c>
      <c r="AW536" t="s">
        <v>6967</v>
      </c>
      <c r="AX536" t="s">
        <v>6968</v>
      </c>
      <c r="AY536" s="2" t="s">
        <v>6969</v>
      </c>
      <c r="AZ536" t="s">
        <v>6970</v>
      </c>
      <c r="BA536" t="s">
        <v>186</v>
      </c>
      <c r="BB536" t="s">
        <v>187</v>
      </c>
      <c r="BC536" t="s">
        <v>188</v>
      </c>
      <c r="BD536">
        <v>518101</v>
      </c>
      <c r="BE536">
        <v>-15986650412</v>
      </c>
      <c r="BF536" t="s">
        <v>6971</v>
      </c>
      <c r="BG536" t="b">
        <v>0</v>
      </c>
      <c r="BH536" s="6" t="s">
        <v>6972</v>
      </c>
      <c r="BI536" t="s">
        <v>6973</v>
      </c>
      <c r="BJ536">
        <v>4453163191</v>
      </c>
      <c r="BK536" t="s">
        <v>162</v>
      </c>
      <c r="BL536" t="s">
        <v>161</v>
      </c>
      <c r="BM536" s="2"/>
      <c r="BO536" t="s">
        <v>89</v>
      </c>
      <c r="BP536">
        <v>84713010</v>
      </c>
      <c r="BR536" t="s">
        <v>180</v>
      </c>
      <c r="BS536" t="s">
        <v>103</v>
      </c>
      <c r="BU536">
        <v>0</v>
      </c>
      <c r="BV536">
        <v>137.13999999999999</v>
      </c>
      <c r="BW536">
        <v>0</v>
      </c>
      <c r="BX536">
        <v>0</v>
      </c>
      <c r="BY536">
        <v>0</v>
      </c>
      <c r="BZ536">
        <v>0</v>
      </c>
      <c r="CA536">
        <v>137.13999999999999</v>
      </c>
      <c r="CF536" s="2"/>
      <c r="CH536" s="2"/>
      <c r="CJ536">
        <v>5.3142020950075898E+17</v>
      </c>
      <c r="CK536" t="s">
        <v>445</v>
      </c>
      <c r="CL536">
        <v>43946.374166666668</v>
      </c>
      <c r="CO536" t="s">
        <v>11</v>
      </c>
      <c r="CP536">
        <v>1054.92</v>
      </c>
      <c r="CQ536" t="s">
        <v>11</v>
      </c>
      <c r="CR536">
        <v>1054.92</v>
      </c>
      <c r="CV536" t="s">
        <v>190</v>
      </c>
      <c r="CW536" t="s">
        <v>12</v>
      </c>
      <c r="CX536" t="s">
        <v>12</v>
      </c>
      <c r="CY536" t="s">
        <v>12</v>
      </c>
      <c r="DA536" t="s">
        <v>104</v>
      </c>
      <c r="DD536" t="s">
        <v>93</v>
      </c>
      <c r="DQ536" t="s">
        <v>94</v>
      </c>
      <c r="DR536" t="s">
        <v>94</v>
      </c>
      <c r="DS536" t="s">
        <v>94</v>
      </c>
      <c r="DT536" t="s">
        <v>94</v>
      </c>
      <c r="DU536" t="s">
        <v>94</v>
      </c>
      <c r="DV536" t="s">
        <v>94</v>
      </c>
      <c r="DW536" t="s">
        <v>94</v>
      </c>
      <c r="DX536" s="2" t="s">
        <v>94</v>
      </c>
      <c r="DY536" t="s">
        <v>94</v>
      </c>
      <c r="DZ536" t="s">
        <v>94</v>
      </c>
      <c r="EA536" t="s">
        <v>94</v>
      </c>
      <c r="EB536" t="s">
        <v>94</v>
      </c>
      <c r="EC536" t="s">
        <v>94</v>
      </c>
      <c r="ED536" t="s">
        <v>94</v>
      </c>
      <c r="EE536" t="s">
        <v>89</v>
      </c>
      <c r="EF536" t="s">
        <v>425</v>
      </c>
      <c r="EG536" t="s">
        <v>105</v>
      </c>
      <c r="EJ536" t="s">
        <v>166</v>
      </c>
      <c r="EK536" t="b">
        <v>0</v>
      </c>
      <c r="EL536" t="b">
        <v>0</v>
      </c>
      <c r="EM536" t="b">
        <v>0</v>
      </c>
    </row>
    <row r="537" spans="3:143">
      <c r="C537" s="4">
        <v>1</v>
      </c>
      <c r="D537" s="4"/>
      <c r="E537" s="4">
        <v>1</v>
      </c>
      <c r="F537" s="4">
        <v>3.78</v>
      </c>
      <c r="G537" s="5" t="s">
        <v>6986</v>
      </c>
      <c r="H537" s="4" t="s">
        <v>6985</v>
      </c>
      <c r="I537" s="4" t="s">
        <v>164</v>
      </c>
      <c r="J537" s="5"/>
      <c r="K537" s="22" t="s">
        <v>6974</v>
      </c>
      <c r="L537" s="84" t="s">
        <v>6962</v>
      </c>
      <c r="M537" s="23" t="s">
        <v>164</v>
      </c>
      <c r="N537" s="23">
        <v>43946</v>
      </c>
      <c r="O537" s="24" t="s">
        <v>102</v>
      </c>
      <c r="P537" s="24" t="s">
        <v>181</v>
      </c>
      <c r="Q537" s="24">
        <v>1</v>
      </c>
      <c r="R537" s="24">
        <v>3.78</v>
      </c>
      <c r="S537" t="s">
        <v>11</v>
      </c>
      <c r="T537">
        <v>2000</v>
      </c>
      <c r="U537" s="2" t="s">
        <v>163</v>
      </c>
      <c r="V537">
        <v>43946.791666666664</v>
      </c>
      <c r="W537" s="2" t="s">
        <v>444</v>
      </c>
      <c r="X537">
        <v>43946.81050925926</v>
      </c>
      <c r="AB537" t="s">
        <v>9</v>
      </c>
      <c r="AC537" t="s">
        <v>1143</v>
      </c>
      <c r="AD537" t="s">
        <v>182</v>
      </c>
      <c r="AE537">
        <v>317309</v>
      </c>
      <c r="AF537">
        <v>317309</v>
      </c>
      <c r="AG537" t="s">
        <v>183</v>
      </c>
      <c r="AH537" t="s">
        <v>1452</v>
      </c>
      <c r="AI537" t="s">
        <v>1452</v>
      </c>
      <c r="AJ537" t="s">
        <v>644</v>
      </c>
      <c r="AK537" t="s">
        <v>645</v>
      </c>
      <c r="AL537" t="s">
        <v>1453</v>
      </c>
      <c r="AM537" t="s">
        <v>1454</v>
      </c>
      <c r="AO537" t="s">
        <v>1455</v>
      </c>
      <c r="AP537" t="s">
        <v>1149</v>
      </c>
      <c r="AR537">
        <v>11950</v>
      </c>
      <c r="AS537">
        <v>124215286</v>
      </c>
      <c r="AT537" t="s">
        <v>1456</v>
      </c>
      <c r="AU537" t="s">
        <v>10</v>
      </c>
      <c r="AV537" t="s">
        <v>6975</v>
      </c>
      <c r="AW537" t="s">
        <v>6976</v>
      </c>
      <c r="AX537" t="s">
        <v>6977</v>
      </c>
      <c r="AY537" t="s">
        <v>6978</v>
      </c>
      <c r="AZ537" t="s">
        <v>6979</v>
      </c>
      <c r="BA537" t="s">
        <v>194</v>
      </c>
      <c r="BB537" t="s">
        <v>272</v>
      </c>
      <c r="BC537" t="s">
        <v>188</v>
      </c>
      <c r="BD537">
        <v>518000</v>
      </c>
      <c r="BE537">
        <v>8615013485942</v>
      </c>
      <c r="BF537" t="s">
        <v>6980</v>
      </c>
      <c r="BG537" t="b">
        <v>0</v>
      </c>
      <c r="BH537" s="6" t="s">
        <v>6981</v>
      </c>
      <c r="BI537" t="s">
        <v>6982</v>
      </c>
      <c r="BJ537">
        <v>4453163191</v>
      </c>
      <c r="BK537" t="s">
        <v>162</v>
      </c>
      <c r="BL537" t="s">
        <v>161</v>
      </c>
      <c r="BM537" s="2"/>
      <c r="BO537" t="s">
        <v>89</v>
      </c>
      <c r="BP537">
        <v>9025199010</v>
      </c>
      <c r="BR537" t="s">
        <v>180</v>
      </c>
      <c r="BS537" t="s">
        <v>103</v>
      </c>
      <c r="BU537">
        <v>56</v>
      </c>
      <c r="BV537">
        <v>267.27999999999997</v>
      </c>
      <c r="BW537">
        <v>0</v>
      </c>
      <c r="BX537">
        <v>0</v>
      </c>
      <c r="BY537">
        <v>0</v>
      </c>
      <c r="BZ537">
        <v>0</v>
      </c>
      <c r="CA537">
        <v>323.27999999999997</v>
      </c>
      <c r="CF537" s="2"/>
      <c r="CH537" s="2"/>
      <c r="CJ537">
        <v>5.3142020950075898E+17</v>
      </c>
      <c r="CK537" t="s">
        <v>445</v>
      </c>
      <c r="CL537">
        <v>43946.374421296299</v>
      </c>
      <c r="CO537" t="s">
        <v>11</v>
      </c>
      <c r="CP537">
        <v>2000</v>
      </c>
      <c r="CQ537" t="s">
        <v>11</v>
      </c>
      <c r="CR537">
        <v>2000</v>
      </c>
      <c r="CV537" t="s">
        <v>190</v>
      </c>
      <c r="CW537" t="s">
        <v>12</v>
      </c>
      <c r="CX537" t="s">
        <v>12</v>
      </c>
      <c r="CY537" t="s">
        <v>12</v>
      </c>
      <c r="DA537" t="s">
        <v>104</v>
      </c>
      <c r="DD537" t="s">
        <v>93</v>
      </c>
      <c r="DQ537" t="s">
        <v>94</v>
      </c>
      <c r="DR537" t="s">
        <v>94</v>
      </c>
      <c r="DS537" t="s">
        <v>94</v>
      </c>
      <c r="DT537" t="s">
        <v>94</v>
      </c>
      <c r="DU537" t="s">
        <v>94</v>
      </c>
      <c r="DV537" t="s">
        <v>94</v>
      </c>
      <c r="DW537" t="s">
        <v>94</v>
      </c>
      <c r="DX537" s="2" t="s">
        <v>94</v>
      </c>
      <c r="DY537" t="s">
        <v>94</v>
      </c>
      <c r="DZ537" t="s">
        <v>94</v>
      </c>
      <c r="EA537" t="s">
        <v>94</v>
      </c>
      <c r="EB537" t="s">
        <v>94</v>
      </c>
      <c r="EC537" t="s">
        <v>94</v>
      </c>
      <c r="ED537" t="s">
        <v>94</v>
      </c>
      <c r="EE537" t="s">
        <v>89</v>
      </c>
      <c r="EF537" t="s">
        <v>425</v>
      </c>
      <c r="EG537" t="s">
        <v>226</v>
      </c>
      <c r="EJ537" t="s">
        <v>166</v>
      </c>
      <c r="EK537" t="b">
        <v>0</v>
      </c>
      <c r="EL537" t="b">
        <v>0</v>
      </c>
      <c r="EM537" t="b">
        <v>0</v>
      </c>
    </row>
    <row r="538" spans="3:143" ht="15">
      <c r="C538" s="82">
        <v>2</v>
      </c>
      <c r="D538" s="5"/>
      <c r="E538" s="4">
        <v>2</v>
      </c>
      <c r="F538" s="5">
        <v>15</v>
      </c>
      <c r="G538" s="5" t="s">
        <v>6987</v>
      </c>
      <c r="H538" s="4" t="s">
        <v>6988</v>
      </c>
      <c r="I538" s="81" t="s">
        <v>926</v>
      </c>
      <c r="J538" s="21"/>
      <c r="K538" s="22" t="s">
        <v>6947</v>
      </c>
      <c r="L538" s="84" t="s">
        <v>6948</v>
      </c>
      <c r="M538" s="23" t="s">
        <v>926</v>
      </c>
      <c r="N538" s="23">
        <v>43943</v>
      </c>
      <c r="O538" s="24" t="s">
        <v>102</v>
      </c>
      <c r="P538" s="24" t="s">
        <v>181</v>
      </c>
      <c r="Q538" s="24">
        <v>2</v>
      </c>
      <c r="R538" s="24">
        <v>15</v>
      </c>
      <c r="S538" t="s">
        <v>11</v>
      </c>
      <c r="T538">
        <v>3367.15</v>
      </c>
      <c r="U538" s="2" t="s">
        <v>163</v>
      </c>
      <c r="V538">
        <v>43943.412569444445</v>
      </c>
      <c r="W538" s="2" t="s">
        <v>444</v>
      </c>
      <c r="X538">
        <v>43943.430509259262</v>
      </c>
      <c r="AB538" t="s">
        <v>9</v>
      </c>
      <c r="AC538" t="s">
        <v>1124</v>
      </c>
      <c r="AD538" t="s">
        <v>182</v>
      </c>
      <c r="AE538">
        <v>26367</v>
      </c>
      <c r="AF538">
        <v>26367</v>
      </c>
      <c r="AG538" t="s">
        <v>183</v>
      </c>
      <c r="AH538" t="s">
        <v>6949</v>
      </c>
      <c r="AI538" t="s">
        <v>6949</v>
      </c>
      <c r="AJ538" t="s">
        <v>1127</v>
      </c>
      <c r="AK538" t="s">
        <v>1128</v>
      </c>
      <c r="AL538" t="s">
        <v>6950</v>
      </c>
      <c r="AO538" t="s">
        <v>6951</v>
      </c>
      <c r="AP538" t="s">
        <v>1131</v>
      </c>
      <c r="AR538">
        <v>1414</v>
      </c>
      <c r="AS538">
        <v>66815456</v>
      </c>
      <c r="AT538" t="s">
        <v>6952</v>
      </c>
      <c r="AU538" t="s">
        <v>10</v>
      </c>
      <c r="AV538" t="s">
        <v>6953</v>
      </c>
      <c r="AW538" t="s">
        <v>6954</v>
      </c>
      <c r="AX538" t="s">
        <v>6955</v>
      </c>
      <c r="AY538" s="2" t="s">
        <v>6956</v>
      </c>
      <c r="AZ538" t="s">
        <v>6957</v>
      </c>
      <c r="BA538" t="s">
        <v>194</v>
      </c>
      <c r="BB538" t="s">
        <v>272</v>
      </c>
      <c r="BC538" t="s">
        <v>188</v>
      </c>
      <c r="BD538">
        <v>518000</v>
      </c>
      <c r="BE538">
        <v>-8613544268553</v>
      </c>
      <c r="BF538" t="s">
        <v>6958</v>
      </c>
      <c r="BG538" t="b">
        <v>0</v>
      </c>
      <c r="BH538" s="6" t="s">
        <v>6959</v>
      </c>
      <c r="BI538" t="s">
        <v>6960</v>
      </c>
      <c r="BJ538">
        <v>4453163191</v>
      </c>
      <c r="BK538" t="s">
        <v>162</v>
      </c>
      <c r="BL538" t="s">
        <v>161</v>
      </c>
      <c r="BM538" s="2"/>
      <c r="BO538" t="s">
        <v>89</v>
      </c>
      <c r="BP538">
        <v>85235210</v>
      </c>
      <c r="BR538" t="s">
        <v>180</v>
      </c>
      <c r="BS538" t="s">
        <v>103</v>
      </c>
      <c r="BU538">
        <v>0</v>
      </c>
      <c r="BV538">
        <v>303.04000000000002</v>
      </c>
      <c r="BW538">
        <v>0</v>
      </c>
      <c r="BX538">
        <v>0</v>
      </c>
      <c r="BY538">
        <v>0</v>
      </c>
      <c r="BZ538">
        <v>0</v>
      </c>
      <c r="CA538">
        <v>303.04000000000002</v>
      </c>
      <c r="CF538" s="2"/>
      <c r="CH538" s="2"/>
      <c r="CJ538">
        <v>5.3142020950073498E+17</v>
      </c>
      <c r="CK538" t="s">
        <v>1849</v>
      </c>
      <c r="CL538">
        <v>43940.391793981478</v>
      </c>
      <c r="CO538" t="s">
        <v>11</v>
      </c>
      <c r="CP538">
        <v>3367.15</v>
      </c>
      <c r="CQ538" t="s">
        <v>11</v>
      </c>
      <c r="CR538">
        <v>3367.15</v>
      </c>
      <c r="CV538" t="s">
        <v>190</v>
      </c>
      <c r="CW538" t="s">
        <v>12</v>
      </c>
      <c r="CX538" t="s">
        <v>12</v>
      </c>
      <c r="CY538" t="s">
        <v>12</v>
      </c>
      <c r="DA538" t="s">
        <v>104</v>
      </c>
      <c r="DD538" t="s">
        <v>93</v>
      </c>
      <c r="DQ538" t="s">
        <v>94</v>
      </c>
      <c r="DR538" t="s">
        <v>94</v>
      </c>
      <c r="DS538" t="s">
        <v>94</v>
      </c>
      <c r="DT538" t="s">
        <v>94</v>
      </c>
      <c r="DU538" t="s">
        <v>94</v>
      </c>
      <c r="DV538" t="s">
        <v>94</v>
      </c>
      <c r="DW538" t="s">
        <v>94</v>
      </c>
      <c r="DX538" s="2" t="s">
        <v>94</v>
      </c>
      <c r="DY538" t="s">
        <v>94</v>
      </c>
      <c r="DZ538" t="s">
        <v>94</v>
      </c>
      <c r="EA538" t="s">
        <v>94</v>
      </c>
      <c r="EB538" t="s">
        <v>94</v>
      </c>
      <c r="EC538" t="s">
        <v>94</v>
      </c>
      <c r="ED538" t="s">
        <v>94</v>
      </c>
      <c r="EE538" t="s">
        <v>89</v>
      </c>
      <c r="EF538" t="s">
        <v>94</v>
      </c>
      <c r="EG538" t="s">
        <v>105</v>
      </c>
      <c r="EJ538" t="s">
        <v>526</v>
      </c>
      <c r="EK538" t="b">
        <v>0</v>
      </c>
      <c r="EL538" t="b">
        <v>0</v>
      </c>
      <c r="EM538" t="b">
        <v>0</v>
      </c>
    </row>
    <row r="539" spans="3:143" ht="15">
      <c r="C539" s="82">
        <v>2</v>
      </c>
      <c r="D539" s="5"/>
      <c r="E539" s="4">
        <v>2</v>
      </c>
      <c r="F539" s="5">
        <v>15</v>
      </c>
      <c r="G539" s="5" t="s">
        <v>6989</v>
      </c>
      <c r="H539" s="4" t="s">
        <v>6988</v>
      </c>
      <c r="I539" s="81" t="s">
        <v>926</v>
      </c>
      <c r="J539" s="21"/>
      <c r="K539" s="22" t="s">
        <v>6947</v>
      </c>
      <c r="L539" s="84" t="s">
        <v>6860</v>
      </c>
      <c r="M539" s="23" t="s">
        <v>926</v>
      </c>
      <c r="N539" s="23">
        <v>43943</v>
      </c>
      <c r="O539" s="24" t="s">
        <v>102</v>
      </c>
      <c r="P539" s="24" t="s">
        <v>181</v>
      </c>
      <c r="Q539" s="24">
        <v>2</v>
      </c>
      <c r="R539" s="24">
        <v>15</v>
      </c>
      <c r="S539" t="s">
        <v>11</v>
      </c>
      <c r="T539">
        <v>3367.15</v>
      </c>
      <c r="U539" s="2" t="s">
        <v>163</v>
      </c>
      <c r="V539">
        <v>43943.412569444445</v>
      </c>
      <c r="W539" s="2" t="s">
        <v>444</v>
      </c>
      <c r="X539">
        <v>43943.430509259262</v>
      </c>
      <c r="AB539" t="s">
        <v>9</v>
      </c>
      <c r="AC539" t="s">
        <v>1124</v>
      </c>
      <c r="AD539" t="s">
        <v>182</v>
      </c>
      <c r="AE539">
        <v>26367</v>
      </c>
      <c r="AF539">
        <v>26367</v>
      </c>
      <c r="AG539" t="s">
        <v>183</v>
      </c>
      <c r="AH539" t="s">
        <v>6949</v>
      </c>
      <c r="AI539" t="s">
        <v>6949</v>
      </c>
      <c r="AJ539" t="s">
        <v>1127</v>
      </c>
      <c r="AK539" t="s">
        <v>1128</v>
      </c>
      <c r="AL539" t="s">
        <v>6950</v>
      </c>
      <c r="AO539" t="s">
        <v>6951</v>
      </c>
      <c r="AP539" t="s">
        <v>1131</v>
      </c>
      <c r="AR539">
        <v>1414</v>
      </c>
      <c r="AS539">
        <v>66815456</v>
      </c>
      <c r="AT539" t="s">
        <v>6952</v>
      </c>
      <c r="AU539" t="s">
        <v>10</v>
      </c>
      <c r="AV539" t="s">
        <v>6953</v>
      </c>
      <c r="AW539" t="s">
        <v>6954</v>
      </c>
      <c r="AX539" t="s">
        <v>6955</v>
      </c>
      <c r="AY539" s="2" t="s">
        <v>6956</v>
      </c>
      <c r="AZ539" t="s">
        <v>6957</v>
      </c>
      <c r="BA539" t="s">
        <v>194</v>
      </c>
      <c r="BB539" t="s">
        <v>272</v>
      </c>
      <c r="BC539" t="s">
        <v>188</v>
      </c>
      <c r="BD539">
        <v>518000</v>
      </c>
      <c r="BE539">
        <v>-8613544268553</v>
      </c>
      <c r="BF539" t="s">
        <v>6958</v>
      </c>
      <c r="BG539" t="b">
        <v>0</v>
      </c>
      <c r="BH539" s="6" t="s">
        <v>6959</v>
      </c>
      <c r="BI539" t="s">
        <v>6960</v>
      </c>
      <c r="BJ539">
        <v>4453163191</v>
      </c>
      <c r="BK539" t="s">
        <v>162</v>
      </c>
      <c r="BL539" t="s">
        <v>161</v>
      </c>
      <c r="BM539" s="2"/>
      <c r="BO539" t="s">
        <v>89</v>
      </c>
      <c r="BP539">
        <v>85235210</v>
      </c>
      <c r="BR539" t="s">
        <v>180</v>
      </c>
      <c r="BS539" t="s">
        <v>103</v>
      </c>
      <c r="BU539">
        <v>0</v>
      </c>
      <c r="BV539">
        <v>303.04000000000002</v>
      </c>
      <c r="BW539">
        <v>0</v>
      </c>
      <c r="BX539">
        <v>0</v>
      </c>
      <c r="BY539">
        <v>0</v>
      </c>
      <c r="BZ539">
        <v>0</v>
      </c>
      <c r="CA539">
        <v>303.04000000000002</v>
      </c>
      <c r="CF539" s="2"/>
      <c r="CH539" s="2"/>
      <c r="CJ539">
        <v>5.3142020950073498E+17</v>
      </c>
      <c r="CK539" t="s">
        <v>1849</v>
      </c>
      <c r="CL539">
        <v>43940.391793981478</v>
      </c>
      <c r="CO539" t="s">
        <v>11</v>
      </c>
      <c r="CP539">
        <v>3367.15</v>
      </c>
      <c r="CQ539" t="s">
        <v>11</v>
      </c>
      <c r="CR539">
        <v>3367.15</v>
      </c>
      <c r="CV539" t="s">
        <v>190</v>
      </c>
      <c r="CW539" t="s">
        <v>12</v>
      </c>
      <c r="CX539" t="s">
        <v>12</v>
      </c>
      <c r="CY539" t="s">
        <v>12</v>
      </c>
      <c r="DA539" t="s">
        <v>104</v>
      </c>
      <c r="DD539" t="s">
        <v>93</v>
      </c>
      <c r="DQ539" t="s">
        <v>94</v>
      </c>
      <c r="DR539" t="s">
        <v>94</v>
      </c>
      <c r="DS539" t="s">
        <v>94</v>
      </c>
      <c r="DT539" t="s">
        <v>94</v>
      </c>
      <c r="DU539" t="s">
        <v>94</v>
      </c>
      <c r="DV539" t="s">
        <v>94</v>
      </c>
      <c r="DW539" t="s">
        <v>94</v>
      </c>
      <c r="DX539" s="2" t="s">
        <v>94</v>
      </c>
      <c r="DY539" t="s">
        <v>94</v>
      </c>
      <c r="DZ539" t="s">
        <v>94</v>
      </c>
      <c r="EA539" t="s">
        <v>94</v>
      </c>
      <c r="EB539" t="s">
        <v>94</v>
      </c>
      <c r="EC539" t="s">
        <v>94</v>
      </c>
      <c r="ED539" t="s">
        <v>94</v>
      </c>
      <c r="EE539" t="s">
        <v>89</v>
      </c>
      <c r="EF539" t="s">
        <v>94</v>
      </c>
      <c r="EG539" t="s">
        <v>105</v>
      </c>
      <c r="EJ539" t="s">
        <v>526</v>
      </c>
      <c r="EK539" t="b">
        <v>0</v>
      </c>
      <c r="EL539" t="b">
        <v>0</v>
      </c>
      <c r="EM539" t="b">
        <v>0</v>
      </c>
    </row>
    <row r="540" spans="3:143" ht="15">
      <c r="C540" s="82">
        <v>2</v>
      </c>
      <c r="D540" s="5"/>
      <c r="E540" s="4">
        <v>2</v>
      </c>
      <c r="F540" s="5">
        <v>14.95</v>
      </c>
      <c r="G540" s="5" t="s">
        <v>7017</v>
      </c>
      <c r="H540" s="4" t="s">
        <v>7018</v>
      </c>
      <c r="I540" s="81" t="s">
        <v>466</v>
      </c>
      <c r="J540" s="21"/>
      <c r="K540" s="22" t="s">
        <v>6990</v>
      </c>
      <c r="L540" s="84" t="s">
        <v>6991</v>
      </c>
      <c r="M540" s="23" t="s">
        <v>466</v>
      </c>
      <c r="N540" s="23">
        <v>43945</v>
      </c>
      <c r="O540" s="24" t="s">
        <v>102</v>
      </c>
      <c r="P540" s="24" t="s">
        <v>181</v>
      </c>
      <c r="Q540" s="24">
        <v>2</v>
      </c>
      <c r="R540" s="24">
        <v>14.95</v>
      </c>
      <c r="S540" t="s">
        <v>11</v>
      </c>
      <c r="T540">
        <v>2000</v>
      </c>
      <c r="U540" s="2" t="s">
        <v>163</v>
      </c>
      <c r="V540">
        <v>43948.620185185187</v>
      </c>
      <c r="W540" s="2" t="s">
        <v>444</v>
      </c>
      <c r="X540">
        <v>43948.620393518519</v>
      </c>
      <c r="AB540" t="s">
        <v>9</v>
      </c>
      <c r="AC540" t="s">
        <v>3447</v>
      </c>
      <c r="AD540" t="s">
        <v>209</v>
      </c>
      <c r="AE540">
        <v>20866</v>
      </c>
      <c r="AF540">
        <v>20866</v>
      </c>
      <c r="AG540" t="s">
        <v>183</v>
      </c>
      <c r="AH540" t="s">
        <v>6992</v>
      </c>
      <c r="AI540" t="s">
        <v>6992</v>
      </c>
      <c r="AJ540" t="s">
        <v>3234</v>
      </c>
      <c r="AK540" t="s">
        <v>3235</v>
      </c>
      <c r="AL540" t="s">
        <v>6993</v>
      </c>
      <c r="AO540" t="s">
        <v>6994</v>
      </c>
      <c r="AP540" t="s">
        <v>3451</v>
      </c>
      <c r="AR540">
        <v>32200</v>
      </c>
      <c r="AS540">
        <v>-358405566534</v>
      </c>
      <c r="AT540" t="s">
        <v>6995</v>
      </c>
      <c r="AU540" t="s">
        <v>10</v>
      </c>
      <c r="AV540" t="s">
        <v>6996</v>
      </c>
      <c r="AW540" t="s">
        <v>6996</v>
      </c>
      <c r="AX540" t="s">
        <v>6997</v>
      </c>
      <c r="AY540" s="2" t="s">
        <v>6998</v>
      </c>
      <c r="AZ540" t="s">
        <v>6999</v>
      </c>
      <c r="BA540" t="s">
        <v>299</v>
      </c>
      <c r="BB540" t="s">
        <v>300</v>
      </c>
      <c r="BC540" t="s">
        <v>188</v>
      </c>
      <c r="BD540">
        <v>511430</v>
      </c>
      <c r="BE540">
        <v>-8613826048012</v>
      </c>
      <c r="BF540" t="s">
        <v>7000</v>
      </c>
      <c r="BG540" t="b">
        <v>0</v>
      </c>
      <c r="BH540" s="6" t="s">
        <v>7001</v>
      </c>
      <c r="BI540" t="s">
        <v>7002</v>
      </c>
      <c r="BJ540">
        <v>4453163191</v>
      </c>
      <c r="BK540" t="s">
        <v>162</v>
      </c>
      <c r="BL540" t="s">
        <v>161</v>
      </c>
      <c r="BM540" s="2"/>
      <c r="BO540" t="s">
        <v>89</v>
      </c>
      <c r="BP540">
        <v>4412349090</v>
      </c>
      <c r="BR540" t="s">
        <v>189</v>
      </c>
      <c r="BS540" t="s">
        <v>103</v>
      </c>
      <c r="BU540">
        <v>0</v>
      </c>
      <c r="BV540">
        <v>91</v>
      </c>
      <c r="BW540">
        <v>0</v>
      </c>
      <c r="BX540">
        <v>0</v>
      </c>
      <c r="BY540">
        <v>0</v>
      </c>
      <c r="BZ540">
        <v>0</v>
      </c>
      <c r="CA540">
        <v>91</v>
      </c>
      <c r="CF540" s="2"/>
      <c r="CH540" s="2"/>
      <c r="CJ540">
        <v>5.3142020950075302E+17</v>
      </c>
      <c r="CK540" t="s">
        <v>1849</v>
      </c>
      <c r="CL540">
        <v>43945.556666666664</v>
      </c>
      <c r="CO540" t="s">
        <v>11</v>
      </c>
      <c r="CP540">
        <v>2000</v>
      </c>
      <c r="CQ540" t="s">
        <v>11</v>
      </c>
      <c r="CR540">
        <v>2000</v>
      </c>
      <c r="CV540" t="s">
        <v>190</v>
      </c>
      <c r="CW540" t="s">
        <v>12</v>
      </c>
      <c r="CX540" t="s">
        <v>12</v>
      </c>
      <c r="CY540" t="s">
        <v>12</v>
      </c>
      <c r="DA540" t="s">
        <v>104</v>
      </c>
      <c r="DD540" t="s">
        <v>93</v>
      </c>
      <c r="DQ540" t="s">
        <v>94</v>
      </c>
      <c r="DR540" t="s">
        <v>94</v>
      </c>
      <c r="DS540" t="s">
        <v>94</v>
      </c>
      <c r="DT540" t="s">
        <v>94</v>
      </c>
      <c r="DU540" t="s">
        <v>94</v>
      </c>
      <c r="DV540" t="s">
        <v>94</v>
      </c>
      <c r="DW540" t="s">
        <v>94</v>
      </c>
      <c r="DX540" s="2" t="s">
        <v>94</v>
      </c>
      <c r="DY540" t="s">
        <v>94</v>
      </c>
      <c r="DZ540" t="s">
        <v>94</v>
      </c>
      <c r="EA540" t="s">
        <v>94</v>
      </c>
      <c r="EB540" t="s">
        <v>94</v>
      </c>
      <c r="EC540" t="s">
        <v>94</v>
      </c>
      <c r="ED540" t="s">
        <v>94</v>
      </c>
      <c r="EE540" t="s">
        <v>89</v>
      </c>
      <c r="EF540" t="s">
        <v>425</v>
      </c>
      <c r="EG540" t="s">
        <v>105</v>
      </c>
      <c r="EJ540" t="s">
        <v>526</v>
      </c>
      <c r="EK540" t="b">
        <v>0</v>
      </c>
      <c r="EL540" t="b">
        <v>0</v>
      </c>
      <c r="EM540" t="b">
        <v>0</v>
      </c>
    </row>
    <row r="541" spans="3:143" ht="15">
      <c r="C541" s="82" t="s">
        <v>205</v>
      </c>
      <c r="D541" s="5"/>
      <c r="E541" s="4">
        <v>5</v>
      </c>
      <c r="F541" s="5">
        <v>21.25</v>
      </c>
      <c r="G541" s="5" t="s">
        <v>7019</v>
      </c>
      <c r="H541" s="4" t="s">
        <v>7020</v>
      </c>
      <c r="I541" s="81" t="s">
        <v>817</v>
      </c>
      <c r="J541" s="21"/>
      <c r="K541" s="22" t="s">
        <v>7003</v>
      </c>
      <c r="L541" s="84" t="s">
        <v>7004</v>
      </c>
      <c r="M541" s="23" t="s">
        <v>817</v>
      </c>
      <c r="N541" s="23">
        <v>43953</v>
      </c>
      <c r="O541" s="24" t="s">
        <v>102</v>
      </c>
      <c r="P541" s="24" t="s">
        <v>181</v>
      </c>
      <c r="Q541" s="24">
        <v>5</v>
      </c>
      <c r="R541" s="24">
        <v>21.25</v>
      </c>
      <c r="S541" t="s">
        <v>11</v>
      </c>
      <c r="T541">
        <v>1050</v>
      </c>
      <c r="U541" s="2" t="s">
        <v>163</v>
      </c>
      <c r="V541">
        <v>43953.816122685188</v>
      </c>
      <c r="W541" s="2" t="s">
        <v>444</v>
      </c>
      <c r="X541">
        <v>43953.826180555552</v>
      </c>
      <c r="AB541" t="s">
        <v>9</v>
      </c>
      <c r="AC541" t="s">
        <v>6283</v>
      </c>
      <c r="AD541" t="s">
        <v>182</v>
      </c>
      <c r="AE541">
        <v>20951901</v>
      </c>
      <c r="AF541">
        <v>20951901</v>
      </c>
      <c r="AG541" t="s">
        <v>183</v>
      </c>
      <c r="AH541" t="s">
        <v>7005</v>
      </c>
      <c r="AI541" t="s">
        <v>7005</v>
      </c>
      <c r="AJ541" t="s">
        <v>369</v>
      </c>
      <c r="AK541" t="s">
        <v>370</v>
      </c>
      <c r="AL541" t="s">
        <v>7006</v>
      </c>
      <c r="AO541" t="s">
        <v>7007</v>
      </c>
      <c r="AP541" t="s">
        <v>6287</v>
      </c>
      <c r="AQ541" t="s">
        <v>996</v>
      </c>
      <c r="AR541">
        <v>2229</v>
      </c>
      <c r="AS541">
        <v>285564000</v>
      </c>
      <c r="AT541" t="s">
        <v>7008</v>
      </c>
      <c r="AU541" t="s">
        <v>10</v>
      </c>
      <c r="AV541" t="s">
        <v>7009</v>
      </c>
      <c r="AW541" t="s">
        <v>7009</v>
      </c>
      <c r="AX541" t="s">
        <v>7010</v>
      </c>
      <c r="AY541" s="2" t="s">
        <v>7011</v>
      </c>
      <c r="AZ541" t="s">
        <v>7012</v>
      </c>
      <c r="BA541" t="s">
        <v>271</v>
      </c>
      <c r="BB541" t="s">
        <v>272</v>
      </c>
      <c r="BC541" t="s">
        <v>188</v>
      </c>
      <c r="BD541">
        <v>518050</v>
      </c>
      <c r="BE541">
        <v>-18923898125</v>
      </c>
      <c r="BF541" t="s">
        <v>7013</v>
      </c>
      <c r="BG541" t="b">
        <v>0</v>
      </c>
      <c r="BH541" s="6" t="s">
        <v>7014</v>
      </c>
      <c r="BI541" t="s">
        <v>7015</v>
      </c>
      <c r="BJ541">
        <v>4453163191</v>
      </c>
      <c r="BK541" t="s">
        <v>162</v>
      </c>
      <c r="BL541" t="s">
        <v>161</v>
      </c>
      <c r="BM541" s="2"/>
      <c r="BO541" t="s">
        <v>89</v>
      </c>
      <c r="BP541">
        <v>90182000</v>
      </c>
      <c r="BR541" t="s">
        <v>189</v>
      </c>
      <c r="BS541" t="s">
        <v>103</v>
      </c>
      <c r="BU541">
        <v>0</v>
      </c>
      <c r="BV541">
        <v>136.5</v>
      </c>
      <c r="BW541">
        <v>0</v>
      </c>
      <c r="BX541">
        <v>0</v>
      </c>
      <c r="BY541">
        <v>0</v>
      </c>
      <c r="BZ541">
        <v>0</v>
      </c>
      <c r="CA541">
        <v>136.5</v>
      </c>
      <c r="CF541" s="2"/>
      <c r="CH541" s="2"/>
      <c r="CJ541">
        <v>5.3142020950079002E+17</v>
      </c>
      <c r="CK541" t="s">
        <v>7016</v>
      </c>
      <c r="CL541">
        <v>43953.376261574071</v>
      </c>
      <c r="CO541" t="s">
        <v>11</v>
      </c>
      <c r="CP541">
        <v>1050</v>
      </c>
      <c r="CQ541" t="s">
        <v>11</v>
      </c>
      <c r="CR541">
        <v>1050</v>
      </c>
      <c r="CV541" t="s">
        <v>190</v>
      </c>
      <c r="CW541" t="s">
        <v>12</v>
      </c>
      <c r="CX541" t="s">
        <v>12</v>
      </c>
      <c r="CY541" t="s">
        <v>12</v>
      </c>
      <c r="DA541" t="s">
        <v>104</v>
      </c>
      <c r="DD541" t="s">
        <v>93</v>
      </c>
      <c r="DQ541" t="s">
        <v>94</v>
      </c>
      <c r="DR541" t="s">
        <v>94</v>
      </c>
      <c r="DS541" t="s">
        <v>94</v>
      </c>
      <c r="DT541" t="s">
        <v>94</v>
      </c>
      <c r="DU541" t="s">
        <v>94</v>
      </c>
      <c r="DV541" t="s">
        <v>94</v>
      </c>
      <c r="DW541" t="s">
        <v>94</v>
      </c>
      <c r="DX541" s="2" t="s">
        <v>94</v>
      </c>
      <c r="DY541" t="s">
        <v>94</v>
      </c>
      <c r="DZ541" t="s">
        <v>94</v>
      </c>
      <c r="EA541" t="s">
        <v>94</v>
      </c>
      <c r="EB541" t="s">
        <v>94</v>
      </c>
      <c r="EC541" t="s">
        <v>94</v>
      </c>
      <c r="ED541" t="s">
        <v>94</v>
      </c>
      <c r="EE541" t="s">
        <v>89</v>
      </c>
      <c r="EF541" t="s">
        <v>425</v>
      </c>
      <c r="EG541" t="s">
        <v>105</v>
      </c>
      <c r="EJ541" t="s">
        <v>166</v>
      </c>
      <c r="EK541" t="b">
        <v>0</v>
      </c>
      <c r="EL541" t="b">
        <v>0</v>
      </c>
      <c r="EM541" t="b">
        <v>0</v>
      </c>
    </row>
    <row r="542" spans="3:143" ht="15">
      <c r="C542" s="82">
        <v>3</v>
      </c>
      <c r="D542" s="5"/>
      <c r="E542" s="4">
        <v>2</v>
      </c>
      <c r="F542" s="5">
        <v>3</v>
      </c>
      <c r="G542" s="5" t="s">
        <v>7057</v>
      </c>
      <c r="H542" s="4" t="s">
        <v>7058</v>
      </c>
      <c r="I542" s="81" t="s">
        <v>466</v>
      </c>
      <c r="J542" s="21"/>
      <c r="K542" s="22" t="s">
        <v>7021</v>
      </c>
      <c r="L542" s="84" t="s">
        <v>6991</v>
      </c>
      <c r="M542" s="23" t="s">
        <v>466</v>
      </c>
      <c r="N542" s="23">
        <v>43945</v>
      </c>
      <c r="O542" s="24" t="s">
        <v>102</v>
      </c>
      <c r="P542" s="24" t="s">
        <v>181</v>
      </c>
      <c r="Q542" s="24">
        <v>2</v>
      </c>
      <c r="R542" s="24">
        <v>3</v>
      </c>
      <c r="S542" t="s">
        <v>319</v>
      </c>
      <c r="T542">
        <v>92.12</v>
      </c>
      <c r="U542" s="2" t="s">
        <v>163</v>
      </c>
      <c r="V542">
        <v>43945.852905092594</v>
      </c>
      <c r="W542" s="2" t="s">
        <v>444</v>
      </c>
      <c r="X542">
        <v>43945.912615740737</v>
      </c>
      <c r="AB542" t="s">
        <v>9</v>
      </c>
      <c r="AC542" t="s">
        <v>773</v>
      </c>
      <c r="AD542" t="s">
        <v>182</v>
      </c>
      <c r="AE542" t="s">
        <v>183</v>
      </c>
      <c r="AF542" t="s">
        <v>183</v>
      </c>
      <c r="AG542" t="s">
        <v>6769</v>
      </c>
      <c r="AH542" t="s">
        <v>7022</v>
      </c>
      <c r="AI542" t="s">
        <v>7022</v>
      </c>
      <c r="AJ542" t="s">
        <v>776</v>
      </c>
      <c r="AK542" t="s">
        <v>777</v>
      </c>
      <c r="AL542" t="s">
        <v>7023</v>
      </c>
      <c r="AM542" t="s">
        <v>7024</v>
      </c>
      <c r="AN542" t="s">
        <v>7025</v>
      </c>
      <c r="AO542" t="s">
        <v>7026</v>
      </c>
      <c r="AP542" t="s">
        <v>781</v>
      </c>
      <c r="AQ542" t="s">
        <v>782</v>
      </c>
      <c r="AR542">
        <v>45472</v>
      </c>
      <c r="AS542">
        <v>492083777787</v>
      </c>
      <c r="AT542" t="s">
        <v>7027</v>
      </c>
      <c r="AU542" t="s">
        <v>10</v>
      </c>
      <c r="AV542" t="s">
        <v>6714</v>
      </c>
      <c r="AW542" t="s">
        <v>6714</v>
      </c>
      <c r="AX542" t="s">
        <v>6715</v>
      </c>
      <c r="AY542" s="2" t="s">
        <v>6716</v>
      </c>
      <c r="BA542" t="s">
        <v>1002</v>
      </c>
      <c r="BB542" t="s">
        <v>187</v>
      </c>
      <c r="BC542" t="s">
        <v>188</v>
      </c>
      <c r="BD542">
        <v>518116</v>
      </c>
      <c r="BE542" t="s">
        <v>6717</v>
      </c>
      <c r="BF542" t="s">
        <v>6718</v>
      </c>
      <c r="BG542" t="b">
        <v>0</v>
      </c>
      <c r="BH542" s="6"/>
      <c r="BI542" t="s">
        <v>7028</v>
      </c>
      <c r="BJ542">
        <v>4453163191</v>
      </c>
      <c r="BK542" t="s">
        <v>162</v>
      </c>
      <c r="BL542" t="s">
        <v>161</v>
      </c>
      <c r="BM542" s="2"/>
      <c r="BN542" t="s">
        <v>6721</v>
      </c>
      <c r="BO542" t="s">
        <v>89</v>
      </c>
      <c r="BP542">
        <v>90191010</v>
      </c>
      <c r="BR542" t="s">
        <v>3461</v>
      </c>
      <c r="BS542" t="s">
        <v>103</v>
      </c>
      <c r="BU542">
        <v>64.790000000000006</v>
      </c>
      <c r="BV542">
        <v>92.64</v>
      </c>
      <c r="BW542">
        <v>0</v>
      </c>
      <c r="BX542">
        <v>0</v>
      </c>
      <c r="BY542">
        <v>0</v>
      </c>
      <c r="BZ542">
        <v>0</v>
      </c>
      <c r="CA542">
        <v>157.43</v>
      </c>
      <c r="CF542" s="2"/>
      <c r="CH542" s="2"/>
      <c r="CJ542">
        <v>5.3142020950075302E+17</v>
      </c>
      <c r="CK542" t="s">
        <v>1849</v>
      </c>
      <c r="CL542">
        <v>43945.556539351855</v>
      </c>
      <c r="CO542" t="s">
        <v>11</v>
      </c>
      <c r="CP542">
        <v>648.54</v>
      </c>
      <c r="CQ542" t="s">
        <v>11</v>
      </c>
      <c r="CR542">
        <v>648.54</v>
      </c>
      <c r="CV542" t="s">
        <v>525</v>
      </c>
      <c r="CW542" t="s">
        <v>12</v>
      </c>
      <c r="CX542" t="s">
        <v>12</v>
      </c>
      <c r="CY542" t="s">
        <v>12</v>
      </c>
      <c r="DA542" t="s">
        <v>104</v>
      </c>
      <c r="DD542" t="s">
        <v>93</v>
      </c>
      <c r="DQ542" t="s">
        <v>94</v>
      </c>
      <c r="DR542" t="s">
        <v>94</v>
      </c>
      <c r="DS542" t="s">
        <v>94</v>
      </c>
      <c r="DT542" t="s">
        <v>94</v>
      </c>
      <c r="DU542" t="s">
        <v>94</v>
      </c>
      <c r="DV542" t="s">
        <v>94</v>
      </c>
      <c r="DW542" t="s">
        <v>94</v>
      </c>
      <c r="DX542" s="2" t="s">
        <v>94</v>
      </c>
      <c r="DY542" t="s">
        <v>94</v>
      </c>
      <c r="DZ542" t="s">
        <v>94</v>
      </c>
      <c r="EA542" t="s">
        <v>94</v>
      </c>
      <c r="EB542" t="s">
        <v>94</v>
      </c>
      <c r="EC542" t="s">
        <v>94</v>
      </c>
      <c r="ED542" t="s">
        <v>94</v>
      </c>
      <c r="EE542" t="s">
        <v>89</v>
      </c>
      <c r="EF542" t="s">
        <v>425</v>
      </c>
      <c r="EG542" t="s">
        <v>105</v>
      </c>
      <c r="EJ542" t="s">
        <v>166</v>
      </c>
      <c r="EK542" t="b">
        <v>0</v>
      </c>
      <c r="EL542" t="b">
        <v>0</v>
      </c>
      <c r="EM542" t="b">
        <v>0</v>
      </c>
    </row>
    <row r="543" spans="3:143" ht="15">
      <c r="C543" s="82">
        <v>23</v>
      </c>
      <c r="D543" s="5"/>
      <c r="E543" s="4">
        <v>1</v>
      </c>
      <c r="F543" s="5">
        <v>16</v>
      </c>
      <c r="G543" s="5" t="s">
        <v>7059</v>
      </c>
      <c r="H543" s="4" t="s">
        <v>7060</v>
      </c>
      <c r="I543" s="81" t="s">
        <v>466</v>
      </c>
      <c r="J543" s="21"/>
      <c r="K543" s="22" t="s">
        <v>7029</v>
      </c>
      <c r="L543" s="84" t="s">
        <v>7030</v>
      </c>
      <c r="M543" s="23" t="s">
        <v>466</v>
      </c>
      <c r="N543" s="23">
        <v>43944</v>
      </c>
      <c r="O543" s="24" t="s">
        <v>102</v>
      </c>
      <c r="P543" s="24" t="s">
        <v>181</v>
      </c>
      <c r="Q543" s="24">
        <v>1</v>
      </c>
      <c r="R543" s="24">
        <v>16</v>
      </c>
      <c r="S543" t="s">
        <v>11</v>
      </c>
      <c r="T543">
        <v>2109.84</v>
      </c>
      <c r="U543" s="2" t="s">
        <v>163</v>
      </c>
      <c r="V543">
        <v>43948.620196759257</v>
      </c>
      <c r="W543" s="2" t="s">
        <v>444</v>
      </c>
      <c r="X543">
        <v>43948.661215277774</v>
      </c>
      <c r="AB543" t="s">
        <v>9</v>
      </c>
      <c r="AC543" t="s">
        <v>7031</v>
      </c>
      <c r="AD543" t="s">
        <v>819</v>
      </c>
      <c r="AE543" t="s">
        <v>7061</v>
      </c>
      <c r="AF543" t="s">
        <v>7061</v>
      </c>
      <c r="AG543" t="s">
        <v>183</v>
      </c>
      <c r="AH543" t="s">
        <v>7032</v>
      </c>
      <c r="AI543" t="s">
        <v>7032</v>
      </c>
      <c r="AJ543" t="s">
        <v>2983</v>
      </c>
      <c r="AK543" t="s">
        <v>2984</v>
      </c>
      <c r="AL543" t="s">
        <v>7033</v>
      </c>
      <c r="AO543" t="s">
        <v>7034</v>
      </c>
      <c r="AP543" t="s">
        <v>7035</v>
      </c>
      <c r="AR543">
        <v>6000</v>
      </c>
      <c r="AS543">
        <v>676885827</v>
      </c>
      <c r="AT543" t="s">
        <v>7036</v>
      </c>
      <c r="AU543" t="s">
        <v>10</v>
      </c>
      <c r="AV543" t="s">
        <v>7037</v>
      </c>
      <c r="AW543" t="s">
        <v>7037</v>
      </c>
      <c r="AX543" t="s">
        <v>7038</v>
      </c>
      <c r="AY543" s="2" t="s">
        <v>7039</v>
      </c>
      <c r="AZ543" t="s">
        <v>3455</v>
      </c>
      <c r="BA543" t="s">
        <v>7040</v>
      </c>
      <c r="BB543" t="s">
        <v>7041</v>
      </c>
      <c r="BC543" t="s">
        <v>188</v>
      </c>
      <c r="BD543">
        <v>524022</v>
      </c>
      <c r="BE543" t="s">
        <v>7062</v>
      </c>
      <c r="BF543" t="s">
        <v>7042</v>
      </c>
      <c r="BG543" t="b">
        <v>0</v>
      </c>
      <c r="BH543" s="6" t="s">
        <v>7043</v>
      </c>
      <c r="BI543" t="s">
        <v>7044</v>
      </c>
      <c r="BJ543">
        <v>4453163191</v>
      </c>
      <c r="BK543" t="s">
        <v>162</v>
      </c>
      <c r="BL543" t="s">
        <v>161</v>
      </c>
      <c r="BM543" s="2"/>
      <c r="BO543" t="s">
        <v>89</v>
      </c>
      <c r="BP543">
        <v>7318159001</v>
      </c>
      <c r="BR543" t="s">
        <v>189</v>
      </c>
      <c r="BS543" t="s">
        <v>103</v>
      </c>
      <c r="BU543">
        <v>168.79</v>
      </c>
      <c r="BV543">
        <v>296.22000000000003</v>
      </c>
      <c r="BW543">
        <v>0</v>
      </c>
      <c r="BX543">
        <v>0</v>
      </c>
      <c r="BY543">
        <v>0</v>
      </c>
      <c r="BZ543">
        <v>0</v>
      </c>
      <c r="CA543">
        <v>465.01</v>
      </c>
      <c r="CF543" s="2"/>
      <c r="CH543" s="2"/>
      <c r="CJ543">
        <v>5.3142020950074502E+17</v>
      </c>
      <c r="CK543" t="s">
        <v>1849</v>
      </c>
      <c r="CL543">
        <v>43944.564629629633</v>
      </c>
      <c r="CO543" t="s">
        <v>11</v>
      </c>
      <c r="CP543">
        <v>2109.84</v>
      </c>
      <c r="CQ543" t="s">
        <v>11</v>
      </c>
      <c r="CR543">
        <v>2109.84</v>
      </c>
      <c r="CV543" t="s">
        <v>190</v>
      </c>
      <c r="CW543" t="s">
        <v>12</v>
      </c>
      <c r="CX543" t="s">
        <v>12</v>
      </c>
      <c r="CY543" t="s">
        <v>12</v>
      </c>
      <c r="DA543" t="s">
        <v>104</v>
      </c>
      <c r="DD543" t="s">
        <v>93</v>
      </c>
      <c r="DQ543" t="s">
        <v>94</v>
      </c>
      <c r="DR543" t="s">
        <v>94</v>
      </c>
      <c r="DS543" t="s">
        <v>94</v>
      </c>
      <c r="DT543" t="s">
        <v>94</v>
      </c>
      <c r="DU543" t="s">
        <v>94</v>
      </c>
      <c r="DV543" t="s">
        <v>94</v>
      </c>
      <c r="DW543" t="s">
        <v>94</v>
      </c>
      <c r="DX543" s="2" t="s">
        <v>94</v>
      </c>
      <c r="DY543" t="s">
        <v>94</v>
      </c>
      <c r="DZ543" t="s">
        <v>94</v>
      </c>
      <c r="EA543" t="s">
        <v>94</v>
      </c>
      <c r="EB543" t="s">
        <v>94</v>
      </c>
      <c r="EC543" t="s">
        <v>94</v>
      </c>
      <c r="ED543" t="s">
        <v>94</v>
      </c>
      <c r="EE543" t="s">
        <v>89</v>
      </c>
      <c r="EF543" t="s">
        <v>425</v>
      </c>
      <c r="EG543" t="s">
        <v>105</v>
      </c>
      <c r="EJ543" t="s">
        <v>166</v>
      </c>
      <c r="EK543" t="b">
        <v>0</v>
      </c>
      <c r="EL543" t="b">
        <v>0</v>
      </c>
      <c r="EM543" t="b">
        <v>0</v>
      </c>
    </row>
    <row r="544" spans="3:143" ht="15">
      <c r="C544" s="82">
        <v>141</v>
      </c>
      <c r="D544" s="5"/>
      <c r="E544" s="4">
        <v>1</v>
      </c>
      <c r="F544" s="5">
        <v>5.75</v>
      </c>
      <c r="G544" s="5" t="s">
        <v>7063</v>
      </c>
      <c r="H544" s="4" t="s">
        <v>7064</v>
      </c>
      <c r="I544" s="81" t="s">
        <v>817</v>
      </c>
      <c r="J544" s="21"/>
      <c r="K544" s="22" t="s">
        <v>7045</v>
      </c>
      <c r="L544" s="84" t="s">
        <v>7004</v>
      </c>
      <c r="M544" s="23" t="s">
        <v>817</v>
      </c>
      <c r="N544" s="23">
        <v>43953</v>
      </c>
      <c r="O544" s="24" t="s">
        <v>102</v>
      </c>
      <c r="P544" s="24" t="s">
        <v>179</v>
      </c>
      <c r="Q544" s="24">
        <v>1</v>
      </c>
      <c r="R544" s="24">
        <v>5.75</v>
      </c>
      <c r="S544" t="s">
        <v>11</v>
      </c>
      <c r="T544">
        <v>350</v>
      </c>
      <c r="U544" s="2" t="s">
        <v>163</v>
      </c>
      <c r="V544">
        <v>43953.816261574073</v>
      </c>
      <c r="W544" s="2" t="s">
        <v>444</v>
      </c>
      <c r="X544">
        <v>43953.826180555552</v>
      </c>
      <c r="AB544" t="s">
        <v>9</v>
      </c>
      <c r="AC544" t="s">
        <v>4877</v>
      </c>
      <c r="AD544" t="s">
        <v>182</v>
      </c>
      <c r="AE544" t="s">
        <v>7065</v>
      </c>
      <c r="AF544" t="s">
        <v>7065</v>
      </c>
      <c r="AG544" t="s">
        <v>183</v>
      </c>
      <c r="AH544" t="s">
        <v>7046</v>
      </c>
      <c r="AI544" t="s">
        <v>7046</v>
      </c>
      <c r="AJ544" t="s">
        <v>373</v>
      </c>
      <c r="AK544" t="s">
        <v>430</v>
      </c>
      <c r="AL544" t="s">
        <v>7047</v>
      </c>
      <c r="AO544" t="s">
        <v>7048</v>
      </c>
      <c r="AP544" t="s">
        <v>4882</v>
      </c>
      <c r="AR544">
        <v>31048</v>
      </c>
      <c r="AS544">
        <v>-88635961893</v>
      </c>
      <c r="AT544" t="s">
        <v>7049</v>
      </c>
      <c r="AU544" t="s">
        <v>10</v>
      </c>
      <c r="AV544" t="s">
        <v>7050</v>
      </c>
      <c r="AW544" t="s">
        <v>7050</v>
      </c>
      <c r="AX544" t="s">
        <v>7051</v>
      </c>
      <c r="AY544" s="2" t="s">
        <v>7052</v>
      </c>
      <c r="AZ544" t="s">
        <v>7053</v>
      </c>
      <c r="BA544" t="s">
        <v>186</v>
      </c>
      <c r="BB544" t="s">
        <v>187</v>
      </c>
      <c r="BC544" t="s">
        <v>188</v>
      </c>
      <c r="BD544">
        <v>518107</v>
      </c>
      <c r="BE544" t="s">
        <v>7066</v>
      </c>
      <c r="BF544" t="s">
        <v>7054</v>
      </c>
      <c r="BG544" t="b">
        <v>0</v>
      </c>
      <c r="BH544" s="6" t="s">
        <v>7055</v>
      </c>
      <c r="BI544" t="s">
        <v>7056</v>
      </c>
      <c r="BJ544">
        <v>4453163191</v>
      </c>
      <c r="BK544" t="s">
        <v>162</v>
      </c>
      <c r="BL544" t="s">
        <v>161</v>
      </c>
      <c r="BM544" s="2"/>
      <c r="BO544" t="s">
        <v>89</v>
      </c>
      <c r="BP544">
        <v>73102910</v>
      </c>
      <c r="BR544" t="s">
        <v>180</v>
      </c>
      <c r="BS544" t="s">
        <v>103</v>
      </c>
      <c r="BU544">
        <v>0</v>
      </c>
      <c r="BV544">
        <v>0</v>
      </c>
      <c r="BW544">
        <v>0</v>
      </c>
      <c r="BX544">
        <v>0</v>
      </c>
      <c r="BY544">
        <v>0</v>
      </c>
      <c r="BZ544">
        <v>0</v>
      </c>
      <c r="CA544">
        <v>0</v>
      </c>
      <c r="CF544" s="2"/>
      <c r="CH544" s="2"/>
      <c r="CJ544">
        <v>5.3142020950079002E+17</v>
      </c>
      <c r="CK544" t="s">
        <v>7016</v>
      </c>
      <c r="CL544">
        <v>43953.374502314815</v>
      </c>
      <c r="CO544" t="s">
        <v>11</v>
      </c>
      <c r="CP544">
        <v>350</v>
      </c>
      <c r="CQ544" t="s">
        <v>11</v>
      </c>
      <c r="CR544">
        <v>350</v>
      </c>
      <c r="CV544" t="s">
        <v>190</v>
      </c>
      <c r="CW544" t="s">
        <v>12</v>
      </c>
      <c r="CX544" t="s">
        <v>12</v>
      </c>
      <c r="CY544" t="s">
        <v>12</v>
      </c>
      <c r="DA544" t="s">
        <v>104</v>
      </c>
      <c r="DD544" t="s">
        <v>93</v>
      </c>
      <c r="DQ544" t="s">
        <v>94</v>
      </c>
      <c r="DR544" t="s">
        <v>94</v>
      </c>
      <c r="DS544" t="s">
        <v>94</v>
      </c>
      <c r="DT544" t="s">
        <v>94</v>
      </c>
      <c r="DU544" t="s">
        <v>94</v>
      </c>
      <c r="DV544" t="s">
        <v>94</v>
      </c>
      <c r="DW544" t="s">
        <v>94</v>
      </c>
      <c r="DX544" s="2" t="s">
        <v>94</v>
      </c>
      <c r="DY544" t="s">
        <v>94</v>
      </c>
      <c r="DZ544" t="s">
        <v>94</v>
      </c>
      <c r="EA544" t="s">
        <v>94</v>
      </c>
      <c r="EB544" t="s">
        <v>94</v>
      </c>
      <c r="EC544" t="s">
        <v>94</v>
      </c>
      <c r="ED544" t="s">
        <v>94</v>
      </c>
      <c r="EE544" t="s">
        <v>89</v>
      </c>
      <c r="EF544" t="s">
        <v>425</v>
      </c>
      <c r="EG544" t="s">
        <v>105</v>
      </c>
      <c r="EJ544" t="s">
        <v>166</v>
      </c>
      <c r="EK544" t="b">
        <v>0</v>
      </c>
      <c r="EL544" t="b">
        <v>0</v>
      </c>
      <c r="EM544" t="b">
        <v>0</v>
      </c>
    </row>
    <row r="545" spans="3:143" ht="15">
      <c r="C545" s="82">
        <v>13</v>
      </c>
      <c r="D545" s="5"/>
      <c r="E545" s="4">
        <v>1</v>
      </c>
      <c r="F545" s="5">
        <v>1.25</v>
      </c>
      <c r="G545" s="5" t="s">
        <v>7080</v>
      </c>
      <c r="H545" s="4" t="s">
        <v>691</v>
      </c>
      <c r="I545" s="81" t="s">
        <v>164</v>
      </c>
      <c r="J545" s="21"/>
      <c r="K545" s="22" t="s">
        <v>7067</v>
      </c>
      <c r="L545" s="84" t="s">
        <v>7068</v>
      </c>
      <c r="M545" s="23" t="s">
        <v>447</v>
      </c>
      <c r="N545" s="23">
        <v>43958</v>
      </c>
      <c r="O545" s="24" t="s">
        <v>102</v>
      </c>
      <c r="P545" s="24" t="s">
        <v>179</v>
      </c>
      <c r="Q545" s="24">
        <v>1</v>
      </c>
      <c r="R545" s="24">
        <v>1.25</v>
      </c>
      <c r="S545" t="s">
        <v>528</v>
      </c>
      <c r="T545">
        <v>30.25</v>
      </c>
      <c r="U545" s="2" t="s">
        <v>163</v>
      </c>
      <c r="V545">
        <v>43958.806666666664</v>
      </c>
      <c r="W545" s="2" t="s">
        <v>444</v>
      </c>
      <c r="X545">
        <v>43958.969953703701</v>
      </c>
      <c r="AB545" t="s">
        <v>9</v>
      </c>
      <c r="AC545" t="s">
        <v>883</v>
      </c>
      <c r="AD545" t="s">
        <v>200</v>
      </c>
      <c r="AE545">
        <v>70243014</v>
      </c>
      <c r="AF545">
        <v>70243014</v>
      </c>
      <c r="AG545" t="s">
        <v>183</v>
      </c>
      <c r="AH545" t="s">
        <v>7069</v>
      </c>
      <c r="AI545" t="s">
        <v>7069</v>
      </c>
      <c r="AJ545" t="s">
        <v>776</v>
      </c>
      <c r="AK545" t="s">
        <v>777</v>
      </c>
      <c r="AL545" t="s">
        <v>7070</v>
      </c>
      <c r="AO545" t="s">
        <v>7071</v>
      </c>
      <c r="AP545" t="s">
        <v>888</v>
      </c>
      <c r="AQ545" t="s">
        <v>889</v>
      </c>
      <c r="AR545">
        <v>9217</v>
      </c>
      <c r="AS545" t="s">
        <v>7072</v>
      </c>
      <c r="AT545" t="s">
        <v>7073</v>
      </c>
      <c r="AU545" t="s">
        <v>10</v>
      </c>
      <c r="AV545" t="s">
        <v>7074</v>
      </c>
      <c r="AW545" t="s">
        <v>7074</v>
      </c>
      <c r="AX545" t="s">
        <v>7075</v>
      </c>
      <c r="AY545" s="2" t="s">
        <v>7076</v>
      </c>
      <c r="BA545" t="s">
        <v>2092</v>
      </c>
      <c r="BB545" t="s">
        <v>2093</v>
      </c>
      <c r="BC545" t="s">
        <v>188</v>
      </c>
      <c r="BD545">
        <v>528143</v>
      </c>
      <c r="BE545">
        <v>86757872706018</v>
      </c>
      <c r="BF545" t="s">
        <v>7077</v>
      </c>
      <c r="BG545" t="b">
        <v>0</v>
      </c>
      <c r="BH545" s="6" t="s">
        <v>7078</v>
      </c>
      <c r="BI545" t="s">
        <v>7079</v>
      </c>
      <c r="BJ545">
        <v>4453163191</v>
      </c>
      <c r="BK545" t="s">
        <v>162</v>
      </c>
      <c r="BL545" t="s">
        <v>161</v>
      </c>
      <c r="BM545" s="2"/>
      <c r="BO545" t="s">
        <v>89</v>
      </c>
      <c r="BP545">
        <v>3907999990</v>
      </c>
      <c r="BR545" t="s">
        <v>189</v>
      </c>
      <c r="BS545" t="s">
        <v>103</v>
      </c>
      <c r="BU545">
        <v>0</v>
      </c>
      <c r="BV545">
        <v>0</v>
      </c>
      <c r="BW545">
        <v>0</v>
      </c>
      <c r="BX545">
        <v>0</v>
      </c>
      <c r="BY545">
        <v>0</v>
      </c>
      <c r="BZ545">
        <v>0</v>
      </c>
      <c r="CA545">
        <v>0</v>
      </c>
      <c r="CF545" s="2"/>
      <c r="CH545" s="2"/>
      <c r="CJ545">
        <v>5.3142020950081702E+17</v>
      </c>
      <c r="CK545" t="s">
        <v>2648</v>
      </c>
      <c r="CL545">
        <v>43958.554791666669</v>
      </c>
      <c r="CO545" t="s">
        <v>11</v>
      </c>
      <c r="CP545">
        <v>233.73</v>
      </c>
      <c r="CQ545" t="s">
        <v>11</v>
      </c>
      <c r="CR545">
        <v>233.73</v>
      </c>
      <c r="CV545" t="s">
        <v>190</v>
      </c>
      <c r="CW545" t="s">
        <v>12</v>
      </c>
      <c r="CX545" t="s">
        <v>12</v>
      </c>
      <c r="CY545" t="s">
        <v>12</v>
      </c>
      <c r="DA545" t="s">
        <v>104</v>
      </c>
      <c r="DD545" t="s">
        <v>93</v>
      </c>
      <c r="DQ545" t="s">
        <v>94</v>
      </c>
      <c r="DR545" t="s">
        <v>94</v>
      </c>
      <c r="DS545" t="s">
        <v>94</v>
      </c>
      <c r="DT545" t="s">
        <v>94</v>
      </c>
      <c r="DU545" t="s">
        <v>94</v>
      </c>
      <c r="DV545" t="s">
        <v>94</v>
      </c>
      <c r="DW545" t="s">
        <v>94</v>
      </c>
      <c r="DX545" s="2" t="s">
        <v>94</v>
      </c>
      <c r="DY545" t="s">
        <v>94</v>
      </c>
      <c r="DZ545" t="s">
        <v>94</v>
      </c>
      <c r="EA545" t="s">
        <v>94</v>
      </c>
      <c r="EB545" t="s">
        <v>94</v>
      </c>
      <c r="EC545" t="s">
        <v>94</v>
      </c>
      <c r="ED545" t="s">
        <v>94</v>
      </c>
      <c r="EE545" t="s">
        <v>89</v>
      </c>
      <c r="EF545" t="s">
        <v>425</v>
      </c>
      <c r="EG545" t="s">
        <v>105</v>
      </c>
      <c r="EJ545" t="s">
        <v>166</v>
      </c>
      <c r="EK545" t="b">
        <v>0</v>
      </c>
      <c r="EL545" t="b">
        <v>0</v>
      </c>
      <c r="EM545" t="b">
        <v>0</v>
      </c>
    </row>
    <row r="546" spans="3:143" ht="15">
      <c r="C546" s="82">
        <v>13</v>
      </c>
      <c r="D546" s="5"/>
      <c r="E546" s="4">
        <v>1</v>
      </c>
      <c r="F546" s="5">
        <v>5.05</v>
      </c>
      <c r="G546" s="5" t="s">
        <v>7090</v>
      </c>
      <c r="H546" s="4" t="s">
        <v>7091</v>
      </c>
      <c r="I546" s="81" t="s">
        <v>817</v>
      </c>
      <c r="J546" s="21" t="b">
        <v>1</v>
      </c>
      <c r="K546" s="22" t="s">
        <v>7081</v>
      </c>
      <c r="L546" s="84" t="s">
        <v>7004</v>
      </c>
      <c r="M546" s="23" t="s">
        <v>817</v>
      </c>
      <c r="N546" s="23">
        <v>43953</v>
      </c>
      <c r="O546" s="24" t="s">
        <v>102</v>
      </c>
      <c r="P546" s="24" t="s">
        <v>179</v>
      </c>
      <c r="Q546" s="24">
        <v>1</v>
      </c>
      <c r="R546" s="24">
        <v>5.05</v>
      </c>
      <c r="S546" t="s">
        <v>11</v>
      </c>
      <c r="T546">
        <v>250</v>
      </c>
      <c r="U546" s="2" t="s">
        <v>163</v>
      </c>
      <c r="V546">
        <v>43953.816006944442</v>
      </c>
      <c r="W546" s="2" t="s">
        <v>444</v>
      </c>
      <c r="X546">
        <v>43953.826180555552</v>
      </c>
      <c r="AB546" t="s">
        <v>9</v>
      </c>
      <c r="AC546" t="s">
        <v>6513</v>
      </c>
      <c r="AD546" t="s">
        <v>191</v>
      </c>
      <c r="AE546">
        <v>105125</v>
      </c>
      <c r="AF546">
        <v>105125</v>
      </c>
      <c r="AG546" t="s">
        <v>183</v>
      </c>
      <c r="AH546" t="s">
        <v>7082</v>
      </c>
      <c r="AI546" t="s">
        <v>7082</v>
      </c>
      <c r="AJ546" t="s">
        <v>6515</v>
      </c>
      <c r="AK546" t="s">
        <v>6516</v>
      </c>
      <c r="AL546" t="s">
        <v>7083</v>
      </c>
      <c r="AO546" t="s">
        <v>6518</v>
      </c>
      <c r="AP546" t="s">
        <v>6519</v>
      </c>
      <c r="AR546" t="s">
        <v>7084</v>
      </c>
      <c r="AS546">
        <v>-37129550476</v>
      </c>
      <c r="AT546" t="s">
        <v>7085</v>
      </c>
      <c r="AU546" t="s">
        <v>10</v>
      </c>
      <c r="AV546" t="s">
        <v>7086</v>
      </c>
      <c r="AW546" t="s">
        <v>7086</v>
      </c>
      <c r="AX546" t="s">
        <v>7087</v>
      </c>
      <c r="AY546" s="2"/>
      <c r="BA546" t="s">
        <v>726</v>
      </c>
      <c r="BB546" t="s">
        <v>192</v>
      </c>
      <c r="BC546" t="s">
        <v>188</v>
      </c>
      <c r="BD546">
        <v>523477</v>
      </c>
      <c r="BE546">
        <v>-8618566566393</v>
      </c>
      <c r="BF546" t="s">
        <v>7088</v>
      </c>
      <c r="BG546" t="b">
        <v>0</v>
      </c>
      <c r="BH546" s="6" t="s">
        <v>6029</v>
      </c>
      <c r="BI546" t="s">
        <v>7089</v>
      </c>
      <c r="BJ546">
        <v>4453163191</v>
      </c>
      <c r="BK546" t="s">
        <v>162</v>
      </c>
      <c r="BL546" t="s">
        <v>161</v>
      </c>
      <c r="BM546" s="2"/>
      <c r="BO546" t="s">
        <v>89</v>
      </c>
      <c r="BP546">
        <v>39241000</v>
      </c>
      <c r="BR546" t="s">
        <v>180</v>
      </c>
      <c r="BS546" t="s">
        <v>103</v>
      </c>
      <c r="BU546">
        <v>0</v>
      </c>
      <c r="BV546">
        <v>0</v>
      </c>
      <c r="BW546">
        <v>0</v>
      </c>
      <c r="BX546">
        <v>0</v>
      </c>
      <c r="BY546">
        <v>0</v>
      </c>
      <c r="BZ546">
        <v>0</v>
      </c>
      <c r="CA546">
        <v>0</v>
      </c>
      <c r="CF546" s="2"/>
      <c r="CH546" s="2"/>
      <c r="CJ546">
        <v>5.3142020950079002E+17</v>
      </c>
      <c r="CK546" t="s">
        <v>7016</v>
      </c>
      <c r="CL546">
        <v>43953.373379629629</v>
      </c>
      <c r="CO546" t="s">
        <v>11</v>
      </c>
      <c r="CP546">
        <v>250</v>
      </c>
      <c r="CQ546" t="s">
        <v>11</v>
      </c>
      <c r="CR546">
        <v>250</v>
      </c>
      <c r="CV546" t="s">
        <v>190</v>
      </c>
      <c r="CW546" t="s">
        <v>12</v>
      </c>
      <c r="CX546" t="s">
        <v>12</v>
      </c>
      <c r="CY546" t="s">
        <v>12</v>
      </c>
      <c r="DA546" t="s">
        <v>104</v>
      </c>
      <c r="DD546" t="s">
        <v>93</v>
      </c>
      <c r="DQ546" t="s">
        <v>94</v>
      </c>
      <c r="DR546" t="s">
        <v>94</v>
      </c>
      <c r="DS546" t="s">
        <v>94</v>
      </c>
      <c r="DT546" t="s">
        <v>94</v>
      </c>
      <c r="DU546" t="s">
        <v>94</v>
      </c>
      <c r="DV546" t="s">
        <v>94</v>
      </c>
      <c r="DW546" t="s">
        <v>94</v>
      </c>
      <c r="DX546" s="2" t="s">
        <v>94</v>
      </c>
      <c r="DY546" t="s">
        <v>94</v>
      </c>
      <c r="DZ546" t="s">
        <v>94</v>
      </c>
      <c r="EA546" t="s">
        <v>94</v>
      </c>
      <c r="EB546" t="s">
        <v>94</v>
      </c>
      <c r="EC546" t="s">
        <v>94</v>
      </c>
      <c r="ED546" t="s">
        <v>94</v>
      </c>
      <c r="EE546" t="s">
        <v>89</v>
      </c>
      <c r="EF546" t="s">
        <v>425</v>
      </c>
      <c r="EG546" t="s">
        <v>105</v>
      </c>
      <c r="EJ546" t="s">
        <v>166</v>
      </c>
      <c r="EK546" t="b">
        <v>0</v>
      </c>
      <c r="EL546" t="b">
        <v>0</v>
      </c>
      <c r="EM546" t="b">
        <v>0</v>
      </c>
    </row>
    <row r="547" spans="3:143" ht="15">
      <c r="C547" s="82">
        <v>13</v>
      </c>
      <c r="D547" s="5"/>
      <c r="E547" s="4">
        <v>1</v>
      </c>
      <c r="F547" s="5">
        <v>1.05</v>
      </c>
      <c r="G547" s="5" t="s">
        <v>7147</v>
      </c>
      <c r="H547" s="4" t="s">
        <v>7148</v>
      </c>
      <c r="I547" s="81" t="s">
        <v>920</v>
      </c>
      <c r="J547" s="21"/>
      <c r="K547" s="22" t="s">
        <v>7092</v>
      </c>
      <c r="L547" s="84" t="s">
        <v>7093</v>
      </c>
      <c r="M547" s="23" t="s">
        <v>920</v>
      </c>
      <c r="N547" s="23">
        <v>43959</v>
      </c>
      <c r="O547" s="24" t="s">
        <v>102</v>
      </c>
      <c r="P547" s="24" t="s">
        <v>179</v>
      </c>
      <c r="Q547" s="24">
        <v>1</v>
      </c>
      <c r="R547" s="24">
        <v>1.05</v>
      </c>
      <c r="S547" t="s">
        <v>319</v>
      </c>
      <c r="T547">
        <v>35</v>
      </c>
      <c r="U547" s="2" t="s">
        <v>163</v>
      </c>
      <c r="V547">
        <v>43959.8046412037</v>
      </c>
      <c r="W547" s="2" t="s">
        <v>444</v>
      </c>
      <c r="X547">
        <v>43959.810231481482</v>
      </c>
      <c r="AB547" t="s">
        <v>9</v>
      </c>
      <c r="AC547" t="s">
        <v>2909</v>
      </c>
      <c r="AD547" t="s">
        <v>182</v>
      </c>
      <c r="AE547">
        <v>3004101</v>
      </c>
      <c r="AF547">
        <v>3004101</v>
      </c>
      <c r="AG547" t="s">
        <v>183</v>
      </c>
      <c r="AH547" t="s">
        <v>7094</v>
      </c>
      <c r="AI547" t="s">
        <v>7094</v>
      </c>
      <c r="AJ547" t="s">
        <v>2786</v>
      </c>
      <c r="AK547" t="s">
        <v>2787</v>
      </c>
      <c r="AL547" t="s">
        <v>3722</v>
      </c>
      <c r="AM547" t="s">
        <v>3723</v>
      </c>
      <c r="AO547" t="s">
        <v>3724</v>
      </c>
      <c r="AP547" t="s">
        <v>2914</v>
      </c>
      <c r="AQ547" t="s">
        <v>3725</v>
      </c>
      <c r="AR547" t="s">
        <v>7149</v>
      </c>
      <c r="AS547">
        <v>-5811</v>
      </c>
      <c r="AT547" t="s">
        <v>7095</v>
      </c>
      <c r="AU547" t="s">
        <v>10</v>
      </c>
      <c r="AV547" t="s">
        <v>7096</v>
      </c>
      <c r="AW547" t="s">
        <v>7096</v>
      </c>
      <c r="AX547" t="s">
        <v>7097</v>
      </c>
      <c r="AY547" s="2" t="s">
        <v>7098</v>
      </c>
      <c r="AZ547" t="s">
        <v>7099</v>
      </c>
      <c r="BA547" t="s">
        <v>194</v>
      </c>
      <c r="BB547" t="s">
        <v>272</v>
      </c>
      <c r="BC547" t="s">
        <v>188</v>
      </c>
      <c r="BD547">
        <v>518067</v>
      </c>
      <c r="BE547" t="s">
        <v>7100</v>
      </c>
      <c r="BF547" t="s">
        <v>7101</v>
      </c>
      <c r="BG547" t="b">
        <v>0</v>
      </c>
      <c r="BH547" s="6" t="s">
        <v>7102</v>
      </c>
      <c r="BI547" t="s">
        <v>7103</v>
      </c>
      <c r="BJ547">
        <v>4453163191</v>
      </c>
      <c r="BK547" t="s">
        <v>162</v>
      </c>
      <c r="BL547" t="s">
        <v>161</v>
      </c>
      <c r="BM547" s="2"/>
      <c r="BO547" t="s">
        <v>89</v>
      </c>
      <c r="BP547">
        <v>95030089</v>
      </c>
      <c r="BR547" t="s">
        <v>180</v>
      </c>
      <c r="BS547" t="s">
        <v>103</v>
      </c>
      <c r="BU547">
        <v>0</v>
      </c>
      <c r="BV547">
        <v>0</v>
      </c>
      <c r="BW547">
        <v>0</v>
      </c>
      <c r="BX547">
        <v>0</v>
      </c>
      <c r="BY547">
        <v>0</v>
      </c>
      <c r="BZ547">
        <v>0</v>
      </c>
      <c r="CA547">
        <v>0</v>
      </c>
      <c r="CF547" s="2"/>
      <c r="CH547" s="2"/>
      <c r="CJ547">
        <v>5.3142020950082502E+17</v>
      </c>
      <c r="CK547" t="s">
        <v>4402</v>
      </c>
      <c r="CL547">
        <v>43959.379756944443</v>
      </c>
      <c r="CO547" t="s">
        <v>11</v>
      </c>
      <c r="CP547" t="s">
        <v>7150</v>
      </c>
      <c r="CQ547" t="s">
        <v>11</v>
      </c>
      <c r="CR547">
        <v>246.41</v>
      </c>
      <c r="CV547" t="s">
        <v>190</v>
      </c>
      <c r="CW547" t="s">
        <v>12</v>
      </c>
      <c r="CX547" t="s">
        <v>12</v>
      </c>
      <c r="CY547" t="s">
        <v>12</v>
      </c>
      <c r="DA547" t="s">
        <v>104</v>
      </c>
      <c r="DD547" t="s">
        <v>93</v>
      </c>
      <c r="DQ547" t="s">
        <v>94</v>
      </c>
      <c r="DR547" t="s">
        <v>94</v>
      </c>
      <c r="DS547" t="s">
        <v>94</v>
      </c>
      <c r="DT547" t="s">
        <v>94</v>
      </c>
      <c r="DU547" t="s">
        <v>94</v>
      </c>
      <c r="DV547" t="s">
        <v>94</v>
      </c>
      <c r="DW547" t="s">
        <v>94</v>
      </c>
      <c r="DX547" s="2" t="s">
        <v>94</v>
      </c>
      <c r="DY547" t="s">
        <v>94</v>
      </c>
      <c r="DZ547" t="s">
        <v>94</v>
      </c>
      <c r="EA547" t="s">
        <v>94</v>
      </c>
      <c r="EB547" t="s">
        <v>94</v>
      </c>
      <c r="EC547" t="s">
        <v>94</v>
      </c>
      <c r="ED547" t="s">
        <v>94</v>
      </c>
      <c r="EE547" t="s">
        <v>89</v>
      </c>
      <c r="EF547" t="s">
        <v>425</v>
      </c>
      <c r="EG547" t="s">
        <v>105</v>
      </c>
      <c r="EJ547" t="s">
        <v>166</v>
      </c>
      <c r="EK547" t="b">
        <v>0</v>
      </c>
      <c r="EL547" t="b">
        <v>0</v>
      </c>
      <c r="EM547" t="b">
        <v>0</v>
      </c>
    </row>
    <row r="548" spans="3:143" ht="15">
      <c r="C548" s="82">
        <v>14</v>
      </c>
      <c r="D548" s="5"/>
      <c r="E548" s="4">
        <v>1</v>
      </c>
      <c r="F548" s="5">
        <v>0.5</v>
      </c>
      <c r="G548" s="5" t="s">
        <v>7151</v>
      </c>
      <c r="H548" s="4" t="s">
        <v>7152</v>
      </c>
      <c r="I548" s="81" t="s">
        <v>466</v>
      </c>
      <c r="J548" s="21"/>
      <c r="K548" s="22" t="s">
        <v>7104</v>
      </c>
      <c r="L548" s="84" t="s">
        <v>7105</v>
      </c>
      <c r="M548" s="23" t="s">
        <v>409</v>
      </c>
      <c r="N548" s="23">
        <v>43960</v>
      </c>
      <c r="O548" s="24" t="s">
        <v>102</v>
      </c>
      <c r="P548" s="24" t="s">
        <v>179</v>
      </c>
      <c r="Q548" s="24">
        <v>1</v>
      </c>
      <c r="R548" s="24">
        <v>0.5</v>
      </c>
      <c r="S548" t="s">
        <v>528</v>
      </c>
      <c r="T548">
        <v>31</v>
      </c>
      <c r="U548" s="2" t="s">
        <v>163</v>
      </c>
      <c r="V548">
        <v>43960.794537037036</v>
      </c>
      <c r="W548" s="2" t="s">
        <v>444</v>
      </c>
      <c r="X548">
        <v>43960.821793981479</v>
      </c>
      <c r="AB548" t="s">
        <v>9</v>
      </c>
      <c r="AC548" t="s">
        <v>7106</v>
      </c>
      <c r="AD548" t="s">
        <v>182</v>
      </c>
      <c r="AE548">
        <v>759990</v>
      </c>
      <c r="AF548">
        <v>759990</v>
      </c>
      <c r="AG548" t="s">
        <v>183</v>
      </c>
      <c r="AH548" t="s">
        <v>7107</v>
      </c>
      <c r="AI548" t="s">
        <v>7107</v>
      </c>
      <c r="AJ548" t="s">
        <v>795</v>
      </c>
      <c r="AK548" t="s">
        <v>796</v>
      </c>
      <c r="AL548" t="s">
        <v>7108</v>
      </c>
      <c r="AO548" t="s">
        <v>7109</v>
      </c>
      <c r="AP548" t="s">
        <v>7110</v>
      </c>
      <c r="AQ548" t="s">
        <v>7109</v>
      </c>
      <c r="AR548" t="s">
        <v>7153</v>
      </c>
      <c r="AS548">
        <v>34952247100</v>
      </c>
      <c r="AT548" t="s">
        <v>7111</v>
      </c>
      <c r="AU548" t="s">
        <v>10</v>
      </c>
      <c r="AV548" t="s">
        <v>7112</v>
      </c>
      <c r="AW548" t="s">
        <v>7112</v>
      </c>
      <c r="AX548" t="s">
        <v>7113</v>
      </c>
      <c r="AY548" s="2" t="s">
        <v>7113</v>
      </c>
      <c r="AZ548" t="s">
        <v>7114</v>
      </c>
      <c r="BA548" t="s">
        <v>194</v>
      </c>
      <c r="BB548" t="s">
        <v>187</v>
      </c>
      <c r="BC548" t="s">
        <v>188</v>
      </c>
      <c r="BD548">
        <v>518129</v>
      </c>
      <c r="BE548" t="s">
        <v>7115</v>
      </c>
      <c r="BF548" t="s">
        <v>7116</v>
      </c>
      <c r="BG548" t="b">
        <v>0</v>
      </c>
      <c r="BH548" s="6" t="s">
        <v>7117</v>
      </c>
      <c r="BI548" t="s">
        <v>7118</v>
      </c>
      <c r="BJ548">
        <v>4453163191</v>
      </c>
      <c r="BK548" t="s">
        <v>162</v>
      </c>
      <c r="BL548" t="s">
        <v>161</v>
      </c>
      <c r="BM548" s="2"/>
      <c r="BO548" t="s">
        <v>89</v>
      </c>
      <c r="BP548">
        <v>6212109020</v>
      </c>
      <c r="BR548" t="s">
        <v>180</v>
      </c>
      <c r="BS548" t="s">
        <v>103</v>
      </c>
      <c r="BU548">
        <v>0</v>
      </c>
      <c r="BV548">
        <v>0</v>
      </c>
      <c r="BW548">
        <v>0</v>
      </c>
      <c r="BX548">
        <v>0</v>
      </c>
      <c r="BY548">
        <v>0</v>
      </c>
      <c r="BZ548">
        <v>0</v>
      </c>
      <c r="CA548">
        <v>0</v>
      </c>
      <c r="CF548" s="2"/>
      <c r="CH548" s="2"/>
      <c r="CJ548">
        <v>5.3142020950083302E+17</v>
      </c>
      <c r="CK548" t="s">
        <v>4402</v>
      </c>
      <c r="CL548">
        <v>43960.374722222223</v>
      </c>
      <c r="CO548" t="s">
        <v>11</v>
      </c>
      <c r="CP548" t="s">
        <v>7154</v>
      </c>
      <c r="CQ548" t="s">
        <v>11</v>
      </c>
      <c r="CR548">
        <v>239.53</v>
      </c>
      <c r="CV548" t="s">
        <v>190</v>
      </c>
      <c r="CW548" t="s">
        <v>12</v>
      </c>
      <c r="CX548" t="s">
        <v>12</v>
      </c>
      <c r="CY548" t="s">
        <v>12</v>
      </c>
      <c r="DA548" t="s">
        <v>104</v>
      </c>
      <c r="DD548" t="s">
        <v>93</v>
      </c>
      <c r="DQ548" t="s">
        <v>94</v>
      </c>
      <c r="DR548" t="s">
        <v>94</v>
      </c>
      <c r="DS548" t="s">
        <v>94</v>
      </c>
      <c r="DT548" t="s">
        <v>94</v>
      </c>
      <c r="DU548" t="s">
        <v>94</v>
      </c>
      <c r="DV548" t="s">
        <v>94</v>
      </c>
      <c r="DW548" t="s">
        <v>94</v>
      </c>
      <c r="DX548" s="2" t="s">
        <v>94</v>
      </c>
      <c r="DY548" t="s">
        <v>94</v>
      </c>
      <c r="DZ548" t="s">
        <v>94</v>
      </c>
      <c r="EA548" t="s">
        <v>94</v>
      </c>
      <c r="EB548" t="s">
        <v>94</v>
      </c>
      <c r="EC548" t="s">
        <v>94</v>
      </c>
      <c r="ED548" t="s">
        <v>94</v>
      </c>
      <c r="EE548" t="s">
        <v>89</v>
      </c>
      <c r="EF548" t="s">
        <v>425</v>
      </c>
      <c r="EG548" t="s">
        <v>105</v>
      </c>
      <c r="EJ548" t="s">
        <v>166</v>
      </c>
      <c r="EK548" t="b">
        <v>0</v>
      </c>
      <c r="EL548" t="b">
        <v>0</v>
      </c>
      <c r="EM548" t="b">
        <v>0</v>
      </c>
    </row>
    <row r="549" spans="3:143" ht="15">
      <c r="C549" s="82">
        <v>14</v>
      </c>
      <c r="D549" s="5"/>
      <c r="E549" s="4">
        <v>1</v>
      </c>
      <c r="F549" s="5">
        <v>1.5</v>
      </c>
      <c r="G549" s="5" t="s">
        <v>7155</v>
      </c>
      <c r="H549" s="4" t="s">
        <v>7156</v>
      </c>
      <c r="I549" s="81" t="s">
        <v>817</v>
      </c>
      <c r="J549" s="21"/>
      <c r="K549" s="22" t="s">
        <v>7119</v>
      </c>
      <c r="L549" s="84" t="s">
        <v>7120</v>
      </c>
      <c r="M549" s="23" t="s">
        <v>817</v>
      </c>
      <c r="N549" s="23">
        <v>43961</v>
      </c>
      <c r="O549" s="24" t="s">
        <v>102</v>
      </c>
      <c r="P549" s="24" t="s">
        <v>181</v>
      </c>
      <c r="Q549" s="24">
        <v>1</v>
      </c>
      <c r="R549" s="24">
        <v>1.5</v>
      </c>
      <c r="S549" t="s">
        <v>528</v>
      </c>
      <c r="T549">
        <v>131</v>
      </c>
      <c r="U549" s="2" t="s">
        <v>163</v>
      </c>
      <c r="V549">
        <v>43961.850717592592</v>
      </c>
      <c r="W549" s="2" t="s">
        <v>444</v>
      </c>
      <c r="X549">
        <v>43963.419178240743</v>
      </c>
      <c r="AB549" t="s">
        <v>9</v>
      </c>
      <c r="AC549" t="s">
        <v>7121</v>
      </c>
      <c r="AD549" t="s">
        <v>191</v>
      </c>
      <c r="AE549">
        <v>34963</v>
      </c>
      <c r="AF549">
        <v>34963</v>
      </c>
      <c r="AG549" t="s">
        <v>183</v>
      </c>
      <c r="AH549" t="s">
        <v>7122</v>
      </c>
      <c r="AI549" t="s">
        <v>7122</v>
      </c>
      <c r="AJ549" t="s">
        <v>7123</v>
      </c>
      <c r="AK549" t="s">
        <v>7124</v>
      </c>
      <c r="AL549" t="s">
        <v>7125</v>
      </c>
      <c r="AO549" t="s">
        <v>7126</v>
      </c>
      <c r="AP549" t="s">
        <v>7127</v>
      </c>
      <c r="AR549" t="s">
        <v>7128</v>
      </c>
      <c r="AS549">
        <v>-421948450318</v>
      </c>
      <c r="AT549" t="s">
        <v>7129</v>
      </c>
      <c r="AU549" t="s">
        <v>10</v>
      </c>
      <c r="AV549" t="s">
        <v>7130</v>
      </c>
      <c r="AW549" t="s">
        <v>7130</v>
      </c>
      <c r="AX549" t="s">
        <v>7131</v>
      </c>
      <c r="AY549" s="2"/>
      <c r="BA549" t="s">
        <v>726</v>
      </c>
      <c r="BB549" t="s">
        <v>192</v>
      </c>
      <c r="BC549" t="s">
        <v>188</v>
      </c>
      <c r="BD549">
        <v>523710</v>
      </c>
      <c r="BE549" t="s">
        <v>7157</v>
      </c>
      <c r="BF549" t="s">
        <v>7132</v>
      </c>
      <c r="BG549" t="b">
        <v>0</v>
      </c>
      <c r="BH549" s="6" t="s">
        <v>7133</v>
      </c>
      <c r="BI549" t="s">
        <v>7134</v>
      </c>
      <c r="BJ549">
        <v>4453163191</v>
      </c>
      <c r="BK549" t="s">
        <v>162</v>
      </c>
      <c r="BL549" t="s">
        <v>161</v>
      </c>
      <c r="BM549" s="2"/>
      <c r="BO549" t="s">
        <v>89</v>
      </c>
      <c r="BP549">
        <v>8529109090</v>
      </c>
      <c r="BR549" t="s">
        <v>189</v>
      </c>
      <c r="BS549" t="s">
        <v>103</v>
      </c>
      <c r="BU549">
        <v>0</v>
      </c>
      <c r="BV549">
        <v>131.59</v>
      </c>
      <c r="BW549">
        <v>0</v>
      </c>
      <c r="BX549">
        <v>0</v>
      </c>
      <c r="BY549">
        <v>0</v>
      </c>
      <c r="BZ549">
        <v>0</v>
      </c>
      <c r="CA549">
        <v>131.59</v>
      </c>
      <c r="CF549" s="2"/>
      <c r="CH549" s="2"/>
      <c r="CJ549">
        <v>5.3142020950083501E+17</v>
      </c>
      <c r="CK549" t="s">
        <v>500</v>
      </c>
      <c r="CL549">
        <v>43961.588472222225</v>
      </c>
      <c r="CO549" t="s">
        <v>11</v>
      </c>
      <c r="CP549" t="s">
        <v>7158</v>
      </c>
      <c r="CQ549" t="s">
        <v>11</v>
      </c>
      <c r="CR549">
        <v>1012.2</v>
      </c>
      <c r="CV549" t="s">
        <v>190</v>
      </c>
      <c r="CW549" t="s">
        <v>12</v>
      </c>
      <c r="CX549" t="s">
        <v>12</v>
      </c>
      <c r="CY549" t="s">
        <v>12</v>
      </c>
      <c r="DA549" t="s">
        <v>104</v>
      </c>
      <c r="DD549" t="s">
        <v>93</v>
      </c>
      <c r="DQ549" t="s">
        <v>94</v>
      </c>
      <c r="DR549" t="s">
        <v>94</v>
      </c>
      <c r="DS549" t="s">
        <v>94</v>
      </c>
      <c r="DT549" t="s">
        <v>94</v>
      </c>
      <c r="DU549" t="s">
        <v>94</v>
      </c>
      <c r="DV549" t="s">
        <v>94</v>
      </c>
      <c r="DW549" t="s">
        <v>94</v>
      </c>
      <c r="DX549" s="2" t="s">
        <v>94</v>
      </c>
      <c r="DY549" t="s">
        <v>94</v>
      </c>
      <c r="DZ549" t="s">
        <v>94</v>
      </c>
      <c r="EA549" t="s">
        <v>94</v>
      </c>
      <c r="EB549" t="s">
        <v>94</v>
      </c>
      <c r="EC549" t="s">
        <v>94</v>
      </c>
      <c r="ED549" t="s">
        <v>94</v>
      </c>
      <c r="EE549" t="s">
        <v>89</v>
      </c>
      <c r="EF549" t="s">
        <v>425</v>
      </c>
      <c r="EG549" t="s">
        <v>105</v>
      </c>
      <c r="EJ549" t="s">
        <v>166</v>
      </c>
      <c r="EK549" t="b">
        <v>0</v>
      </c>
      <c r="EL549" t="b">
        <v>0</v>
      </c>
      <c r="EM549" t="b">
        <v>0</v>
      </c>
    </row>
    <row r="550" spans="3:143">
      <c r="C550" s="4">
        <v>14</v>
      </c>
      <c r="D550" s="4"/>
      <c r="E550" s="4">
        <v>1</v>
      </c>
      <c r="F550" s="4">
        <v>11.44</v>
      </c>
      <c r="G550" s="5" t="s">
        <v>7155</v>
      </c>
      <c r="H550" s="4" t="s">
        <v>7159</v>
      </c>
      <c r="I550" s="4" t="s">
        <v>817</v>
      </c>
      <c r="J550" s="5"/>
      <c r="K550" s="22" t="s">
        <v>7135</v>
      </c>
      <c r="L550" s="84" t="s">
        <v>7120</v>
      </c>
      <c r="M550" s="23" t="s">
        <v>817</v>
      </c>
      <c r="N550" s="23">
        <v>43961</v>
      </c>
      <c r="O550" s="24" t="s">
        <v>102</v>
      </c>
      <c r="P550" s="24" t="s">
        <v>181</v>
      </c>
      <c r="Q550" s="24">
        <v>1</v>
      </c>
      <c r="R550" s="24">
        <v>11.44</v>
      </c>
      <c r="S550" t="s">
        <v>319</v>
      </c>
      <c r="T550">
        <v>650</v>
      </c>
      <c r="U550" s="2" t="s">
        <v>163</v>
      </c>
      <c r="V550">
        <v>43961.850636574076</v>
      </c>
      <c r="W550" s="2" t="s">
        <v>444</v>
      </c>
      <c r="X550">
        <v>43961.856354166666</v>
      </c>
      <c r="AB550" t="s">
        <v>9</v>
      </c>
      <c r="AC550" t="s">
        <v>6736</v>
      </c>
      <c r="AD550" t="s">
        <v>182</v>
      </c>
      <c r="AE550">
        <v>339497</v>
      </c>
      <c r="AF550">
        <v>339497</v>
      </c>
      <c r="AG550" t="s">
        <v>183</v>
      </c>
      <c r="AH550" t="s">
        <v>7136</v>
      </c>
      <c r="AI550" t="s">
        <v>7136</v>
      </c>
      <c r="AJ550" t="s">
        <v>1272</v>
      </c>
      <c r="AK550" t="s">
        <v>1273</v>
      </c>
      <c r="AL550" t="s">
        <v>7137</v>
      </c>
      <c r="AO550" t="s">
        <v>7138</v>
      </c>
      <c r="AP550" t="s">
        <v>6740</v>
      </c>
      <c r="AR550" t="s">
        <v>7139</v>
      </c>
      <c r="AS550">
        <v>-48663448937</v>
      </c>
      <c r="AT550" t="s">
        <v>7140</v>
      </c>
      <c r="AU550" t="s">
        <v>10</v>
      </c>
      <c r="AV550" t="s">
        <v>7141</v>
      </c>
      <c r="AW550" t="s">
        <v>7141</v>
      </c>
      <c r="AX550" t="s">
        <v>7142</v>
      </c>
      <c r="AY550" t="s">
        <v>7143</v>
      </c>
      <c r="AZ550" t="s">
        <v>6716</v>
      </c>
      <c r="BA550" t="s">
        <v>194</v>
      </c>
      <c r="BB550" t="s">
        <v>272</v>
      </c>
      <c r="BC550" t="s">
        <v>188</v>
      </c>
      <c r="BD550">
        <v>518000</v>
      </c>
      <c r="BE550" t="s">
        <v>7160</v>
      </c>
      <c r="BF550" t="s">
        <v>7144</v>
      </c>
      <c r="BG550" t="b">
        <v>0</v>
      </c>
      <c r="BH550" s="6" t="s">
        <v>7145</v>
      </c>
      <c r="BI550" t="s">
        <v>7146</v>
      </c>
      <c r="BJ550">
        <v>4453163191</v>
      </c>
      <c r="BK550" t="s">
        <v>162</v>
      </c>
      <c r="BL550" t="s">
        <v>161</v>
      </c>
      <c r="BM550" s="2"/>
      <c r="BO550" t="s">
        <v>89</v>
      </c>
      <c r="BP550">
        <v>85366900</v>
      </c>
      <c r="BR550" t="s">
        <v>180</v>
      </c>
      <c r="BS550" t="s">
        <v>103</v>
      </c>
      <c r="BU550">
        <v>0</v>
      </c>
      <c r="BV550">
        <v>594.9</v>
      </c>
      <c r="BW550">
        <v>0</v>
      </c>
      <c r="BX550">
        <v>0</v>
      </c>
      <c r="BY550">
        <v>0</v>
      </c>
      <c r="BZ550">
        <v>0</v>
      </c>
      <c r="CA550">
        <v>594.9</v>
      </c>
      <c r="CF550" s="2"/>
      <c r="CH550" s="2"/>
      <c r="CJ550">
        <v>5.3142020950083501E+17</v>
      </c>
      <c r="CK550" t="s">
        <v>500</v>
      </c>
      <c r="CL550">
        <v>43961.588900462964</v>
      </c>
      <c r="CO550" t="s">
        <v>11</v>
      </c>
      <c r="CP550" t="s">
        <v>7161</v>
      </c>
      <c r="CQ550" t="s">
        <v>11</v>
      </c>
      <c r="CR550">
        <v>4576.13</v>
      </c>
      <c r="CV550" t="s">
        <v>190</v>
      </c>
      <c r="CW550" t="s">
        <v>12</v>
      </c>
      <c r="CX550" t="s">
        <v>12</v>
      </c>
      <c r="CY550" t="s">
        <v>12</v>
      </c>
      <c r="DA550" t="s">
        <v>104</v>
      </c>
      <c r="DD550" t="s">
        <v>93</v>
      </c>
      <c r="DQ550" t="s">
        <v>94</v>
      </c>
      <c r="DR550" t="s">
        <v>94</v>
      </c>
      <c r="DS550" t="s">
        <v>94</v>
      </c>
      <c r="DT550" t="s">
        <v>94</v>
      </c>
      <c r="DU550" t="s">
        <v>94</v>
      </c>
      <c r="DV550" t="s">
        <v>94</v>
      </c>
      <c r="DW550" t="s">
        <v>94</v>
      </c>
      <c r="DX550" s="2" t="s">
        <v>94</v>
      </c>
      <c r="DY550" t="s">
        <v>94</v>
      </c>
      <c r="DZ550" t="s">
        <v>94</v>
      </c>
      <c r="EA550" t="s">
        <v>94</v>
      </c>
      <c r="EB550" t="s">
        <v>94</v>
      </c>
      <c r="EC550" t="s">
        <v>94</v>
      </c>
      <c r="ED550" t="s">
        <v>94</v>
      </c>
      <c r="EE550" t="s">
        <v>89</v>
      </c>
      <c r="EF550" t="s">
        <v>425</v>
      </c>
      <c r="EG550" t="s">
        <v>105</v>
      </c>
      <c r="EJ550" t="s">
        <v>166</v>
      </c>
      <c r="EK550" t="b">
        <v>0</v>
      </c>
      <c r="EL550" t="b">
        <v>0</v>
      </c>
      <c r="EM550" t="b">
        <v>0</v>
      </c>
    </row>
    <row r="551" spans="3:143" ht="15">
      <c r="C551" s="82">
        <v>3</v>
      </c>
      <c r="D551" s="5"/>
      <c r="E551" s="4">
        <v>1</v>
      </c>
      <c r="F551" s="5">
        <v>1.4</v>
      </c>
      <c r="G551" s="5" t="s">
        <v>7248</v>
      </c>
      <c r="H551" s="4" t="s">
        <v>7249</v>
      </c>
      <c r="I551" s="81" t="s">
        <v>466</v>
      </c>
      <c r="J551" s="21"/>
      <c r="K551" s="22" t="s">
        <v>7226</v>
      </c>
      <c r="L551" s="84" t="s">
        <v>7227</v>
      </c>
      <c r="M551" s="23" t="s">
        <v>409</v>
      </c>
      <c r="N551" s="23">
        <v>43970</v>
      </c>
      <c r="O551" s="24" t="s">
        <v>102</v>
      </c>
      <c r="P551" s="24" t="s">
        <v>181</v>
      </c>
      <c r="Q551" s="24">
        <v>1</v>
      </c>
      <c r="R551" s="24">
        <v>1.4</v>
      </c>
      <c r="S551" t="s">
        <v>319</v>
      </c>
      <c r="T551">
        <v>248</v>
      </c>
      <c r="U551" s="2" t="s">
        <v>163</v>
      </c>
      <c r="V551">
        <v>43970.794548611113</v>
      </c>
      <c r="W551" s="2" t="s">
        <v>444</v>
      </c>
      <c r="X551">
        <v>43970.809918981482</v>
      </c>
      <c r="AB551" t="s">
        <v>9</v>
      </c>
      <c r="AC551" t="s">
        <v>7228</v>
      </c>
      <c r="AD551" t="s">
        <v>182</v>
      </c>
      <c r="AE551" t="s">
        <v>7250</v>
      </c>
      <c r="AF551" t="s">
        <v>7250</v>
      </c>
      <c r="AG551" t="s">
        <v>183</v>
      </c>
      <c r="AH551" t="s">
        <v>7229</v>
      </c>
      <c r="AI551" t="s">
        <v>7229</v>
      </c>
      <c r="AJ551" t="s">
        <v>184</v>
      </c>
      <c r="AK551" t="s">
        <v>185</v>
      </c>
      <c r="AL551" t="s">
        <v>7230</v>
      </c>
      <c r="AO551" t="s">
        <v>7231</v>
      </c>
      <c r="AP551" t="s">
        <v>7232</v>
      </c>
      <c r="AQ551" t="s">
        <v>7233</v>
      </c>
      <c r="AR551" t="s">
        <v>7234</v>
      </c>
      <c r="AS551">
        <v>1773537375</v>
      </c>
      <c r="AT551" t="s">
        <v>7235</v>
      </c>
      <c r="AU551" t="s">
        <v>10</v>
      </c>
      <c r="AV551" t="s">
        <v>7236</v>
      </c>
      <c r="AW551" t="s">
        <v>7237</v>
      </c>
      <c r="AX551" t="s">
        <v>7238</v>
      </c>
      <c r="AY551" s="2" t="s">
        <v>7239</v>
      </c>
      <c r="AZ551" t="s">
        <v>7240</v>
      </c>
      <c r="BA551" t="s">
        <v>2525</v>
      </c>
      <c r="BB551" t="s">
        <v>272</v>
      </c>
      <c r="BC551" t="s">
        <v>188</v>
      </c>
      <c r="BD551">
        <v>518048</v>
      </c>
      <c r="BE551" t="s">
        <v>7251</v>
      </c>
      <c r="BF551" t="s">
        <v>7241</v>
      </c>
      <c r="BG551" t="b">
        <v>0</v>
      </c>
      <c r="BH551" s="6" t="s">
        <v>7242</v>
      </c>
      <c r="BI551" t="s">
        <v>7243</v>
      </c>
      <c r="BJ551">
        <v>4453163191</v>
      </c>
      <c r="BK551" t="s">
        <v>162</v>
      </c>
      <c r="BL551" t="s">
        <v>161</v>
      </c>
      <c r="BM551" s="2"/>
      <c r="BO551" t="s">
        <v>89</v>
      </c>
      <c r="BP551">
        <v>84713010</v>
      </c>
      <c r="BR551" t="s">
        <v>180</v>
      </c>
      <c r="BS551" t="s">
        <v>103</v>
      </c>
      <c r="BU551">
        <v>0</v>
      </c>
      <c r="BV551">
        <v>226.98</v>
      </c>
      <c r="BW551">
        <v>0</v>
      </c>
      <c r="BX551">
        <v>0</v>
      </c>
      <c r="BY551">
        <v>0</v>
      </c>
      <c r="BZ551">
        <v>0</v>
      </c>
      <c r="CA551">
        <v>226.98</v>
      </c>
      <c r="CF551" s="2"/>
      <c r="CH551" s="2"/>
      <c r="CJ551">
        <v>5.3142020950088602E+17</v>
      </c>
      <c r="CK551" t="s">
        <v>4402</v>
      </c>
      <c r="CL551">
        <v>43970.379930555559</v>
      </c>
      <c r="CO551" t="s">
        <v>11</v>
      </c>
      <c r="CP551" t="s">
        <v>7252</v>
      </c>
      <c r="CQ551" t="s">
        <v>11</v>
      </c>
      <c r="CR551">
        <v>1745.97</v>
      </c>
      <c r="CV551" t="s">
        <v>190</v>
      </c>
      <c r="CW551" t="s">
        <v>12</v>
      </c>
      <c r="CX551" t="s">
        <v>12</v>
      </c>
      <c r="CY551" t="s">
        <v>12</v>
      </c>
      <c r="DA551" t="s">
        <v>104</v>
      </c>
      <c r="DD551" t="s">
        <v>93</v>
      </c>
      <c r="DQ551" t="s">
        <v>94</v>
      </c>
      <c r="DR551" t="s">
        <v>94</v>
      </c>
      <c r="DS551" t="s">
        <v>94</v>
      </c>
      <c r="DT551" t="s">
        <v>94</v>
      </c>
      <c r="DU551" t="s">
        <v>94</v>
      </c>
      <c r="DV551" t="s">
        <v>94</v>
      </c>
      <c r="DW551" t="s">
        <v>94</v>
      </c>
      <c r="DX551" s="2" t="s">
        <v>94</v>
      </c>
      <c r="DY551" t="s">
        <v>94</v>
      </c>
      <c r="DZ551" t="s">
        <v>94</v>
      </c>
      <c r="EA551" t="s">
        <v>94</v>
      </c>
      <c r="EB551" t="s">
        <v>94</v>
      </c>
      <c r="EC551" t="s">
        <v>94</v>
      </c>
      <c r="ED551" t="s">
        <v>94</v>
      </c>
      <c r="EE551" t="s">
        <v>89</v>
      </c>
      <c r="EF551" t="s">
        <v>425</v>
      </c>
      <c r="EG551" t="s">
        <v>7244</v>
      </c>
      <c r="EJ551" t="s">
        <v>166</v>
      </c>
      <c r="EK551" t="b">
        <v>0</v>
      </c>
      <c r="EL551" t="b">
        <v>0</v>
      </c>
      <c r="EM551" t="b">
        <v>0</v>
      </c>
    </row>
    <row r="552" spans="3:143">
      <c r="C552" s="4">
        <v>3</v>
      </c>
      <c r="D552" s="4"/>
      <c r="E552" s="4">
        <v>1</v>
      </c>
      <c r="F552" s="4">
        <v>5</v>
      </c>
      <c r="G552" s="5" t="s">
        <v>7253</v>
      </c>
      <c r="H552" s="4" t="s">
        <v>7254</v>
      </c>
      <c r="I552" s="4" t="s">
        <v>920</v>
      </c>
      <c r="J552" s="5"/>
      <c r="K552" s="22" t="s">
        <v>7189</v>
      </c>
      <c r="L552" s="84" t="s">
        <v>7190</v>
      </c>
      <c r="M552" s="23" t="s">
        <v>920</v>
      </c>
      <c r="N552" s="23">
        <v>43967</v>
      </c>
      <c r="O552" s="24" t="s">
        <v>102</v>
      </c>
      <c r="P552" s="24" t="s">
        <v>179</v>
      </c>
      <c r="Q552" s="24">
        <v>1</v>
      </c>
      <c r="R552" s="24">
        <v>5</v>
      </c>
      <c r="S552" t="s">
        <v>11</v>
      </c>
      <c r="T552">
        <v>300</v>
      </c>
      <c r="U552" s="2" t="s">
        <v>163</v>
      </c>
      <c r="V552">
        <v>43967.796724537038</v>
      </c>
      <c r="W552" s="2" t="s">
        <v>444</v>
      </c>
      <c r="X552">
        <v>43967.800162037034</v>
      </c>
      <c r="AB552" t="s">
        <v>9</v>
      </c>
      <c r="AC552" t="s">
        <v>4414</v>
      </c>
      <c r="AD552" t="s">
        <v>819</v>
      </c>
      <c r="AE552" t="s">
        <v>7255</v>
      </c>
      <c r="AF552" t="s">
        <v>7255</v>
      </c>
      <c r="AG552" t="s">
        <v>183</v>
      </c>
      <c r="AH552" t="s">
        <v>7191</v>
      </c>
      <c r="AI552" t="s">
        <v>7191</v>
      </c>
      <c r="AJ552" t="s">
        <v>776</v>
      </c>
      <c r="AK552" t="s">
        <v>777</v>
      </c>
      <c r="AL552" t="s">
        <v>7192</v>
      </c>
      <c r="AO552" t="s">
        <v>7193</v>
      </c>
      <c r="AP552" t="s">
        <v>4418</v>
      </c>
      <c r="AQ552" t="s">
        <v>5801</v>
      </c>
      <c r="AR552" t="s">
        <v>7256</v>
      </c>
      <c r="AS552">
        <v>4030902413</v>
      </c>
      <c r="AT552" t="s">
        <v>7194</v>
      </c>
      <c r="AU552" t="s">
        <v>10</v>
      </c>
      <c r="AV552" t="s">
        <v>7195</v>
      </c>
      <c r="AW552" t="s">
        <v>7195</v>
      </c>
      <c r="AX552" t="s">
        <v>7196</v>
      </c>
      <c r="AY552" t="s">
        <v>7197</v>
      </c>
      <c r="BA552" t="s">
        <v>2410</v>
      </c>
      <c r="BB552" t="s">
        <v>1524</v>
      </c>
      <c r="BC552" t="s">
        <v>188</v>
      </c>
      <c r="BD552">
        <v>529040</v>
      </c>
      <c r="BE552" t="s">
        <v>7257</v>
      </c>
      <c r="BF552" t="s">
        <v>7198</v>
      </c>
      <c r="BG552" t="b">
        <v>0</v>
      </c>
      <c r="BH552" s="6" t="s">
        <v>7199</v>
      </c>
      <c r="BI552" t="s">
        <v>7200</v>
      </c>
      <c r="BJ552">
        <v>4453163191</v>
      </c>
      <c r="BK552" t="s">
        <v>162</v>
      </c>
      <c r="BL552" t="s">
        <v>161</v>
      </c>
      <c r="BM552" s="2"/>
      <c r="BO552" t="s">
        <v>89</v>
      </c>
      <c r="BP552">
        <v>3907999990</v>
      </c>
      <c r="BR552" t="s">
        <v>189</v>
      </c>
      <c r="BS552" t="s">
        <v>103</v>
      </c>
      <c r="BU552">
        <v>0</v>
      </c>
      <c r="BV552">
        <v>0</v>
      </c>
      <c r="BW552">
        <v>0</v>
      </c>
      <c r="BX552">
        <v>0</v>
      </c>
      <c r="BY552">
        <v>0</v>
      </c>
      <c r="BZ552">
        <v>0</v>
      </c>
      <c r="CA552">
        <v>0</v>
      </c>
      <c r="CF552" s="2"/>
      <c r="CH552" s="2"/>
      <c r="CJ552">
        <v>5.3142020950087501E+17</v>
      </c>
      <c r="CK552" t="s">
        <v>1849</v>
      </c>
      <c r="CL552">
        <v>43967.372465277775</v>
      </c>
      <c r="CO552" t="s">
        <v>11</v>
      </c>
      <c r="CP552" t="s">
        <v>1623</v>
      </c>
      <c r="CQ552" t="s">
        <v>11</v>
      </c>
      <c r="CR552">
        <v>300</v>
      </c>
      <c r="CV552" t="s">
        <v>190</v>
      </c>
      <c r="CW552" t="s">
        <v>12</v>
      </c>
      <c r="CX552" t="s">
        <v>12</v>
      </c>
      <c r="CY552" t="s">
        <v>12</v>
      </c>
      <c r="DA552" t="s">
        <v>104</v>
      </c>
      <c r="DD552" t="s">
        <v>93</v>
      </c>
      <c r="DQ552" t="s">
        <v>94</v>
      </c>
      <c r="DR552" t="s">
        <v>94</v>
      </c>
      <c r="DS552" t="s">
        <v>94</v>
      </c>
      <c r="DT552" t="s">
        <v>94</v>
      </c>
      <c r="DU552" t="s">
        <v>94</v>
      </c>
      <c r="DV552" t="s">
        <v>94</v>
      </c>
      <c r="DW552" t="s">
        <v>94</v>
      </c>
      <c r="DX552" s="2" t="s">
        <v>94</v>
      </c>
      <c r="DY552" t="s">
        <v>94</v>
      </c>
      <c r="DZ552" t="s">
        <v>94</v>
      </c>
      <c r="EA552" t="s">
        <v>94</v>
      </c>
      <c r="EB552" t="s">
        <v>94</v>
      </c>
      <c r="EC552" t="s">
        <v>94</v>
      </c>
      <c r="ED552" t="s">
        <v>94</v>
      </c>
      <c r="EE552" t="s">
        <v>89</v>
      </c>
      <c r="EF552" t="s">
        <v>425</v>
      </c>
      <c r="EG552" t="s">
        <v>105</v>
      </c>
      <c r="EJ552" t="s">
        <v>166</v>
      </c>
      <c r="EK552" t="b">
        <v>0</v>
      </c>
      <c r="EL552" t="b">
        <v>0</v>
      </c>
      <c r="EM552" t="b">
        <v>0</v>
      </c>
    </row>
    <row r="553" spans="3:143">
      <c r="C553" s="4">
        <v>3</v>
      </c>
      <c r="D553" s="5"/>
      <c r="E553" s="5">
        <v>1</v>
      </c>
      <c r="F553" s="4">
        <v>21.9</v>
      </c>
      <c r="G553" s="5" t="s">
        <v>7253</v>
      </c>
      <c r="H553" s="4" t="s">
        <v>5544</v>
      </c>
      <c r="I553" s="4" t="s">
        <v>920</v>
      </c>
      <c r="J553" s="4"/>
      <c r="K553" s="22" t="s">
        <v>7201</v>
      </c>
      <c r="L553" s="84" t="s">
        <v>7190</v>
      </c>
      <c r="M553" s="23" t="s">
        <v>920</v>
      </c>
      <c r="N553" s="23">
        <v>43967</v>
      </c>
      <c r="O553" s="24" t="s">
        <v>102</v>
      </c>
      <c r="P553" s="24" t="s">
        <v>181</v>
      </c>
      <c r="Q553" s="24">
        <v>1</v>
      </c>
      <c r="R553" s="24">
        <v>21.9</v>
      </c>
      <c r="S553" t="s">
        <v>528</v>
      </c>
      <c r="T553">
        <v>380.5</v>
      </c>
      <c r="U553" s="2" t="s">
        <v>163</v>
      </c>
      <c r="V553">
        <v>43967.796643518515</v>
      </c>
      <c r="W553" s="2" t="s">
        <v>444</v>
      </c>
      <c r="X553">
        <v>43967.852824074071</v>
      </c>
      <c r="AB553" t="s">
        <v>9</v>
      </c>
      <c r="AC553" t="s">
        <v>5996</v>
      </c>
      <c r="AD553" t="s">
        <v>182</v>
      </c>
      <c r="AE553" t="s">
        <v>7258</v>
      </c>
      <c r="AF553" t="s">
        <v>7258</v>
      </c>
      <c r="AG553" t="s">
        <v>183</v>
      </c>
      <c r="AH553" t="s">
        <v>7202</v>
      </c>
      <c r="AI553" t="s">
        <v>7202</v>
      </c>
      <c r="AJ553" t="s">
        <v>2637</v>
      </c>
      <c r="AK553" t="s">
        <v>2638</v>
      </c>
      <c r="AL553" t="s">
        <v>7203</v>
      </c>
      <c r="AO553" t="s">
        <v>7204</v>
      </c>
      <c r="AP553" t="s">
        <v>6001</v>
      </c>
      <c r="AR553" t="s">
        <v>7259</v>
      </c>
      <c r="AS553">
        <v>-494073445660</v>
      </c>
      <c r="AT553" t="s">
        <v>7205</v>
      </c>
      <c r="AU553" t="s">
        <v>10</v>
      </c>
      <c r="AV553" t="s">
        <v>7206</v>
      </c>
      <c r="AW553" t="s">
        <v>7206</v>
      </c>
      <c r="AX553" t="s">
        <v>7207</v>
      </c>
      <c r="AY553" t="s">
        <v>7208</v>
      </c>
      <c r="AZ553" t="s">
        <v>4114</v>
      </c>
      <c r="BA553" t="s">
        <v>1002</v>
      </c>
      <c r="BB553" t="s">
        <v>187</v>
      </c>
      <c r="BC553" t="s">
        <v>188</v>
      </c>
      <c r="BD553">
        <v>518115</v>
      </c>
      <c r="BE553" t="s">
        <v>7260</v>
      </c>
      <c r="BF553" t="s">
        <v>7209</v>
      </c>
      <c r="BG553" t="b">
        <v>0</v>
      </c>
      <c r="BH553" s="6" t="s">
        <v>7210</v>
      </c>
      <c r="BI553" t="s">
        <v>7211</v>
      </c>
      <c r="BJ553">
        <v>4453163191</v>
      </c>
      <c r="BK553" t="s">
        <v>162</v>
      </c>
      <c r="BL553" t="s">
        <v>161</v>
      </c>
      <c r="BM553" s="2"/>
      <c r="BO553" t="s">
        <v>89</v>
      </c>
      <c r="BP553">
        <v>3907999990</v>
      </c>
      <c r="BR553" t="s">
        <v>180</v>
      </c>
      <c r="BS553" t="s">
        <v>103</v>
      </c>
      <c r="BU553">
        <v>191.1</v>
      </c>
      <c r="BV553">
        <v>407.04</v>
      </c>
      <c r="BW553">
        <v>0</v>
      </c>
      <c r="BX553">
        <v>0</v>
      </c>
      <c r="BY553">
        <v>0</v>
      </c>
      <c r="BZ553">
        <v>0</v>
      </c>
      <c r="CA553">
        <v>598.14</v>
      </c>
      <c r="CF553" s="2"/>
      <c r="CH553" s="2"/>
      <c r="CJ553">
        <v>5.3142020950087501E+17</v>
      </c>
      <c r="CK553" t="s">
        <v>1849</v>
      </c>
      <c r="CL553">
        <v>43967.372650462959</v>
      </c>
      <c r="CO553" t="s">
        <v>11</v>
      </c>
      <c r="CP553" t="s">
        <v>7261</v>
      </c>
      <c r="CQ553" t="s">
        <v>11</v>
      </c>
      <c r="CR553">
        <v>2940.01</v>
      </c>
      <c r="CV553" t="s">
        <v>190</v>
      </c>
      <c r="CW553" t="s">
        <v>12</v>
      </c>
      <c r="CX553" t="s">
        <v>12</v>
      </c>
      <c r="CY553" t="s">
        <v>12</v>
      </c>
      <c r="DA553" t="s">
        <v>104</v>
      </c>
      <c r="DD553" t="s">
        <v>93</v>
      </c>
      <c r="DQ553" t="s">
        <v>94</v>
      </c>
      <c r="DR553" t="s">
        <v>94</v>
      </c>
      <c r="DS553" t="s">
        <v>94</v>
      </c>
      <c r="DT553" t="s">
        <v>94</v>
      </c>
      <c r="DU553" t="s">
        <v>94</v>
      </c>
      <c r="DV553" t="s">
        <v>94</v>
      </c>
      <c r="DW553" t="s">
        <v>94</v>
      </c>
      <c r="DX553" s="2" t="s">
        <v>94</v>
      </c>
      <c r="DY553" t="s">
        <v>94</v>
      </c>
      <c r="DZ553" t="s">
        <v>94</v>
      </c>
      <c r="EA553" t="s">
        <v>94</v>
      </c>
      <c r="EB553" t="s">
        <v>94</v>
      </c>
      <c r="EC553" t="s">
        <v>94</v>
      </c>
      <c r="ED553" t="s">
        <v>94</v>
      </c>
      <c r="EE553" t="s">
        <v>89</v>
      </c>
      <c r="EF553" t="s">
        <v>425</v>
      </c>
      <c r="EG553" t="s">
        <v>105</v>
      </c>
      <c r="EJ553" t="s">
        <v>166</v>
      </c>
      <c r="EK553" t="b">
        <v>0</v>
      </c>
      <c r="EL553" t="b">
        <v>0</v>
      </c>
      <c r="EM553" t="b">
        <v>0</v>
      </c>
    </row>
    <row r="554" spans="3:143">
      <c r="C554" s="4">
        <v>3</v>
      </c>
      <c r="D554" s="5"/>
      <c r="E554" s="4">
        <v>1</v>
      </c>
      <c r="F554" s="4">
        <v>6</v>
      </c>
      <c r="G554" s="5" t="s">
        <v>7253</v>
      </c>
      <c r="H554" s="4" t="s">
        <v>7262</v>
      </c>
      <c r="I554" s="4" t="s">
        <v>920</v>
      </c>
      <c r="J554" s="4"/>
      <c r="K554" s="22" t="s">
        <v>7212</v>
      </c>
      <c r="L554" s="84" t="s">
        <v>7190</v>
      </c>
      <c r="M554" s="23" t="s">
        <v>920</v>
      </c>
      <c r="N554" s="23">
        <v>43967</v>
      </c>
      <c r="O554" s="24" t="s">
        <v>102</v>
      </c>
      <c r="P554" s="24" t="s">
        <v>181</v>
      </c>
      <c r="Q554" s="24">
        <v>1</v>
      </c>
      <c r="R554" s="24">
        <v>6</v>
      </c>
      <c r="S554" t="s">
        <v>11</v>
      </c>
      <c r="T554">
        <v>2300</v>
      </c>
      <c r="U554" s="2" t="s">
        <v>163</v>
      </c>
      <c r="V554">
        <v>43967.796805555554</v>
      </c>
      <c r="W554" s="2" t="s">
        <v>444</v>
      </c>
      <c r="X554">
        <v>43967.800162037034</v>
      </c>
      <c r="AB554" t="s">
        <v>9</v>
      </c>
      <c r="AC554" t="s">
        <v>7213</v>
      </c>
      <c r="AD554" t="s">
        <v>1602</v>
      </c>
      <c r="AE554" t="s">
        <v>7263</v>
      </c>
      <c r="AF554" t="s">
        <v>7263</v>
      </c>
      <c r="AG554" t="s">
        <v>183</v>
      </c>
      <c r="AH554" t="s">
        <v>7214</v>
      </c>
      <c r="AI554" t="s">
        <v>7214</v>
      </c>
      <c r="AJ554" t="s">
        <v>601</v>
      </c>
      <c r="AK554" t="s">
        <v>602</v>
      </c>
      <c r="AL554" t="s">
        <v>7215</v>
      </c>
      <c r="AO554" t="s">
        <v>7216</v>
      </c>
      <c r="AP554" t="s">
        <v>7217</v>
      </c>
      <c r="AQ554" t="s">
        <v>7218</v>
      </c>
      <c r="AR554" t="s">
        <v>7264</v>
      </c>
      <c r="AS554">
        <v>306840605</v>
      </c>
      <c r="AT554" t="s">
        <v>7219</v>
      </c>
      <c r="AU554" t="s">
        <v>10</v>
      </c>
      <c r="AV554" t="s">
        <v>7220</v>
      </c>
      <c r="AW554" t="s">
        <v>7220</v>
      </c>
      <c r="AX554" t="s">
        <v>7221</v>
      </c>
      <c r="AY554" t="s">
        <v>7222</v>
      </c>
      <c r="BA554" t="s">
        <v>1980</v>
      </c>
      <c r="BB554" t="s">
        <v>1616</v>
      </c>
      <c r="BC554" t="s">
        <v>188</v>
      </c>
      <c r="BD554">
        <v>528427</v>
      </c>
      <c r="BE554" t="s">
        <v>7265</v>
      </c>
      <c r="BF554" t="s">
        <v>7223</v>
      </c>
      <c r="BG554" t="b">
        <v>0</v>
      </c>
      <c r="BH554" s="6" t="s">
        <v>7224</v>
      </c>
      <c r="BI554" t="s">
        <v>7225</v>
      </c>
      <c r="BJ554">
        <v>4453163191</v>
      </c>
      <c r="BK554" t="s">
        <v>162</v>
      </c>
      <c r="BL554" t="s">
        <v>161</v>
      </c>
      <c r="BM554" s="2"/>
      <c r="BO554" t="s">
        <v>89</v>
      </c>
      <c r="BP554">
        <v>8537109090</v>
      </c>
      <c r="BR554" t="s">
        <v>180</v>
      </c>
      <c r="BS554" t="s">
        <v>103</v>
      </c>
      <c r="BU554">
        <v>184</v>
      </c>
      <c r="BV554">
        <v>322.92</v>
      </c>
      <c r="BW554">
        <v>0</v>
      </c>
      <c r="BX554">
        <v>0</v>
      </c>
      <c r="BY554">
        <v>0</v>
      </c>
      <c r="BZ554">
        <v>0</v>
      </c>
      <c r="CA554">
        <v>506.92</v>
      </c>
      <c r="CF554" s="2"/>
      <c r="CH554" s="2"/>
      <c r="CJ554">
        <v>5.3142020950087501E+17</v>
      </c>
      <c r="CK554" t="s">
        <v>1849</v>
      </c>
      <c r="CL554">
        <v>43967.373182870368</v>
      </c>
      <c r="CO554" t="s">
        <v>11</v>
      </c>
      <c r="CP554" t="s">
        <v>7266</v>
      </c>
      <c r="CQ554" t="s">
        <v>11</v>
      </c>
      <c r="CR554">
        <v>2300</v>
      </c>
      <c r="CV554" t="s">
        <v>190</v>
      </c>
      <c r="CW554" t="s">
        <v>12</v>
      </c>
      <c r="CX554" t="s">
        <v>12</v>
      </c>
      <c r="CY554" t="s">
        <v>12</v>
      </c>
      <c r="DA554" t="s">
        <v>104</v>
      </c>
      <c r="DD554" t="s">
        <v>93</v>
      </c>
      <c r="DQ554" t="s">
        <v>94</v>
      </c>
      <c r="DR554" t="s">
        <v>94</v>
      </c>
      <c r="DS554" t="s">
        <v>94</v>
      </c>
      <c r="DT554" t="s">
        <v>94</v>
      </c>
      <c r="DU554" t="s">
        <v>94</v>
      </c>
      <c r="DV554" t="s">
        <v>94</v>
      </c>
      <c r="DW554" t="s">
        <v>94</v>
      </c>
      <c r="DX554" s="2" t="s">
        <v>94</v>
      </c>
      <c r="DY554" t="s">
        <v>94</v>
      </c>
      <c r="DZ554" t="s">
        <v>94</v>
      </c>
      <c r="EA554" t="s">
        <v>94</v>
      </c>
      <c r="EB554" t="s">
        <v>94</v>
      </c>
      <c r="EC554" t="s">
        <v>94</v>
      </c>
      <c r="ED554" t="s">
        <v>94</v>
      </c>
      <c r="EE554" t="s">
        <v>89</v>
      </c>
      <c r="EF554" t="s">
        <v>425</v>
      </c>
      <c r="EG554" t="s">
        <v>105</v>
      </c>
      <c r="EJ554" t="s">
        <v>166</v>
      </c>
      <c r="EK554" t="b">
        <v>0</v>
      </c>
      <c r="EL554" t="b">
        <v>0</v>
      </c>
      <c r="EM554" t="b">
        <v>0</v>
      </c>
    </row>
    <row r="555" spans="3:143" ht="15">
      <c r="C555" s="82">
        <v>3</v>
      </c>
      <c r="D555" s="5">
        <v>490</v>
      </c>
      <c r="E555" s="4">
        <v>2</v>
      </c>
      <c r="F555" s="5">
        <v>490</v>
      </c>
      <c r="G555" s="5" t="s">
        <v>7270</v>
      </c>
      <c r="H555" s="4" t="s">
        <v>7267</v>
      </c>
      <c r="I555" s="81" t="s">
        <v>466</v>
      </c>
      <c r="J555" s="21"/>
      <c r="K555" s="22" t="s">
        <v>7268</v>
      </c>
      <c r="L555" s="84" t="s">
        <v>7227</v>
      </c>
      <c r="M555" s="23" t="s">
        <v>409</v>
      </c>
      <c r="N555" s="23">
        <v>43970</v>
      </c>
      <c r="O555" s="24" t="s">
        <v>102</v>
      </c>
      <c r="P555" s="24" t="s">
        <v>480</v>
      </c>
      <c r="Q555" s="24">
        <v>3</v>
      </c>
      <c r="R555" s="24">
        <v>889</v>
      </c>
      <c r="S555" t="s">
        <v>528</v>
      </c>
      <c r="T555">
        <v>28921.200000000001</v>
      </c>
      <c r="U555" s="2"/>
      <c r="W555" s="2"/>
      <c r="AB555" t="s">
        <v>9</v>
      </c>
      <c r="AC555" t="s">
        <v>2360</v>
      </c>
      <c r="AD555" t="s">
        <v>6195</v>
      </c>
      <c r="AE555" t="s">
        <v>183</v>
      </c>
      <c r="AF555" t="s">
        <v>183</v>
      </c>
      <c r="AG555" t="s">
        <v>7271</v>
      </c>
      <c r="AH555" t="s">
        <v>6445</v>
      </c>
      <c r="AI555" t="s">
        <v>6445</v>
      </c>
      <c r="AJ555" t="s">
        <v>1214</v>
      </c>
      <c r="AK555" t="s">
        <v>1215</v>
      </c>
      <c r="AL555" t="s">
        <v>6446</v>
      </c>
      <c r="AO555" t="s">
        <v>6447</v>
      </c>
      <c r="AP555" t="s">
        <v>2364</v>
      </c>
      <c r="AQ555" t="s">
        <v>6448</v>
      </c>
      <c r="AR555">
        <v>5610</v>
      </c>
      <c r="AS555">
        <v>566188728</v>
      </c>
      <c r="AT555" t="s">
        <v>7245</v>
      </c>
      <c r="AU555" t="s">
        <v>10</v>
      </c>
      <c r="AV555" t="s">
        <v>6268</v>
      </c>
      <c r="AW555" t="s">
        <v>6200</v>
      </c>
      <c r="AX555" t="s">
        <v>6269</v>
      </c>
      <c r="AY555" s="2" t="s">
        <v>6270</v>
      </c>
      <c r="AZ555" t="s">
        <v>6271</v>
      </c>
      <c r="BA555" t="s">
        <v>6201</v>
      </c>
      <c r="BB555" t="s">
        <v>6272</v>
      </c>
      <c r="BC555" t="s">
        <v>2872</v>
      </c>
      <c r="BD555">
        <v>361101</v>
      </c>
      <c r="BE555" t="s">
        <v>6273</v>
      </c>
      <c r="BF555" t="s">
        <v>6274</v>
      </c>
      <c r="BG555" t="b">
        <v>0</v>
      </c>
      <c r="BH555" s="6" t="s">
        <v>7246</v>
      </c>
      <c r="BI555" t="s">
        <v>7247</v>
      </c>
      <c r="BJ555">
        <v>4453163191</v>
      </c>
      <c r="BK555" t="s">
        <v>162</v>
      </c>
      <c r="BL555" t="s">
        <v>161</v>
      </c>
      <c r="BM555" s="2"/>
      <c r="BN555" t="s">
        <v>6277</v>
      </c>
      <c r="BR555" t="s">
        <v>189</v>
      </c>
      <c r="BS555" t="s">
        <v>103</v>
      </c>
      <c r="BU555">
        <v>0</v>
      </c>
      <c r="BV555">
        <v>0</v>
      </c>
      <c r="BW555">
        <v>0</v>
      </c>
      <c r="BX555">
        <v>0</v>
      </c>
      <c r="BY555">
        <v>0</v>
      </c>
      <c r="BZ555">
        <v>0</v>
      </c>
      <c r="CA555">
        <v>0</v>
      </c>
      <c r="CF555" s="2"/>
      <c r="CH555" s="2"/>
      <c r="CK555" t="s">
        <v>4402</v>
      </c>
      <c r="CL555">
        <v>43970.556018518517</v>
      </c>
      <c r="CO555" t="s">
        <v>11</v>
      </c>
      <c r="CP555">
        <v>223465.44</v>
      </c>
      <c r="CQ555" t="s">
        <v>11</v>
      </c>
      <c r="CR555">
        <v>223465.44</v>
      </c>
      <c r="CV555" t="s">
        <v>525</v>
      </c>
      <c r="CW555" t="s">
        <v>12</v>
      </c>
      <c r="CX555" t="s">
        <v>12</v>
      </c>
      <c r="CY555" t="s">
        <v>12</v>
      </c>
      <c r="DA555" t="s">
        <v>104</v>
      </c>
      <c r="DD555" t="s">
        <v>93</v>
      </c>
      <c r="DQ555" t="s">
        <v>94</v>
      </c>
      <c r="DR555" t="s">
        <v>94</v>
      </c>
      <c r="DS555" t="s">
        <v>94</v>
      </c>
      <c r="DT555" t="s">
        <v>94</v>
      </c>
      <c r="DU555" t="s">
        <v>94</v>
      </c>
      <c r="DV555" t="s">
        <v>94</v>
      </c>
      <c r="DW555" t="s">
        <v>94</v>
      </c>
      <c r="DX555" s="2" t="s">
        <v>94</v>
      </c>
      <c r="DY555" t="s">
        <v>94</v>
      </c>
      <c r="DZ555" t="s">
        <v>94</v>
      </c>
      <c r="EA555" t="s">
        <v>94</v>
      </c>
      <c r="EB555" t="s">
        <v>94</v>
      </c>
      <c r="EC555" t="s">
        <v>94</v>
      </c>
      <c r="ED555" t="s">
        <v>94</v>
      </c>
      <c r="EE555" t="s">
        <v>89</v>
      </c>
      <c r="EF555" t="s">
        <v>425</v>
      </c>
      <c r="EG555" t="s">
        <v>7244</v>
      </c>
      <c r="EJ555" t="s">
        <v>166</v>
      </c>
      <c r="EK555" t="b">
        <v>0</v>
      </c>
      <c r="EL555" t="b">
        <v>0</v>
      </c>
      <c r="EM555" t="b">
        <v>0</v>
      </c>
    </row>
    <row r="556" spans="3:143">
      <c r="C556" s="4">
        <v>3</v>
      </c>
      <c r="D556" s="4">
        <v>399</v>
      </c>
      <c r="E556" s="4">
        <v>1</v>
      </c>
      <c r="F556" s="4">
        <v>399</v>
      </c>
      <c r="G556" s="5" t="s">
        <v>7270</v>
      </c>
      <c r="H556" s="4" t="s">
        <v>7267</v>
      </c>
      <c r="I556" s="4" t="s">
        <v>466</v>
      </c>
      <c r="J556" s="5"/>
      <c r="K556" s="22" t="s">
        <v>7269</v>
      </c>
      <c r="L556" s="84" t="s">
        <v>7227</v>
      </c>
      <c r="M556" s="23" t="s">
        <v>409</v>
      </c>
      <c r="N556" s="23">
        <v>43970</v>
      </c>
      <c r="O556" s="24" t="s">
        <v>102</v>
      </c>
      <c r="P556" s="24" t="s">
        <v>480</v>
      </c>
      <c r="Q556" s="24">
        <v>3</v>
      </c>
      <c r="R556" s="24">
        <v>889</v>
      </c>
      <c r="S556" t="s">
        <v>528</v>
      </c>
      <c r="T556">
        <v>28921.200000000001</v>
      </c>
      <c r="U556" s="2"/>
      <c r="W556" s="2"/>
      <c r="AB556" t="s">
        <v>9</v>
      </c>
      <c r="AC556" t="s">
        <v>2360</v>
      </c>
      <c r="AD556" t="s">
        <v>6195</v>
      </c>
      <c r="AE556" t="s">
        <v>183</v>
      </c>
      <c r="AF556" t="s">
        <v>183</v>
      </c>
      <c r="AG556" t="s">
        <v>7271</v>
      </c>
      <c r="AH556" t="s">
        <v>6445</v>
      </c>
      <c r="AI556" t="s">
        <v>6445</v>
      </c>
      <c r="AJ556" t="s">
        <v>1214</v>
      </c>
      <c r="AK556" t="s">
        <v>1215</v>
      </c>
      <c r="AL556" t="s">
        <v>6446</v>
      </c>
      <c r="AO556" t="s">
        <v>6447</v>
      </c>
      <c r="AP556" t="s">
        <v>2364</v>
      </c>
      <c r="AQ556" t="s">
        <v>6448</v>
      </c>
      <c r="AR556">
        <v>5610</v>
      </c>
      <c r="AS556">
        <v>566188728</v>
      </c>
      <c r="AT556" t="s">
        <v>7245</v>
      </c>
      <c r="AU556" t="s">
        <v>10</v>
      </c>
      <c r="AV556" t="s">
        <v>6268</v>
      </c>
      <c r="AW556" t="s">
        <v>6200</v>
      </c>
      <c r="AX556" t="s">
        <v>6269</v>
      </c>
      <c r="AY556" t="s">
        <v>6270</v>
      </c>
      <c r="AZ556" t="s">
        <v>6271</v>
      </c>
      <c r="BA556" t="s">
        <v>6201</v>
      </c>
      <c r="BB556" t="s">
        <v>6272</v>
      </c>
      <c r="BC556" t="s">
        <v>2872</v>
      </c>
      <c r="BD556">
        <v>361101</v>
      </c>
      <c r="BE556" t="s">
        <v>6273</v>
      </c>
      <c r="BF556" t="s">
        <v>6274</v>
      </c>
      <c r="BG556" t="b">
        <v>0</v>
      </c>
      <c r="BH556" s="6" t="s">
        <v>7246</v>
      </c>
      <c r="BI556" t="s">
        <v>7247</v>
      </c>
      <c r="BJ556">
        <v>4453163191</v>
      </c>
      <c r="BK556" t="s">
        <v>162</v>
      </c>
      <c r="BL556" t="s">
        <v>161</v>
      </c>
      <c r="BM556" s="2"/>
      <c r="BN556" t="s">
        <v>6277</v>
      </c>
      <c r="BR556" t="s">
        <v>189</v>
      </c>
      <c r="BS556" t="s">
        <v>103</v>
      </c>
      <c r="BU556">
        <v>0</v>
      </c>
      <c r="BV556">
        <v>0</v>
      </c>
      <c r="BW556">
        <v>0</v>
      </c>
      <c r="BX556">
        <v>0</v>
      </c>
      <c r="BY556">
        <v>0</v>
      </c>
      <c r="BZ556">
        <v>0</v>
      </c>
      <c r="CA556">
        <v>0</v>
      </c>
      <c r="CF556" s="2"/>
      <c r="CH556" s="2"/>
      <c r="CK556" t="s">
        <v>4402</v>
      </c>
      <c r="CL556">
        <v>43970.556018518517</v>
      </c>
      <c r="CO556" t="s">
        <v>11</v>
      </c>
      <c r="CP556">
        <v>223465.44</v>
      </c>
      <c r="CQ556" t="s">
        <v>11</v>
      </c>
      <c r="CR556">
        <v>223465.44</v>
      </c>
      <c r="CV556" t="s">
        <v>525</v>
      </c>
      <c r="CW556" t="s">
        <v>12</v>
      </c>
      <c r="CX556" t="s">
        <v>12</v>
      </c>
      <c r="CY556" t="s">
        <v>12</v>
      </c>
      <c r="DA556" t="s">
        <v>104</v>
      </c>
      <c r="DD556" t="s">
        <v>93</v>
      </c>
      <c r="DQ556" t="s">
        <v>94</v>
      </c>
      <c r="DR556" t="s">
        <v>94</v>
      </c>
      <c r="DS556" t="s">
        <v>94</v>
      </c>
      <c r="DT556" t="s">
        <v>94</v>
      </c>
      <c r="DU556" t="s">
        <v>94</v>
      </c>
      <c r="DV556" t="s">
        <v>94</v>
      </c>
      <c r="DW556" t="s">
        <v>94</v>
      </c>
      <c r="DX556" s="2" t="s">
        <v>94</v>
      </c>
      <c r="DY556" t="s">
        <v>94</v>
      </c>
      <c r="DZ556" t="s">
        <v>94</v>
      </c>
      <c r="EA556" t="s">
        <v>94</v>
      </c>
      <c r="EB556" t="s">
        <v>94</v>
      </c>
      <c r="EC556" t="s">
        <v>94</v>
      </c>
      <c r="ED556" t="s">
        <v>94</v>
      </c>
      <c r="EE556" t="s">
        <v>89</v>
      </c>
      <c r="EF556" t="s">
        <v>425</v>
      </c>
      <c r="EG556" t="s">
        <v>7244</v>
      </c>
      <c r="EJ556" t="s">
        <v>166</v>
      </c>
      <c r="EK556" t="b">
        <v>0</v>
      </c>
      <c r="EL556" t="b">
        <v>0</v>
      </c>
      <c r="EM556" t="b">
        <v>0</v>
      </c>
    </row>
    <row r="557" spans="3:143" ht="15">
      <c r="C557" s="82">
        <v>23</v>
      </c>
      <c r="D557" s="5"/>
      <c r="E557" s="4">
        <v>1</v>
      </c>
      <c r="F557" s="5">
        <v>2.5499999999999998</v>
      </c>
      <c r="G557" s="5" t="s">
        <v>7272</v>
      </c>
      <c r="H557" s="4" t="s">
        <v>2391</v>
      </c>
      <c r="I557" s="81" t="s">
        <v>920</v>
      </c>
      <c r="J557" s="21"/>
      <c r="K557" s="22" t="s">
        <v>7162</v>
      </c>
      <c r="L557" s="84" t="s">
        <v>7163</v>
      </c>
      <c r="M557" s="23" t="s">
        <v>905</v>
      </c>
      <c r="N557" s="23">
        <v>43964</v>
      </c>
      <c r="O557" s="24" t="s">
        <v>102</v>
      </c>
      <c r="P557" s="24" t="s">
        <v>179</v>
      </c>
      <c r="Q557" s="24">
        <v>1</v>
      </c>
      <c r="R557" s="24">
        <v>2.5499999999999998</v>
      </c>
      <c r="S557" t="s">
        <v>319</v>
      </c>
      <c r="T557">
        <v>37</v>
      </c>
      <c r="U557" s="2" t="s">
        <v>163</v>
      </c>
      <c r="V557">
        <v>43964.801851851851</v>
      </c>
      <c r="W557" s="2" t="s">
        <v>444</v>
      </c>
      <c r="X557">
        <v>43966.520243055558</v>
      </c>
      <c r="AB557" t="s">
        <v>9</v>
      </c>
      <c r="AC557" t="s">
        <v>4090</v>
      </c>
      <c r="AD557" t="s">
        <v>182</v>
      </c>
      <c r="AE557" t="s">
        <v>7273</v>
      </c>
      <c r="AF557" t="s">
        <v>7273</v>
      </c>
      <c r="AG557" t="s">
        <v>183</v>
      </c>
      <c r="AH557" t="s">
        <v>7164</v>
      </c>
      <c r="AI557" t="s">
        <v>7164</v>
      </c>
      <c r="AJ557" t="s">
        <v>2637</v>
      </c>
      <c r="AK557" t="s">
        <v>2638</v>
      </c>
      <c r="AL557" t="s">
        <v>7165</v>
      </c>
      <c r="AO557" t="s">
        <v>7166</v>
      </c>
      <c r="AP557" t="s">
        <v>4094</v>
      </c>
      <c r="AR557">
        <v>1010</v>
      </c>
      <c r="AS557">
        <v>153510010</v>
      </c>
      <c r="AT557" t="s">
        <v>7167</v>
      </c>
      <c r="AU557" t="s">
        <v>10</v>
      </c>
      <c r="AV557" t="s">
        <v>7168</v>
      </c>
      <c r="AW557" t="s">
        <v>7168</v>
      </c>
      <c r="AX557" t="s">
        <v>7169</v>
      </c>
      <c r="AY557" s="2" t="s">
        <v>7170</v>
      </c>
      <c r="BA557" t="s">
        <v>186</v>
      </c>
      <c r="BB557" t="s">
        <v>187</v>
      </c>
      <c r="BC557" t="s">
        <v>188</v>
      </c>
      <c r="BD557">
        <v>518110</v>
      </c>
      <c r="BE557" t="s">
        <v>7274</v>
      </c>
      <c r="BF557" t="s">
        <v>7171</v>
      </c>
      <c r="BG557" t="b">
        <v>0</v>
      </c>
      <c r="BH557" s="6" t="s">
        <v>7172</v>
      </c>
      <c r="BI557" t="s">
        <v>7173</v>
      </c>
      <c r="BJ557">
        <v>4453163191</v>
      </c>
      <c r="BK557" t="s">
        <v>162</v>
      </c>
      <c r="BL557" t="s">
        <v>161</v>
      </c>
      <c r="BM557" s="2"/>
      <c r="BO557" t="s">
        <v>89</v>
      </c>
      <c r="BP557">
        <v>3921909090</v>
      </c>
      <c r="BR557" t="s">
        <v>180</v>
      </c>
      <c r="BS557" t="s">
        <v>103</v>
      </c>
      <c r="BU557">
        <v>0</v>
      </c>
      <c r="BV557">
        <v>0</v>
      </c>
      <c r="BW557">
        <v>0</v>
      </c>
      <c r="BX557">
        <v>0</v>
      </c>
      <c r="BY557">
        <v>0</v>
      </c>
      <c r="BZ557">
        <v>0</v>
      </c>
      <c r="CA557">
        <v>0</v>
      </c>
      <c r="CF557" s="2"/>
      <c r="CH557" s="2"/>
      <c r="CJ557">
        <v>5.3142020950084998E+17</v>
      </c>
      <c r="CK557" t="s">
        <v>4402</v>
      </c>
      <c r="CL557">
        <v>43964.555868055555</v>
      </c>
      <c r="CO557" t="s">
        <v>11</v>
      </c>
      <c r="CP557">
        <v>260.49</v>
      </c>
      <c r="CQ557" t="s">
        <v>11</v>
      </c>
      <c r="CR557">
        <v>260.49</v>
      </c>
      <c r="CV557" t="s">
        <v>190</v>
      </c>
      <c r="CW557" t="s">
        <v>12</v>
      </c>
      <c r="CX557" t="s">
        <v>12</v>
      </c>
      <c r="CY557" t="s">
        <v>12</v>
      </c>
      <c r="DA557" t="s">
        <v>104</v>
      </c>
      <c r="DD557" t="s">
        <v>93</v>
      </c>
      <c r="DQ557" t="s">
        <v>94</v>
      </c>
      <c r="DR557" t="s">
        <v>94</v>
      </c>
      <c r="DS557" t="s">
        <v>94</v>
      </c>
      <c r="DT557" t="s">
        <v>94</v>
      </c>
      <c r="DU557" t="s">
        <v>94</v>
      </c>
      <c r="DV557" t="s">
        <v>94</v>
      </c>
      <c r="DW557" t="s">
        <v>94</v>
      </c>
      <c r="DX557" s="2" t="s">
        <v>94</v>
      </c>
      <c r="DY557" t="s">
        <v>94</v>
      </c>
      <c r="DZ557" t="s">
        <v>94</v>
      </c>
      <c r="EA557" t="s">
        <v>94</v>
      </c>
      <c r="EB557" t="s">
        <v>94</v>
      </c>
      <c r="EC557" t="s">
        <v>94</v>
      </c>
      <c r="ED557" t="s">
        <v>94</v>
      </c>
      <c r="EE557" t="s">
        <v>89</v>
      </c>
      <c r="EF557" t="s">
        <v>425</v>
      </c>
      <c r="EG557" t="s">
        <v>105</v>
      </c>
      <c r="EJ557" t="s">
        <v>166</v>
      </c>
      <c r="EK557" t="b">
        <v>0</v>
      </c>
      <c r="EL557" t="b">
        <v>0</v>
      </c>
      <c r="EM557" t="b">
        <v>0</v>
      </c>
    </row>
    <row r="558" spans="3:143" ht="15">
      <c r="C558" s="82">
        <v>23</v>
      </c>
      <c r="D558" s="5"/>
      <c r="E558" s="4">
        <v>1</v>
      </c>
      <c r="F558" s="5">
        <v>1</v>
      </c>
      <c r="G558" s="5" t="s">
        <v>7275</v>
      </c>
      <c r="H558" s="4" t="s">
        <v>7276</v>
      </c>
      <c r="I558" s="81" t="s">
        <v>466</v>
      </c>
      <c r="J558" s="21"/>
      <c r="K558" s="22" t="s">
        <v>7174</v>
      </c>
      <c r="L558" s="84" t="s">
        <v>7175</v>
      </c>
      <c r="M558" s="23" t="s">
        <v>409</v>
      </c>
      <c r="N558" s="23">
        <v>43966</v>
      </c>
      <c r="O558" s="24" t="s">
        <v>102</v>
      </c>
      <c r="P558" s="24" t="s">
        <v>181</v>
      </c>
      <c r="Q558" s="24">
        <v>1</v>
      </c>
      <c r="R558" s="24">
        <v>1</v>
      </c>
      <c r="S558" t="s">
        <v>528</v>
      </c>
      <c r="T558">
        <v>139.36000000000001</v>
      </c>
      <c r="U558" s="2" t="s">
        <v>163</v>
      </c>
      <c r="V558">
        <v>43966.798032407409</v>
      </c>
      <c r="W558" s="2" t="s">
        <v>444</v>
      </c>
      <c r="X558">
        <v>43966.798171296294</v>
      </c>
      <c r="AB558" t="s">
        <v>9</v>
      </c>
      <c r="AC558" t="s">
        <v>7176</v>
      </c>
      <c r="AD558" t="s">
        <v>182</v>
      </c>
      <c r="AE558" t="s">
        <v>7277</v>
      </c>
      <c r="AF558" t="s">
        <v>7277</v>
      </c>
      <c r="AG558" t="s">
        <v>183</v>
      </c>
      <c r="AH558" t="s">
        <v>7177</v>
      </c>
      <c r="AI558" t="s">
        <v>7177</v>
      </c>
      <c r="AJ558" t="s">
        <v>508</v>
      </c>
      <c r="AK558" t="s">
        <v>509</v>
      </c>
      <c r="AL558" t="s">
        <v>7178</v>
      </c>
      <c r="AM558" t="s">
        <v>7179</v>
      </c>
      <c r="AO558" t="s">
        <v>7180</v>
      </c>
      <c r="AP558" t="s">
        <v>7181</v>
      </c>
      <c r="AR558">
        <v>49140</v>
      </c>
      <c r="AS558">
        <v>-33625502922</v>
      </c>
      <c r="AT558" t="s">
        <v>7182</v>
      </c>
      <c r="AU558" t="s">
        <v>10</v>
      </c>
      <c r="AV558" t="s">
        <v>7183</v>
      </c>
      <c r="AW558" t="s">
        <v>7183</v>
      </c>
      <c r="AX558" t="s">
        <v>7184</v>
      </c>
      <c r="AY558" s="2" t="s">
        <v>7185</v>
      </c>
      <c r="BA558" t="s">
        <v>186</v>
      </c>
      <c r="BB558" t="s">
        <v>187</v>
      </c>
      <c r="BC558" t="s">
        <v>188</v>
      </c>
      <c r="BD558">
        <v>518100</v>
      </c>
      <c r="BE558" t="s">
        <v>7278</v>
      </c>
      <c r="BF558" t="s">
        <v>7186</v>
      </c>
      <c r="BG558" t="b">
        <v>0</v>
      </c>
      <c r="BH558" s="6" t="s">
        <v>7187</v>
      </c>
      <c r="BI558" t="s">
        <v>7188</v>
      </c>
      <c r="BJ558">
        <v>4453163191</v>
      </c>
      <c r="BK558" t="s">
        <v>162</v>
      </c>
      <c r="BL558" t="s">
        <v>161</v>
      </c>
      <c r="BM558" s="2"/>
      <c r="BO558" t="s">
        <v>89</v>
      </c>
      <c r="BP558">
        <v>1302199099</v>
      </c>
      <c r="BR558" t="s">
        <v>189</v>
      </c>
      <c r="BS558" t="s">
        <v>103</v>
      </c>
      <c r="BU558">
        <v>0</v>
      </c>
      <c r="BV558">
        <v>0</v>
      </c>
      <c r="BW558">
        <v>0</v>
      </c>
      <c r="BX558">
        <v>0</v>
      </c>
      <c r="BY558">
        <v>0</v>
      </c>
      <c r="BZ558">
        <v>0</v>
      </c>
      <c r="CA558">
        <v>0</v>
      </c>
      <c r="CF558" s="2"/>
      <c r="CH558" s="2"/>
      <c r="CJ558">
        <v>5.3142020950086598E+17</v>
      </c>
      <c r="CK558" t="s">
        <v>4402</v>
      </c>
      <c r="CL558">
        <v>43966.55672453704</v>
      </c>
      <c r="CO558" t="s">
        <v>11</v>
      </c>
      <c r="CP558">
        <v>1076.79</v>
      </c>
      <c r="CQ558" t="s">
        <v>11</v>
      </c>
      <c r="CR558">
        <v>1076.79</v>
      </c>
      <c r="CV558" t="s">
        <v>190</v>
      </c>
      <c r="CW558" t="s">
        <v>12</v>
      </c>
      <c r="CX558" t="s">
        <v>12</v>
      </c>
      <c r="CY558" t="s">
        <v>12</v>
      </c>
      <c r="DA558" t="s">
        <v>104</v>
      </c>
      <c r="DD558" t="s">
        <v>93</v>
      </c>
      <c r="DQ558" t="s">
        <v>94</v>
      </c>
      <c r="DR558" t="s">
        <v>94</v>
      </c>
      <c r="DS558" t="s">
        <v>94</v>
      </c>
      <c r="DT558" t="s">
        <v>94</v>
      </c>
      <c r="DU558" t="s">
        <v>94</v>
      </c>
      <c r="DV558" t="s">
        <v>94</v>
      </c>
      <c r="DW558" t="s">
        <v>94</v>
      </c>
      <c r="DX558" s="2" t="s">
        <v>94</v>
      </c>
      <c r="DY558" t="s">
        <v>94</v>
      </c>
      <c r="DZ558" t="s">
        <v>94</v>
      </c>
      <c r="EA558" t="s">
        <v>94</v>
      </c>
      <c r="EB558" t="s">
        <v>94</v>
      </c>
      <c r="EC558" t="s">
        <v>94</v>
      </c>
      <c r="ED558" t="s">
        <v>94</v>
      </c>
      <c r="EE558" t="s">
        <v>89</v>
      </c>
      <c r="EF558" t="s">
        <v>425</v>
      </c>
      <c r="EG558" t="s">
        <v>105</v>
      </c>
      <c r="EJ558" t="s">
        <v>166</v>
      </c>
      <c r="EK558" t="b">
        <v>0</v>
      </c>
      <c r="EL558" t="b">
        <v>0</v>
      </c>
      <c r="EM558" t="b">
        <v>0</v>
      </c>
    </row>
    <row r="559" spans="3:143" ht="15">
      <c r="C559" s="82">
        <v>3</v>
      </c>
      <c r="D559" s="5"/>
      <c r="E559" s="4">
        <v>1</v>
      </c>
      <c r="F559" s="5">
        <v>1.4</v>
      </c>
      <c r="G559" s="5" t="s">
        <v>7279</v>
      </c>
      <c r="H559" s="4" t="s">
        <v>7249</v>
      </c>
      <c r="I559" s="81" t="s">
        <v>466</v>
      </c>
      <c r="J559" s="21"/>
      <c r="K559" s="22" t="s">
        <v>7226</v>
      </c>
      <c r="L559" s="84" t="s">
        <v>7227</v>
      </c>
      <c r="M559" s="23" t="s">
        <v>409</v>
      </c>
      <c r="N559" s="23">
        <v>43970</v>
      </c>
      <c r="O559" s="24" t="s">
        <v>102</v>
      </c>
      <c r="P559" s="24" t="s">
        <v>181</v>
      </c>
      <c r="Q559" s="24">
        <v>1</v>
      </c>
      <c r="R559" s="24">
        <v>1.4</v>
      </c>
      <c r="S559" t="s">
        <v>319</v>
      </c>
      <c r="T559">
        <v>248</v>
      </c>
      <c r="U559" s="2" t="s">
        <v>163</v>
      </c>
      <c r="V559">
        <v>43970.794548611113</v>
      </c>
      <c r="W559" s="2" t="s">
        <v>444</v>
      </c>
      <c r="X559">
        <v>43970.809918981482</v>
      </c>
      <c r="AB559" t="s">
        <v>9</v>
      </c>
      <c r="AC559" t="s">
        <v>7228</v>
      </c>
      <c r="AD559" t="s">
        <v>182</v>
      </c>
      <c r="AE559" t="s">
        <v>7250</v>
      </c>
      <c r="AF559" t="s">
        <v>7250</v>
      </c>
      <c r="AG559" t="s">
        <v>183</v>
      </c>
      <c r="AH559" t="s">
        <v>7229</v>
      </c>
      <c r="AI559" t="s">
        <v>7229</v>
      </c>
      <c r="AJ559" t="s">
        <v>184</v>
      </c>
      <c r="AK559" t="s">
        <v>185</v>
      </c>
      <c r="AL559" t="s">
        <v>7230</v>
      </c>
      <c r="AO559" t="s">
        <v>7231</v>
      </c>
      <c r="AP559" t="s">
        <v>7232</v>
      </c>
      <c r="AQ559" t="s">
        <v>7233</v>
      </c>
      <c r="AR559" t="s">
        <v>7234</v>
      </c>
      <c r="AS559">
        <v>1773537375</v>
      </c>
      <c r="AT559" t="s">
        <v>7235</v>
      </c>
      <c r="AU559" t="s">
        <v>10</v>
      </c>
      <c r="AV559" t="s">
        <v>7236</v>
      </c>
      <c r="AW559" t="s">
        <v>7237</v>
      </c>
      <c r="AX559" t="s">
        <v>7238</v>
      </c>
      <c r="AY559" s="2" t="s">
        <v>7239</v>
      </c>
      <c r="AZ559" t="s">
        <v>7240</v>
      </c>
      <c r="BA559" t="s">
        <v>2525</v>
      </c>
      <c r="BB559" t="s">
        <v>272</v>
      </c>
      <c r="BC559" t="s">
        <v>188</v>
      </c>
      <c r="BD559">
        <v>518048</v>
      </c>
      <c r="BE559" t="s">
        <v>7251</v>
      </c>
      <c r="BF559" t="s">
        <v>7241</v>
      </c>
      <c r="BG559" t="b">
        <v>0</v>
      </c>
      <c r="BH559" s="6" t="s">
        <v>7242</v>
      </c>
      <c r="BI559" t="s">
        <v>7243</v>
      </c>
      <c r="BJ559">
        <v>4453163191</v>
      </c>
      <c r="BK559" t="s">
        <v>162</v>
      </c>
      <c r="BL559" t="s">
        <v>161</v>
      </c>
      <c r="BM559" s="2"/>
      <c r="BO559" t="s">
        <v>89</v>
      </c>
      <c r="BP559">
        <v>84713010</v>
      </c>
      <c r="BR559" t="s">
        <v>180</v>
      </c>
      <c r="BS559" t="s">
        <v>103</v>
      </c>
      <c r="BU559">
        <v>0</v>
      </c>
      <c r="BV559">
        <v>226.98</v>
      </c>
      <c r="BW559">
        <v>0</v>
      </c>
      <c r="BX559">
        <v>0</v>
      </c>
      <c r="BY559">
        <v>0</v>
      </c>
      <c r="BZ559">
        <v>0</v>
      </c>
      <c r="CA559">
        <v>226.98</v>
      </c>
      <c r="CF559" s="2"/>
      <c r="CH559" s="2"/>
      <c r="CJ559">
        <v>5.3142020950088602E+17</v>
      </c>
      <c r="CK559" t="s">
        <v>4402</v>
      </c>
      <c r="CL559">
        <v>43970.379930555559</v>
      </c>
      <c r="CO559" t="s">
        <v>11</v>
      </c>
      <c r="CP559" t="s">
        <v>7252</v>
      </c>
      <c r="CQ559" t="s">
        <v>11</v>
      </c>
      <c r="CR559">
        <v>1745.97</v>
      </c>
      <c r="CV559" t="s">
        <v>190</v>
      </c>
      <c r="CW559" t="s">
        <v>12</v>
      </c>
      <c r="CX559" t="s">
        <v>12</v>
      </c>
      <c r="CY559" t="s">
        <v>12</v>
      </c>
      <c r="DA559" t="s">
        <v>104</v>
      </c>
      <c r="DD559" t="s">
        <v>93</v>
      </c>
      <c r="DQ559" t="s">
        <v>94</v>
      </c>
      <c r="DR559" t="s">
        <v>94</v>
      </c>
      <c r="DS559" t="s">
        <v>94</v>
      </c>
      <c r="DT559" t="s">
        <v>94</v>
      </c>
      <c r="DU559" t="s">
        <v>94</v>
      </c>
      <c r="DV559" t="s">
        <v>94</v>
      </c>
      <c r="DW559" t="s">
        <v>94</v>
      </c>
      <c r="DX559" s="2" t="s">
        <v>94</v>
      </c>
      <c r="DY559" t="s">
        <v>94</v>
      </c>
      <c r="DZ559" t="s">
        <v>94</v>
      </c>
      <c r="EA559" t="s">
        <v>94</v>
      </c>
      <c r="EB559" t="s">
        <v>94</v>
      </c>
      <c r="EC559" t="s">
        <v>94</v>
      </c>
      <c r="ED559" t="s">
        <v>94</v>
      </c>
      <c r="EE559" t="s">
        <v>89</v>
      </c>
      <c r="EF559" t="s">
        <v>425</v>
      </c>
      <c r="EG559" t="s">
        <v>7244</v>
      </c>
      <c r="EJ559" t="s">
        <v>166</v>
      </c>
      <c r="EK559" t="b">
        <v>0</v>
      </c>
      <c r="EL559" t="b">
        <v>0</v>
      </c>
      <c r="EM559" t="b">
        <v>0</v>
      </c>
    </row>
    <row r="560" spans="3:143" ht="15">
      <c r="C560" s="82">
        <v>6</v>
      </c>
      <c r="D560" s="5"/>
      <c r="E560" s="4">
        <v>1</v>
      </c>
      <c r="F560" s="5">
        <v>5</v>
      </c>
      <c r="G560" s="5" t="s">
        <v>7280</v>
      </c>
      <c r="H560" s="4" t="s">
        <v>7254</v>
      </c>
      <c r="I560" s="81" t="s">
        <v>920</v>
      </c>
      <c r="J560" s="21"/>
      <c r="K560" s="22" t="s">
        <v>7189</v>
      </c>
      <c r="L560" s="84" t="s">
        <v>7190</v>
      </c>
      <c r="M560" s="23" t="s">
        <v>920</v>
      </c>
      <c r="N560" s="23">
        <v>43967</v>
      </c>
      <c r="O560" s="24" t="s">
        <v>102</v>
      </c>
      <c r="P560" s="24" t="s">
        <v>179</v>
      </c>
      <c r="Q560" s="24">
        <v>1</v>
      </c>
      <c r="R560" s="24">
        <v>5</v>
      </c>
      <c r="S560" t="s">
        <v>11</v>
      </c>
      <c r="T560">
        <v>300</v>
      </c>
      <c r="U560" s="2" t="s">
        <v>163</v>
      </c>
      <c r="V560">
        <v>43967.796724537038</v>
      </c>
      <c r="W560" s="2" t="s">
        <v>444</v>
      </c>
      <c r="X560">
        <v>43967.800162037034</v>
      </c>
      <c r="AB560" t="s">
        <v>9</v>
      </c>
      <c r="AC560" t="s">
        <v>4414</v>
      </c>
      <c r="AD560" t="s">
        <v>819</v>
      </c>
      <c r="AE560" t="s">
        <v>7255</v>
      </c>
      <c r="AF560" t="s">
        <v>7255</v>
      </c>
      <c r="AG560" t="s">
        <v>183</v>
      </c>
      <c r="AH560" t="s">
        <v>7191</v>
      </c>
      <c r="AI560" t="s">
        <v>7191</v>
      </c>
      <c r="AJ560" t="s">
        <v>776</v>
      </c>
      <c r="AK560" t="s">
        <v>777</v>
      </c>
      <c r="AL560" t="s">
        <v>7192</v>
      </c>
      <c r="AO560" t="s">
        <v>7193</v>
      </c>
      <c r="AP560" t="s">
        <v>4418</v>
      </c>
      <c r="AQ560" t="s">
        <v>5801</v>
      </c>
      <c r="AR560" t="s">
        <v>7256</v>
      </c>
      <c r="AS560">
        <v>4030902413</v>
      </c>
      <c r="AT560" t="s">
        <v>7194</v>
      </c>
      <c r="AU560" t="s">
        <v>10</v>
      </c>
      <c r="AV560" t="s">
        <v>7195</v>
      </c>
      <c r="AW560" t="s">
        <v>7195</v>
      </c>
      <c r="AX560" t="s">
        <v>7196</v>
      </c>
      <c r="AY560" s="2" t="s">
        <v>7197</v>
      </c>
      <c r="BA560" t="s">
        <v>2410</v>
      </c>
      <c r="BB560" t="s">
        <v>1524</v>
      </c>
      <c r="BC560" t="s">
        <v>188</v>
      </c>
      <c r="BD560">
        <v>529040</v>
      </c>
      <c r="BE560" t="s">
        <v>7257</v>
      </c>
      <c r="BF560" t="s">
        <v>7198</v>
      </c>
      <c r="BG560" t="b">
        <v>0</v>
      </c>
      <c r="BH560" s="6" t="s">
        <v>7199</v>
      </c>
      <c r="BI560" t="s">
        <v>7200</v>
      </c>
      <c r="BJ560">
        <v>4453163191</v>
      </c>
      <c r="BK560" t="s">
        <v>162</v>
      </c>
      <c r="BL560" t="s">
        <v>161</v>
      </c>
      <c r="BM560" s="2"/>
      <c r="BO560" t="s">
        <v>89</v>
      </c>
      <c r="BP560">
        <v>3907999990</v>
      </c>
      <c r="BR560" t="s">
        <v>189</v>
      </c>
      <c r="BS560" t="s">
        <v>103</v>
      </c>
      <c r="BU560">
        <v>0</v>
      </c>
      <c r="BV560">
        <v>0</v>
      </c>
      <c r="BW560">
        <v>0</v>
      </c>
      <c r="BX560">
        <v>0</v>
      </c>
      <c r="BY560">
        <v>0</v>
      </c>
      <c r="BZ560">
        <v>0</v>
      </c>
      <c r="CA560">
        <v>0</v>
      </c>
      <c r="CF560" s="2"/>
      <c r="CH560" s="2"/>
      <c r="CJ560">
        <v>5.3142020950087501E+17</v>
      </c>
      <c r="CK560" t="s">
        <v>1849</v>
      </c>
      <c r="CL560">
        <v>43967.372465277775</v>
      </c>
      <c r="CO560" t="s">
        <v>11</v>
      </c>
      <c r="CP560" t="s">
        <v>1623</v>
      </c>
      <c r="CQ560" t="s">
        <v>11</v>
      </c>
      <c r="CR560">
        <v>300</v>
      </c>
      <c r="CV560" t="s">
        <v>190</v>
      </c>
      <c r="CW560" t="s">
        <v>12</v>
      </c>
      <c r="CX560" t="s">
        <v>12</v>
      </c>
      <c r="CY560" t="s">
        <v>12</v>
      </c>
      <c r="DA560" t="s">
        <v>104</v>
      </c>
      <c r="DD560" t="s">
        <v>93</v>
      </c>
      <c r="DQ560" t="s">
        <v>94</v>
      </c>
      <c r="DR560" t="s">
        <v>94</v>
      </c>
      <c r="DS560" t="s">
        <v>94</v>
      </c>
      <c r="DT560" t="s">
        <v>94</v>
      </c>
      <c r="DU560" t="s">
        <v>94</v>
      </c>
      <c r="DV560" t="s">
        <v>94</v>
      </c>
      <c r="DW560" t="s">
        <v>94</v>
      </c>
      <c r="DX560" s="2" t="s">
        <v>94</v>
      </c>
      <c r="DY560" t="s">
        <v>94</v>
      </c>
      <c r="DZ560" t="s">
        <v>94</v>
      </c>
      <c r="EA560" t="s">
        <v>94</v>
      </c>
      <c r="EB560" t="s">
        <v>94</v>
      </c>
      <c r="EC560" t="s">
        <v>94</v>
      </c>
      <c r="ED560" t="s">
        <v>94</v>
      </c>
      <c r="EE560" t="s">
        <v>89</v>
      </c>
      <c r="EF560" t="s">
        <v>425</v>
      </c>
      <c r="EG560" t="s">
        <v>105</v>
      </c>
      <c r="EJ560" t="s">
        <v>166</v>
      </c>
      <c r="EK560" t="b">
        <v>0</v>
      </c>
      <c r="EL560" t="b">
        <v>0</v>
      </c>
      <c r="EM560" t="b">
        <v>0</v>
      </c>
    </row>
    <row r="561" spans="3:143">
      <c r="C561" s="4">
        <v>6</v>
      </c>
      <c r="D561" s="4"/>
      <c r="E561" s="4">
        <v>1</v>
      </c>
      <c r="F561" s="4">
        <v>21.9</v>
      </c>
      <c r="G561" s="5" t="s">
        <v>7280</v>
      </c>
      <c r="H561" s="4" t="s">
        <v>5544</v>
      </c>
      <c r="I561" s="4" t="s">
        <v>920</v>
      </c>
      <c r="J561" s="5"/>
      <c r="K561" s="22" t="s">
        <v>7201</v>
      </c>
      <c r="L561" s="84" t="s">
        <v>7190</v>
      </c>
      <c r="M561" s="23" t="s">
        <v>920</v>
      </c>
      <c r="N561" s="23">
        <v>43967</v>
      </c>
      <c r="O561" s="24" t="s">
        <v>102</v>
      </c>
      <c r="P561" s="24" t="s">
        <v>181</v>
      </c>
      <c r="Q561" s="24">
        <v>1</v>
      </c>
      <c r="R561" s="24">
        <v>21.9</v>
      </c>
      <c r="S561" t="s">
        <v>528</v>
      </c>
      <c r="T561">
        <v>380.5</v>
      </c>
      <c r="U561" s="2" t="s">
        <v>163</v>
      </c>
      <c r="V561">
        <v>43967.796643518515</v>
      </c>
      <c r="W561" s="2" t="s">
        <v>444</v>
      </c>
      <c r="X561">
        <v>43967.852824074071</v>
      </c>
      <c r="AB561" t="s">
        <v>9</v>
      </c>
      <c r="AC561" t="s">
        <v>5996</v>
      </c>
      <c r="AD561" t="s">
        <v>182</v>
      </c>
      <c r="AE561" t="s">
        <v>7258</v>
      </c>
      <c r="AF561" t="s">
        <v>7258</v>
      </c>
      <c r="AG561" t="s">
        <v>183</v>
      </c>
      <c r="AH561" t="s">
        <v>7202</v>
      </c>
      <c r="AI561" t="s">
        <v>7202</v>
      </c>
      <c r="AJ561" t="s">
        <v>2637</v>
      </c>
      <c r="AK561" t="s">
        <v>2638</v>
      </c>
      <c r="AL561" t="s">
        <v>7203</v>
      </c>
      <c r="AO561" t="s">
        <v>7204</v>
      </c>
      <c r="AP561" t="s">
        <v>6001</v>
      </c>
      <c r="AR561" t="s">
        <v>7259</v>
      </c>
      <c r="AS561">
        <v>-494073445660</v>
      </c>
      <c r="AT561" t="s">
        <v>7205</v>
      </c>
      <c r="AU561" t="s">
        <v>10</v>
      </c>
      <c r="AV561" t="s">
        <v>7206</v>
      </c>
      <c r="AW561" t="s">
        <v>7206</v>
      </c>
      <c r="AX561" t="s">
        <v>7207</v>
      </c>
      <c r="AY561" t="s">
        <v>7208</v>
      </c>
      <c r="AZ561" t="s">
        <v>4114</v>
      </c>
      <c r="BA561" t="s">
        <v>1002</v>
      </c>
      <c r="BB561" t="s">
        <v>187</v>
      </c>
      <c r="BC561" t="s">
        <v>188</v>
      </c>
      <c r="BD561">
        <v>518115</v>
      </c>
      <c r="BE561" t="s">
        <v>7260</v>
      </c>
      <c r="BF561" t="s">
        <v>7209</v>
      </c>
      <c r="BG561" t="b">
        <v>0</v>
      </c>
      <c r="BH561" s="6" t="s">
        <v>7210</v>
      </c>
      <c r="BI561" t="s">
        <v>7211</v>
      </c>
      <c r="BJ561">
        <v>4453163191</v>
      </c>
      <c r="BK561" t="s">
        <v>162</v>
      </c>
      <c r="BL561" t="s">
        <v>161</v>
      </c>
      <c r="BM561" s="2"/>
      <c r="BO561" t="s">
        <v>89</v>
      </c>
      <c r="BP561">
        <v>3907999990</v>
      </c>
      <c r="BR561" t="s">
        <v>180</v>
      </c>
      <c r="BS561" t="s">
        <v>103</v>
      </c>
      <c r="BU561">
        <v>191.1</v>
      </c>
      <c r="BV561">
        <v>407.04</v>
      </c>
      <c r="BW561">
        <v>0</v>
      </c>
      <c r="BX561">
        <v>0</v>
      </c>
      <c r="BY561">
        <v>0</v>
      </c>
      <c r="BZ561">
        <v>0</v>
      </c>
      <c r="CA561">
        <v>598.14</v>
      </c>
      <c r="CF561" s="2"/>
      <c r="CH561" s="2"/>
      <c r="CJ561">
        <v>5.3142020950087501E+17</v>
      </c>
      <c r="CK561" t="s">
        <v>1849</v>
      </c>
      <c r="CL561">
        <v>43967.372650462959</v>
      </c>
      <c r="CO561" t="s">
        <v>11</v>
      </c>
      <c r="CP561" t="s">
        <v>7261</v>
      </c>
      <c r="CQ561" t="s">
        <v>11</v>
      </c>
      <c r="CR561">
        <v>2940.01</v>
      </c>
      <c r="CV561" t="s">
        <v>190</v>
      </c>
      <c r="CW561" t="s">
        <v>12</v>
      </c>
      <c r="CX561" t="s">
        <v>12</v>
      </c>
      <c r="CY561" t="s">
        <v>12</v>
      </c>
      <c r="DA561" t="s">
        <v>104</v>
      </c>
      <c r="DD561" t="s">
        <v>93</v>
      </c>
      <c r="DQ561" t="s">
        <v>94</v>
      </c>
      <c r="DR561" t="s">
        <v>94</v>
      </c>
      <c r="DS561" t="s">
        <v>94</v>
      </c>
      <c r="DT561" t="s">
        <v>94</v>
      </c>
      <c r="DU561" t="s">
        <v>94</v>
      </c>
      <c r="DV561" t="s">
        <v>94</v>
      </c>
      <c r="DW561" t="s">
        <v>94</v>
      </c>
      <c r="DX561" s="2" t="s">
        <v>94</v>
      </c>
      <c r="DY561" t="s">
        <v>94</v>
      </c>
      <c r="DZ561" t="s">
        <v>94</v>
      </c>
      <c r="EA561" t="s">
        <v>94</v>
      </c>
      <c r="EB561" t="s">
        <v>94</v>
      </c>
      <c r="EC561" t="s">
        <v>94</v>
      </c>
      <c r="ED561" t="s">
        <v>94</v>
      </c>
      <c r="EE561" t="s">
        <v>89</v>
      </c>
      <c r="EF561" t="s">
        <v>425</v>
      </c>
      <c r="EG561" t="s">
        <v>105</v>
      </c>
      <c r="EJ561" t="s">
        <v>166</v>
      </c>
      <c r="EK561" t="b">
        <v>0</v>
      </c>
      <c r="EL561" t="b">
        <v>0</v>
      </c>
      <c r="EM561" t="b">
        <v>0</v>
      </c>
    </row>
    <row r="562" spans="3:143">
      <c r="C562" s="4">
        <v>6</v>
      </c>
      <c r="D562" s="5"/>
      <c r="E562" s="5">
        <v>1</v>
      </c>
      <c r="F562" s="4">
        <v>6</v>
      </c>
      <c r="G562" s="5" t="s">
        <v>7280</v>
      </c>
      <c r="H562" s="4" t="s">
        <v>7262</v>
      </c>
      <c r="I562" s="4" t="s">
        <v>920</v>
      </c>
      <c r="J562" s="4"/>
      <c r="K562" s="22" t="s">
        <v>7212</v>
      </c>
      <c r="L562" s="84" t="s">
        <v>7190</v>
      </c>
      <c r="M562" s="23" t="s">
        <v>920</v>
      </c>
      <c r="N562" s="23">
        <v>43967</v>
      </c>
      <c r="O562" s="24" t="s">
        <v>102</v>
      </c>
      <c r="P562" s="24" t="s">
        <v>181</v>
      </c>
      <c r="Q562" s="24">
        <v>1</v>
      </c>
      <c r="R562" s="24">
        <v>6</v>
      </c>
      <c r="S562" t="s">
        <v>11</v>
      </c>
      <c r="T562">
        <v>2300</v>
      </c>
      <c r="U562" s="2" t="s">
        <v>163</v>
      </c>
      <c r="V562">
        <v>43967.796805555554</v>
      </c>
      <c r="W562" s="2" t="s">
        <v>444</v>
      </c>
      <c r="X562">
        <v>43967.800162037034</v>
      </c>
      <c r="AB562" t="s">
        <v>9</v>
      </c>
      <c r="AC562" t="s">
        <v>7213</v>
      </c>
      <c r="AD562" t="s">
        <v>1602</v>
      </c>
      <c r="AE562" t="s">
        <v>7263</v>
      </c>
      <c r="AF562" t="s">
        <v>7263</v>
      </c>
      <c r="AG562" t="s">
        <v>183</v>
      </c>
      <c r="AH562" t="s">
        <v>7214</v>
      </c>
      <c r="AI562" t="s">
        <v>7214</v>
      </c>
      <c r="AJ562" t="s">
        <v>601</v>
      </c>
      <c r="AK562" t="s">
        <v>602</v>
      </c>
      <c r="AL562" t="s">
        <v>7215</v>
      </c>
      <c r="AO562" t="s">
        <v>7216</v>
      </c>
      <c r="AP562" t="s">
        <v>7217</v>
      </c>
      <c r="AQ562" t="s">
        <v>7218</v>
      </c>
      <c r="AR562" t="s">
        <v>7264</v>
      </c>
      <c r="AS562">
        <v>306840605</v>
      </c>
      <c r="AT562" t="s">
        <v>7219</v>
      </c>
      <c r="AU562" t="s">
        <v>10</v>
      </c>
      <c r="AV562" t="s">
        <v>7220</v>
      </c>
      <c r="AW562" t="s">
        <v>7220</v>
      </c>
      <c r="AX562" t="s">
        <v>7221</v>
      </c>
      <c r="AY562" t="s">
        <v>7222</v>
      </c>
      <c r="BA562" t="s">
        <v>1980</v>
      </c>
      <c r="BB562" t="s">
        <v>1616</v>
      </c>
      <c r="BC562" t="s">
        <v>188</v>
      </c>
      <c r="BD562">
        <v>528427</v>
      </c>
      <c r="BE562" t="s">
        <v>7265</v>
      </c>
      <c r="BF562" t="s">
        <v>7223</v>
      </c>
      <c r="BG562" t="b">
        <v>0</v>
      </c>
      <c r="BH562" s="6" t="s">
        <v>7224</v>
      </c>
      <c r="BI562" t="s">
        <v>7225</v>
      </c>
      <c r="BJ562">
        <v>4453163191</v>
      </c>
      <c r="BK562" t="s">
        <v>162</v>
      </c>
      <c r="BL562" t="s">
        <v>161</v>
      </c>
      <c r="BM562" s="2"/>
      <c r="BO562" t="s">
        <v>89</v>
      </c>
      <c r="BP562">
        <v>8537109090</v>
      </c>
      <c r="BR562" t="s">
        <v>180</v>
      </c>
      <c r="BS562" t="s">
        <v>103</v>
      </c>
      <c r="BU562">
        <v>184</v>
      </c>
      <c r="BV562">
        <v>322.92</v>
      </c>
      <c r="BW562">
        <v>0</v>
      </c>
      <c r="BX562">
        <v>0</v>
      </c>
      <c r="BY562">
        <v>0</v>
      </c>
      <c r="BZ562">
        <v>0</v>
      </c>
      <c r="CA562">
        <v>506.92</v>
      </c>
      <c r="CF562" s="2"/>
      <c r="CH562" s="2"/>
      <c r="CJ562">
        <v>5.3142020950087501E+17</v>
      </c>
      <c r="CK562" t="s">
        <v>1849</v>
      </c>
      <c r="CL562">
        <v>43967.373182870368</v>
      </c>
      <c r="CO562" t="s">
        <v>11</v>
      </c>
      <c r="CP562" t="s">
        <v>7266</v>
      </c>
      <c r="CQ562" t="s">
        <v>11</v>
      </c>
      <c r="CR562">
        <v>2300</v>
      </c>
      <c r="CV562" t="s">
        <v>190</v>
      </c>
      <c r="CW562" t="s">
        <v>12</v>
      </c>
      <c r="CX562" t="s">
        <v>12</v>
      </c>
      <c r="CY562" t="s">
        <v>12</v>
      </c>
      <c r="DA562" t="s">
        <v>104</v>
      </c>
      <c r="DD562" t="s">
        <v>93</v>
      </c>
      <c r="DQ562" t="s">
        <v>94</v>
      </c>
      <c r="DR562" t="s">
        <v>94</v>
      </c>
      <c r="DS562" t="s">
        <v>94</v>
      </c>
      <c r="DT562" t="s">
        <v>94</v>
      </c>
      <c r="DU562" t="s">
        <v>94</v>
      </c>
      <c r="DV562" t="s">
        <v>94</v>
      </c>
      <c r="DW562" t="s">
        <v>94</v>
      </c>
      <c r="DX562" s="2" t="s">
        <v>94</v>
      </c>
      <c r="DY562" t="s">
        <v>94</v>
      </c>
      <c r="DZ562" t="s">
        <v>94</v>
      </c>
      <c r="EA562" t="s">
        <v>94</v>
      </c>
      <c r="EB562" t="s">
        <v>94</v>
      </c>
      <c r="EC562" t="s">
        <v>94</v>
      </c>
      <c r="ED562" t="s">
        <v>94</v>
      </c>
      <c r="EE562" t="s">
        <v>89</v>
      </c>
      <c r="EF562" t="s">
        <v>425</v>
      </c>
      <c r="EG562" t="s">
        <v>105</v>
      </c>
      <c r="EJ562" t="s">
        <v>166</v>
      </c>
      <c r="EK562" t="b">
        <v>0</v>
      </c>
      <c r="EL562" t="b">
        <v>0</v>
      </c>
      <c r="EM562" t="b">
        <v>0</v>
      </c>
    </row>
    <row r="563" spans="3:143" ht="15">
      <c r="C563" s="82">
        <v>32</v>
      </c>
      <c r="D563" s="5"/>
      <c r="E563" s="4">
        <v>1</v>
      </c>
      <c r="F563" s="5">
        <v>5.8</v>
      </c>
      <c r="G563" s="5" t="s">
        <v>7313</v>
      </c>
      <c r="H563" s="4" t="s">
        <v>7314</v>
      </c>
      <c r="I563" s="81" t="s">
        <v>164</v>
      </c>
      <c r="J563" s="21"/>
      <c r="K563" s="22" t="s">
        <v>7281</v>
      </c>
      <c r="L563" s="84" t="s">
        <v>7312</v>
      </c>
      <c r="M563" s="23" t="s">
        <v>164</v>
      </c>
      <c r="N563" s="23">
        <v>43972</v>
      </c>
      <c r="O563" s="24" t="s">
        <v>102</v>
      </c>
      <c r="P563" s="24" t="s">
        <v>181</v>
      </c>
      <c r="Q563" s="24">
        <v>1</v>
      </c>
      <c r="R563" s="24">
        <v>5.8</v>
      </c>
      <c r="S563" t="s">
        <v>11</v>
      </c>
      <c r="T563">
        <v>4890</v>
      </c>
      <c r="U563" s="2" t="s">
        <v>163</v>
      </c>
      <c r="V563">
        <v>43972.447280092594</v>
      </c>
      <c r="W563" s="2" t="s">
        <v>444</v>
      </c>
      <c r="X563">
        <v>43972.464317129627</v>
      </c>
      <c r="AB563" t="s">
        <v>9</v>
      </c>
      <c r="AC563" t="s">
        <v>7282</v>
      </c>
      <c r="AD563" t="s">
        <v>756</v>
      </c>
      <c r="AE563">
        <v>3000327</v>
      </c>
      <c r="AF563">
        <v>3000327</v>
      </c>
      <c r="AG563" t="s">
        <v>183</v>
      </c>
      <c r="AH563" t="s">
        <v>7283</v>
      </c>
      <c r="AI563" t="s">
        <v>7283</v>
      </c>
      <c r="AJ563" t="s">
        <v>2786</v>
      </c>
      <c r="AK563" t="s">
        <v>2787</v>
      </c>
      <c r="AL563" t="s">
        <v>7284</v>
      </c>
      <c r="AO563" t="s">
        <v>7285</v>
      </c>
      <c r="AP563" t="s">
        <v>7286</v>
      </c>
      <c r="AQ563" t="s">
        <v>2792</v>
      </c>
      <c r="AR563">
        <v>17721</v>
      </c>
      <c r="AS563">
        <v>1075998784</v>
      </c>
      <c r="AT563" t="s">
        <v>7287</v>
      </c>
      <c r="AU563" t="s">
        <v>10</v>
      </c>
      <c r="AV563" t="s">
        <v>7288</v>
      </c>
      <c r="AW563" t="s">
        <v>7289</v>
      </c>
      <c r="AX563" t="s">
        <v>7290</v>
      </c>
      <c r="AY563" s="2" t="s">
        <v>7291</v>
      </c>
      <c r="BA563" t="s">
        <v>7292</v>
      </c>
      <c r="BB563" t="s">
        <v>766</v>
      </c>
      <c r="BC563" t="s">
        <v>765</v>
      </c>
      <c r="BD563">
        <v>401320</v>
      </c>
      <c r="BE563">
        <v>-96837</v>
      </c>
      <c r="BF563" t="s">
        <v>7293</v>
      </c>
      <c r="BG563" t="b">
        <v>0</v>
      </c>
      <c r="BH563" s="6" t="s">
        <v>7294</v>
      </c>
      <c r="BI563" t="s">
        <v>7295</v>
      </c>
      <c r="BJ563">
        <v>4453163191</v>
      </c>
      <c r="BK563" t="s">
        <v>162</v>
      </c>
      <c r="BL563" t="s">
        <v>161</v>
      </c>
      <c r="BM563" s="2"/>
      <c r="BO563" t="s">
        <v>89</v>
      </c>
      <c r="BP563">
        <v>8518100090</v>
      </c>
      <c r="BR563" t="s">
        <v>180</v>
      </c>
      <c r="BS563" t="s">
        <v>103</v>
      </c>
      <c r="BU563">
        <v>386</v>
      </c>
      <c r="BV563">
        <v>685.89</v>
      </c>
      <c r="BW563">
        <v>0</v>
      </c>
      <c r="BX563">
        <v>0</v>
      </c>
      <c r="BY563">
        <v>0</v>
      </c>
      <c r="BZ563">
        <v>0</v>
      </c>
      <c r="CA563">
        <v>1071.8900000000001</v>
      </c>
      <c r="CF563" s="2"/>
      <c r="CH563" s="2"/>
      <c r="CJ563">
        <v>5.3142020950089997E+17</v>
      </c>
      <c r="CK563" t="s">
        <v>4402</v>
      </c>
      <c r="CL563">
        <v>43969.39466435185</v>
      </c>
      <c r="CO563" t="s">
        <v>11</v>
      </c>
      <c r="CP563">
        <v>4890</v>
      </c>
      <c r="CQ563" t="s">
        <v>11</v>
      </c>
      <c r="CR563">
        <v>4890</v>
      </c>
      <c r="CV563" t="s">
        <v>190</v>
      </c>
      <c r="CW563" t="s">
        <v>12</v>
      </c>
      <c r="CX563" t="s">
        <v>12</v>
      </c>
      <c r="CY563" t="s">
        <v>12</v>
      </c>
      <c r="DA563" t="s">
        <v>104</v>
      </c>
      <c r="DD563" t="s">
        <v>93</v>
      </c>
      <c r="DQ563" t="s">
        <v>94</v>
      </c>
      <c r="DR563" t="s">
        <v>94</v>
      </c>
      <c r="DS563" t="s">
        <v>94</v>
      </c>
      <c r="DT563" t="s">
        <v>94</v>
      </c>
      <c r="DU563" t="s">
        <v>94</v>
      </c>
      <c r="DV563" t="s">
        <v>94</v>
      </c>
      <c r="DW563" t="s">
        <v>94</v>
      </c>
      <c r="DX563" s="2" t="s">
        <v>94</v>
      </c>
      <c r="DY563" t="s">
        <v>94</v>
      </c>
      <c r="DZ563" t="s">
        <v>94</v>
      </c>
      <c r="EA563" t="s">
        <v>94</v>
      </c>
      <c r="EB563" t="s">
        <v>94</v>
      </c>
      <c r="EC563" t="s">
        <v>94</v>
      </c>
      <c r="ED563" t="s">
        <v>94</v>
      </c>
      <c r="EE563" t="s">
        <v>89</v>
      </c>
      <c r="EF563" t="s">
        <v>425</v>
      </c>
      <c r="EG563" t="s">
        <v>7244</v>
      </c>
      <c r="EJ563" t="s">
        <v>526</v>
      </c>
      <c r="EK563" t="b">
        <v>0</v>
      </c>
      <c r="EL563" t="b">
        <v>0</v>
      </c>
      <c r="EM563" t="b">
        <v>0</v>
      </c>
    </row>
    <row r="564" spans="3:143" ht="15">
      <c r="C564" s="82">
        <v>131</v>
      </c>
      <c r="D564" s="5"/>
      <c r="E564" s="4">
        <v>2</v>
      </c>
      <c r="F564" s="5">
        <v>11.25</v>
      </c>
      <c r="G564" s="5" t="s">
        <v>7315</v>
      </c>
      <c r="H564" s="4" t="s">
        <v>7316</v>
      </c>
      <c r="I564" s="81" t="s">
        <v>817</v>
      </c>
      <c r="J564" s="21"/>
      <c r="K564" s="22" t="s">
        <v>7296</v>
      </c>
      <c r="L564" s="84" t="s">
        <v>7297</v>
      </c>
      <c r="M564" s="23" t="s">
        <v>817</v>
      </c>
      <c r="N564" s="23">
        <v>43968</v>
      </c>
      <c r="O564" s="24" t="s">
        <v>102</v>
      </c>
      <c r="P564" s="24" t="s">
        <v>181</v>
      </c>
      <c r="Q564" s="24">
        <v>2</v>
      </c>
      <c r="R564" s="24">
        <v>11.25</v>
      </c>
      <c r="S564" t="s">
        <v>11</v>
      </c>
      <c r="T564">
        <v>560</v>
      </c>
      <c r="U564" s="2" t="s">
        <v>163</v>
      </c>
      <c r="V564">
        <v>43968.907013888886</v>
      </c>
      <c r="W564" s="2" t="s">
        <v>444</v>
      </c>
      <c r="X564">
        <v>43970.559965277775</v>
      </c>
      <c r="AB564" t="s">
        <v>9</v>
      </c>
      <c r="AC564" t="s">
        <v>7298</v>
      </c>
      <c r="AD564" t="s">
        <v>182</v>
      </c>
      <c r="AE564">
        <v>569462</v>
      </c>
      <c r="AF564">
        <v>569462</v>
      </c>
      <c r="AG564" t="s">
        <v>183</v>
      </c>
      <c r="AH564" t="s">
        <v>7299</v>
      </c>
      <c r="AI564" t="s">
        <v>7299</v>
      </c>
      <c r="AJ564" t="s">
        <v>2786</v>
      </c>
      <c r="AK564" t="s">
        <v>2787</v>
      </c>
      <c r="AL564" t="s">
        <v>7300</v>
      </c>
      <c r="AO564" t="s">
        <v>7301</v>
      </c>
      <c r="AP564" t="s">
        <v>7302</v>
      </c>
      <c r="AQ564" t="s">
        <v>7303</v>
      </c>
      <c r="AR564">
        <v>51002</v>
      </c>
      <c r="AS564">
        <v>-827087218353</v>
      </c>
      <c r="AT564" t="s">
        <v>7304</v>
      </c>
      <c r="AU564" t="s">
        <v>10</v>
      </c>
      <c r="AV564" t="s">
        <v>7305</v>
      </c>
      <c r="AW564" t="s">
        <v>7305</v>
      </c>
      <c r="AX564" t="s">
        <v>7306</v>
      </c>
      <c r="AY564" s="2" t="s">
        <v>7307</v>
      </c>
      <c r="AZ564" t="s">
        <v>7308</v>
      </c>
      <c r="BA564" t="s">
        <v>1002</v>
      </c>
      <c r="BB564" t="s">
        <v>187</v>
      </c>
      <c r="BC564" t="s">
        <v>188</v>
      </c>
      <c r="BD564">
        <v>518116</v>
      </c>
      <c r="BE564">
        <v>-8675528261844</v>
      </c>
      <c r="BF564" t="s">
        <v>7309</v>
      </c>
      <c r="BG564" t="b">
        <v>0</v>
      </c>
      <c r="BH564" s="6" t="s">
        <v>7310</v>
      </c>
      <c r="BI564" t="s">
        <v>7311</v>
      </c>
      <c r="BJ564">
        <v>4453163191</v>
      </c>
      <c r="BK564" t="s">
        <v>162</v>
      </c>
      <c r="BL564" t="s">
        <v>161</v>
      </c>
      <c r="BM564" s="2"/>
      <c r="BO564" t="s">
        <v>89</v>
      </c>
      <c r="BP564">
        <v>39264000</v>
      </c>
      <c r="BR564" t="s">
        <v>180</v>
      </c>
      <c r="BS564" t="s">
        <v>103</v>
      </c>
      <c r="BU564">
        <v>0</v>
      </c>
      <c r="BV564">
        <v>77.53</v>
      </c>
      <c r="BW564">
        <v>0</v>
      </c>
      <c r="BX564">
        <v>0</v>
      </c>
      <c r="BY564">
        <v>0</v>
      </c>
      <c r="BZ564">
        <v>0</v>
      </c>
      <c r="CA564">
        <v>77.53</v>
      </c>
      <c r="CF564" s="2"/>
      <c r="CH564" s="2"/>
      <c r="CJ564">
        <v>5.3142020950087699E+17</v>
      </c>
      <c r="CK564" t="s">
        <v>2648</v>
      </c>
      <c r="CL564">
        <v>43968.376608796294</v>
      </c>
      <c r="CO564" t="s">
        <v>11</v>
      </c>
      <c r="CP564">
        <v>560</v>
      </c>
      <c r="CQ564" t="s">
        <v>11</v>
      </c>
      <c r="CR564">
        <v>560</v>
      </c>
      <c r="CV564" t="s">
        <v>190</v>
      </c>
      <c r="CW564" t="s">
        <v>12</v>
      </c>
      <c r="CX564" t="s">
        <v>12</v>
      </c>
      <c r="CY564" t="s">
        <v>12</v>
      </c>
      <c r="DA564" t="s">
        <v>104</v>
      </c>
      <c r="DD564" t="s">
        <v>93</v>
      </c>
      <c r="DQ564" t="s">
        <v>94</v>
      </c>
      <c r="DR564" t="s">
        <v>94</v>
      </c>
      <c r="DS564" t="s">
        <v>94</v>
      </c>
      <c r="DT564" t="s">
        <v>94</v>
      </c>
      <c r="DU564" t="s">
        <v>94</v>
      </c>
      <c r="DV564" t="s">
        <v>94</v>
      </c>
      <c r="DW564" t="s">
        <v>94</v>
      </c>
      <c r="DX564" s="2" t="s">
        <v>94</v>
      </c>
      <c r="DY564" t="s">
        <v>94</v>
      </c>
      <c r="DZ564" t="s">
        <v>94</v>
      </c>
      <c r="EA564" t="s">
        <v>94</v>
      </c>
      <c r="EB564" t="s">
        <v>94</v>
      </c>
      <c r="EC564" t="s">
        <v>94</v>
      </c>
      <c r="ED564" t="s">
        <v>94</v>
      </c>
      <c r="EE564" t="s">
        <v>89</v>
      </c>
      <c r="EF564" t="s">
        <v>425</v>
      </c>
      <c r="EG564" t="s">
        <v>105</v>
      </c>
      <c r="EJ564" t="s">
        <v>166</v>
      </c>
      <c r="EK564" t="b">
        <v>0</v>
      </c>
      <c r="EL564" t="b">
        <v>0</v>
      </c>
      <c r="EM564" t="b">
        <v>0</v>
      </c>
    </row>
    <row r="565" spans="3:143" ht="15">
      <c r="C565" s="82">
        <v>2323</v>
      </c>
      <c r="D565" s="5"/>
      <c r="E565" s="4">
        <v>1</v>
      </c>
      <c r="F565" s="5">
        <v>0.9</v>
      </c>
      <c r="G565" s="5" t="s">
        <v>7330</v>
      </c>
      <c r="H565" s="4" t="s">
        <v>7331</v>
      </c>
      <c r="I565" s="81" t="s">
        <v>466</v>
      </c>
      <c r="J565" s="21"/>
      <c r="K565" s="22" t="s">
        <v>7317</v>
      </c>
      <c r="L565" s="84" t="s">
        <v>7105</v>
      </c>
      <c r="M565" s="23" t="s">
        <v>409</v>
      </c>
      <c r="N565" s="23">
        <v>43960</v>
      </c>
      <c r="O565" s="24" t="s">
        <v>102</v>
      </c>
      <c r="P565" s="24" t="s">
        <v>179</v>
      </c>
      <c r="Q565" s="24">
        <v>1</v>
      </c>
      <c r="R565" s="24">
        <v>0.9</v>
      </c>
      <c r="S565" t="s">
        <v>319</v>
      </c>
      <c r="T565">
        <v>45</v>
      </c>
      <c r="U565" s="2" t="s">
        <v>163</v>
      </c>
      <c r="V565">
        <v>43960.794733796298</v>
      </c>
      <c r="W565" s="2" t="s">
        <v>444</v>
      </c>
      <c r="X565">
        <v>43960.821793981479</v>
      </c>
      <c r="AB565" t="s">
        <v>9</v>
      </c>
      <c r="AC565" t="s">
        <v>7318</v>
      </c>
      <c r="AD565" t="s">
        <v>182</v>
      </c>
      <c r="AE565">
        <v>73028068</v>
      </c>
      <c r="AF565">
        <v>73028068</v>
      </c>
      <c r="AG565" t="s">
        <v>183</v>
      </c>
      <c r="AH565" t="s">
        <v>7319</v>
      </c>
      <c r="AI565" t="s">
        <v>7319</v>
      </c>
      <c r="AJ565" t="s">
        <v>776</v>
      </c>
      <c r="AK565" t="s">
        <v>777</v>
      </c>
      <c r="AL565" t="s">
        <v>7320</v>
      </c>
      <c r="AO565" t="s">
        <v>7321</v>
      </c>
      <c r="AP565" t="s">
        <v>7322</v>
      </c>
      <c r="AQ565" t="s">
        <v>1386</v>
      </c>
      <c r="AR565">
        <v>78083</v>
      </c>
      <c r="AS565">
        <v>772099585815</v>
      </c>
      <c r="AT565" t="s">
        <v>7323</v>
      </c>
      <c r="AU565" t="s">
        <v>10</v>
      </c>
      <c r="AV565" t="s">
        <v>7324</v>
      </c>
      <c r="AW565" t="s">
        <v>7324</v>
      </c>
      <c r="AX565" t="s">
        <v>7325</v>
      </c>
      <c r="AY565" s="2" t="s">
        <v>7326</v>
      </c>
      <c r="AZ565" t="s">
        <v>7327</v>
      </c>
      <c r="BA565" t="s">
        <v>194</v>
      </c>
      <c r="BB565" t="s">
        <v>187</v>
      </c>
      <c r="BC565" t="s">
        <v>188</v>
      </c>
      <c r="BD565">
        <v>518102</v>
      </c>
      <c r="BE565">
        <v>-13425113669</v>
      </c>
      <c r="BF565" t="s">
        <v>7328</v>
      </c>
      <c r="BG565" t="b">
        <v>0</v>
      </c>
      <c r="BH565" s="6"/>
      <c r="BI565" t="s">
        <v>7329</v>
      </c>
      <c r="BJ565">
        <v>4453163191</v>
      </c>
      <c r="BK565" t="s">
        <v>162</v>
      </c>
      <c r="BL565" t="s">
        <v>161</v>
      </c>
      <c r="BM565" s="2"/>
      <c r="BO565" t="s">
        <v>89</v>
      </c>
      <c r="BP565">
        <v>85369090</v>
      </c>
      <c r="BR565" t="s">
        <v>180</v>
      </c>
      <c r="BS565" t="s">
        <v>103</v>
      </c>
      <c r="BU565">
        <v>0</v>
      </c>
      <c r="BV565">
        <v>0</v>
      </c>
      <c r="BW565">
        <v>0</v>
      </c>
      <c r="BX565">
        <v>0</v>
      </c>
      <c r="BY565">
        <v>0</v>
      </c>
      <c r="BZ565">
        <v>0</v>
      </c>
      <c r="CA565">
        <v>0</v>
      </c>
      <c r="CF565" s="2"/>
      <c r="CH565" s="2"/>
      <c r="CJ565">
        <v>5.3142020950083302E+17</v>
      </c>
      <c r="CK565" t="s">
        <v>4402</v>
      </c>
      <c r="CL565">
        <v>43960.374618055554</v>
      </c>
      <c r="CO565" t="s">
        <v>11</v>
      </c>
      <c r="CP565">
        <v>316.81</v>
      </c>
      <c r="CQ565" t="s">
        <v>11</v>
      </c>
      <c r="CR565">
        <v>316.81</v>
      </c>
      <c r="CV565" t="s">
        <v>190</v>
      </c>
      <c r="CW565" t="s">
        <v>12</v>
      </c>
      <c r="CX565" t="s">
        <v>12</v>
      </c>
      <c r="CY565" t="s">
        <v>12</v>
      </c>
      <c r="DA565" t="s">
        <v>104</v>
      </c>
      <c r="DD565" t="s">
        <v>93</v>
      </c>
      <c r="DQ565" t="s">
        <v>94</v>
      </c>
      <c r="DR565" t="s">
        <v>94</v>
      </c>
      <c r="DS565" t="s">
        <v>94</v>
      </c>
      <c r="DT565" t="s">
        <v>94</v>
      </c>
      <c r="DU565" t="s">
        <v>94</v>
      </c>
      <c r="DV565" t="s">
        <v>94</v>
      </c>
      <c r="DW565" t="s">
        <v>94</v>
      </c>
      <c r="DX565" s="2" t="s">
        <v>94</v>
      </c>
      <c r="DY565" t="s">
        <v>94</v>
      </c>
      <c r="DZ565" t="s">
        <v>94</v>
      </c>
      <c r="EA565" t="s">
        <v>94</v>
      </c>
      <c r="EB565" t="s">
        <v>94</v>
      </c>
      <c r="EC565" t="s">
        <v>94</v>
      </c>
      <c r="ED565" t="s">
        <v>94</v>
      </c>
      <c r="EE565" t="s">
        <v>89</v>
      </c>
      <c r="EF565" t="s">
        <v>425</v>
      </c>
      <c r="EG565" t="s">
        <v>105</v>
      </c>
      <c r="EJ565" t="s">
        <v>166</v>
      </c>
      <c r="EK565" t="b">
        <v>0</v>
      </c>
      <c r="EL565" t="b">
        <v>0</v>
      </c>
      <c r="EM565" t="b">
        <v>0</v>
      </c>
    </row>
    <row r="566" spans="3:143" ht="15">
      <c r="C566" s="82">
        <v>2323</v>
      </c>
      <c r="D566" s="5"/>
      <c r="E566" s="4">
        <v>1</v>
      </c>
      <c r="F566" s="5">
        <v>3.6</v>
      </c>
      <c r="G566" s="5" t="s">
        <v>7369</v>
      </c>
      <c r="H566" s="4" t="s">
        <v>7370</v>
      </c>
      <c r="I566" s="81" t="s">
        <v>817</v>
      </c>
      <c r="J566" s="21"/>
      <c r="K566" s="22" t="s">
        <v>7332</v>
      </c>
      <c r="L566" s="84" t="s">
        <v>7333</v>
      </c>
      <c r="M566" s="23" t="s">
        <v>817</v>
      </c>
      <c r="N566" s="23">
        <v>43982</v>
      </c>
      <c r="O566" s="24" t="s">
        <v>102</v>
      </c>
      <c r="P566" s="24" t="s">
        <v>181</v>
      </c>
      <c r="Q566" s="24">
        <v>1</v>
      </c>
      <c r="R566" s="24">
        <v>3.6</v>
      </c>
      <c r="S566" t="s">
        <v>319</v>
      </c>
      <c r="T566">
        <v>636</v>
      </c>
      <c r="U566" s="2" t="s">
        <v>163</v>
      </c>
      <c r="V566">
        <v>43982.793506944443</v>
      </c>
      <c r="W566" s="2" t="s">
        <v>444</v>
      </c>
      <c r="X566">
        <v>43982.833738425928</v>
      </c>
      <c r="AB566" t="s">
        <v>9</v>
      </c>
      <c r="AC566" t="s">
        <v>1230</v>
      </c>
      <c r="AD566" t="s">
        <v>182</v>
      </c>
      <c r="AE566">
        <v>1008684</v>
      </c>
      <c r="AF566">
        <v>1008684</v>
      </c>
      <c r="AG566" t="s">
        <v>183</v>
      </c>
      <c r="AH566" t="s">
        <v>7334</v>
      </c>
      <c r="AI566" t="s">
        <v>7334</v>
      </c>
      <c r="AJ566" t="s">
        <v>1232</v>
      </c>
      <c r="AK566" t="s">
        <v>1233</v>
      </c>
      <c r="AL566" t="s">
        <v>7335</v>
      </c>
      <c r="AM566">
        <v>44017</v>
      </c>
      <c r="AN566" t="s">
        <v>7336</v>
      </c>
      <c r="AO566" t="s">
        <v>1236</v>
      </c>
      <c r="AP566" t="s">
        <v>1233</v>
      </c>
      <c r="AR566" t="s">
        <v>7371</v>
      </c>
      <c r="AS566">
        <v>6567466066</v>
      </c>
      <c r="AT566" t="s">
        <v>7337</v>
      </c>
      <c r="AU566" t="s">
        <v>10</v>
      </c>
      <c r="AV566" t="s">
        <v>7338</v>
      </c>
      <c r="AW566" t="s">
        <v>7338</v>
      </c>
      <c r="AX566" t="s">
        <v>7339</v>
      </c>
      <c r="AY566" s="2" t="s">
        <v>7340</v>
      </c>
      <c r="AZ566" t="s">
        <v>7341</v>
      </c>
      <c r="BA566" t="s">
        <v>194</v>
      </c>
      <c r="BB566" t="s">
        <v>272</v>
      </c>
      <c r="BC566" t="s">
        <v>188</v>
      </c>
      <c r="BD566">
        <v>518000</v>
      </c>
      <c r="BE566">
        <v>-15302669442</v>
      </c>
      <c r="BF566" t="s">
        <v>7342</v>
      </c>
      <c r="BG566" t="b">
        <v>0</v>
      </c>
      <c r="BH566" s="6" t="s">
        <v>7343</v>
      </c>
      <c r="BI566" t="s">
        <v>7344</v>
      </c>
      <c r="BJ566">
        <v>4453163191</v>
      </c>
      <c r="BK566" t="s">
        <v>162</v>
      </c>
      <c r="BL566" t="s">
        <v>161</v>
      </c>
      <c r="BM566" s="2"/>
      <c r="BO566" t="s">
        <v>89</v>
      </c>
      <c r="BP566">
        <v>85444221</v>
      </c>
      <c r="BR566" t="s">
        <v>180</v>
      </c>
      <c r="BS566" t="s">
        <v>103</v>
      </c>
      <c r="BU566">
        <v>0</v>
      </c>
      <c r="BV566">
        <v>582.08000000000004</v>
      </c>
      <c r="BW566">
        <v>0</v>
      </c>
      <c r="BX566">
        <v>0</v>
      </c>
      <c r="BY566">
        <v>0</v>
      </c>
      <c r="BZ566">
        <v>0</v>
      </c>
      <c r="CA566">
        <v>582.08000000000004</v>
      </c>
      <c r="CF566" s="2"/>
      <c r="CH566" s="2"/>
      <c r="CJ566">
        <v>5.3142020950096499E+17</v>
      </c>
      <c r="CK566" t="s">
        <v>7016</v>
      </c>
      <c r="CL566">
        <v>43982.381238425929</v>
      </c>
      <c r="CO566" t="s">
        <v>11</v>
      </c>
      <c r="CP566">
        <v>4477.57</v>
      </c>
      <c r="CQ566" t="s">
        <v>11</v>
      </c>
      <c r="CR566">
        <v>4477.57</v>
      </c>
      <c r="CV566" t="s">
        <v>190</v>
      </c>
      <c r="CW566" t="s">
        <v>12</v>
      </c>
      <c r="CX566" t="s">
        <v>12</v>
      </c>
      <c r="CY566" t="s">
        <v>12</v>
      </c>
      <c r="DA566" t="s">
        <v>104</v>
      </c>
      <c r="DD566" t="s">
        <v>93</v>
      </c>
      <c r="DQ566" t="s">
        <v>94</v>
      </c>
      <c r="DR566" t="s">
        <v>94</v>
      </c>
      <c r="DS566" t="s">
        <v>94</v>
      </c>
      <c r="DT566" t="s">
        <v>94</v>
      </c>
      <c r="DU566" t="s">
        <v>94</v>
      </c>
      <c r="DV566" t="s">
        <v>94</v>
      </c>
      <c r="DW566" t="s">
        <v>94</v>
      </c>
      <c r="DX566" s="2" t="s">
        <v>94</v>
      </c>
      <c r="DY566" t="s">
        <v>94</v>
      </c>
      <c r="DZ566" t="s">
        <v>94</v>
      </c>
      <c r="EA566" t="s">
        <v>94</v>
      </c>
      <c r="EB566" t="s">
        <v>94</v>
      </c>
      <c r="EC566" t="s">
        <v>94</v>
      </c>
      <c r="ED566" t="s">
        <v>94</v>
      </c>
      <c r="EE566" t="s">
        <v>89</v>
      </c>
      <c r="EF566" t="s">
        <v>425</v>
      </c>
      <c r="EG566" t="s">
        <v>7244</v>
      </c>
      <c r="EJ566" t="s">
        <v>166</v>
      </c>
      <c r="EK566" t="b">
        <v>0</v>
      </c>
      <c r="EL566" t="b">
        <v>0</v>
      </c>
      <c r="EM566" t="b">
        <v>0</v>
      </c>
    </row>
    <row r="567" spans="3:143" ht="15">
      <c r="C567" s="82">
        <v>1231</v>
      </c>
      <c r="D567" s="5">
        <v>146</v>
      </c>
      <c r="E567" s="4">
        <v>1</v>
      </c>
      <c r="F567" s="5">
        <v>146</v>
      </c>
      <c r="G567" s="5" t="s">
        <v>7372</v>
      </c>
      <c r="H567" s="4" t="s">
        <v>7373</v>
      </c>
      <c r="I567" s="81" t="s">
        <v>466</v>
      </c>
      <c r="J567" s="21"/>
      <c r="K567" s="22" t="s">
        <v>7345</v>
      </c>
      <c r="L567" s="84" t="s">
        <v>7346</v>
      </c>
      <c r="M567" s="23" t="s">
        <v>409</v>
      </c>
      <c r="N567" s="23">
        <v>43980</v>
      </c>
      <c r="O567" s="24" t="s">
        <v>102</v>
      </c>
      <c r="P567" s="24" t="s">
        <v>480</v>
      </c>
      <c r="Q567" s="24">
        <v>1</v>
      </c>
      <c r="R567" s="24">
        <v>0.06</v>
      </c>
      <c r="S567" t="s">
        <v>528</v>
      </c>
      <c r="T567">
        <v>28123.200000000001</v>
      </c>
      <c r="U567" s="2"/>
      <c r="W567" s="2"/>
      <c r="AB567" t="s">
        <v>9</v>
      </c>
      <c r="AC567" t="s">
        <v>1667</v>
      </c>
      <c r="AD567" t="s">
        <v>182</v>
      </c>
      <c r="AE567">
        <v>681343</v>
      </c>
      <c r="AF567">
        <v>681343</v>
      </c>
      <c r="AG567" t="s">
        <v>183</v>
      </c>
      <c r="AH567" t="s">
        <v>7347</v>
      </c>
      <c r="AI567" t="s">
        <v>7347</v>
      </c>
      <c r="AJ567" t="s">
        <v>508</v>
      </c>
      <c r="AK567" t="s">
        <v>509</v>
      </c>
      <c r="AL567" t="s">
        <v>6044</v>
      </c>
      <c r="AO567" t="s">
        <v>1671</v>
      </c>
      <c r="AP567" t="s">
        <v>1672</v>
      </c>
      <c r="AR567" t="s">
        <v>3282</v>
      </c>
      <c r="AS567">
        <v>31695900</v>
      </c>
      <c r="AT567" t="s">
        <v>6045</v>
      </c>
      <c r="AU567" t="s">
        <v>10</v>
      </c>
      <c r="AV567" t="s">
        <v>7348</v>
      </c>
      <c r="AW567" t="s">
        <v>7348</v>
      </c>
      <c r="AX567" t="s">
        <v>7349</v>
      </c>
      <c r="AY567" s="2" t="s">
        <v>7350</v>
      </c>
      <c r="BA567" t="s">
        <v>194</v>
      </c>
      <c r="BB567" t="s">
        <v>272</v>
      </c>
      <c r="BC567" t="s">
        <v>188</v>
      </c>
      <c r="BD567">
        <v>518034</v>
      </c>
      <c r="BE567">
        <v>86075522928700</v>
      </c>
      <c r="BF567" t="s">
        <v>7351</v>
      </c>
      <c r="BG567" t="b">
        <v>0</v>
      </c>
      <c r="BH567" s="6" t="s">
        <v>7352</v>
      </c>
      <c r="BI567" t="s">
        <v>7353</v>
      </c>
      <c r="BJ567">
        <v>4453163191</v>
      </c>
      <c r="BK567" t="s">
        <v>162</v>
      </c>
      <c r="BL567" t="s">
        <v>161</v>
      </c>
      <c r="BM567" s="2"/>
      <c r="BR567" t="s">
        <v>180</v>
      </c>
      <c r="BS567" t="s">
        <v>103</v>
      </c>
      <c r="BU567">
        <v>0</v>
      </c>
      <c r="BV567">
        <v>0</v>
      </c>
      <c r="BW567">
        <v>0</v>
      </c>
      <c r="BX567">
        <v>0</v>
      </c>
      <c r="BY567">
        <v>0</v>
      </c>
      <c r="BZ567">
        <v>0</v>
      </c>
      <c r="CA567">
        <v>0</v>
      </c>
      <c r="CF567" s="2"/>
      <c r="CH567" s="2"/>
      <c r="CK567" t="s">
        <v>4402</v>
      </c>
      <c r="CL567">
        <v>43980.37777777778</v>
      </c>
      <c r="CO567" t="s">
        <v>11</v>
      </c>
      <c r="CP567">
        <v>217299.53</v>
      </c>
      <c r="CQ567" t="s">
        <v>11</v>
      </c>
      <c r="CR567">
        <v>217299.53</v>
      </c>
      <c r="CV567" t="s">
        <v>190</v>
      </c>
      <c r="CW567" t="s">
        <v>12</v>
      </c>
      <c r="CX567" t="s">
        <v>12</v>
      </c>
      <c r="CY567" t="s">
        <v>12</v>
      </c>
      <c r="DA567" t="s">
        <v>104</v>
      </c>
      <c r="DD567" t="s">
        <v>93</v>
      </c>
      <c r="DQ567" t="s">
        <v>94</v>
      </c>
      <c r="DR567" t="s">
        <v>94</v>
      </c>
      <c r="DS567" t="s">
        <v>94</v>
      </c>
      <c r="DT567" t="s">
        <v>94</v>
      </c>
      <c r="DU567" t="s">
        <v>94</v>
      </c>
      <c r="DV567" t="s">
        <v>94</v>
      </c>
      <c r="DW567" t="s">
        <v>94</v>
      </c>
      <c r="DX567" s="2" t="s">
        <v>94</v>
      </c>
      <c r="DY567" t="s">
        <v>94</v>
      </c>
      <c r="DZ567" t="s">
        <v>94</v>
      </c>
      <c r="EA567" t="s">
        <v>94</v>
      </c>
      <c r="EB567" t="s">
        <v>94</v>
      </c>
      <c r="EC567" t="s">
        <v>94</v>
      </c>
      <c r="ED567" t="s">
        <v>94</v>
      </c>
      <c r="EE567" t="s">
        <v>89</v>
      </c>
      <c r="EF567" t="s">
        <v>94</v>
      </c>
      <c r="EG567" t="s">
        <v>7244</v>
      </c>
      <c r="EJ567" t="s">
        <v>166</v>
      </c>
      <c r="EK567" t="b">
        <v>0</v>
      </c>
      <c r="EL567" t="b">
        <v>0</v>
      </c>
      <c r="EM567" t="b">
        <v>0</v>
      </c>
    </row>
    <row r="568" spans="3:143" ht="15">
      <c r="C568" s="82">
        <v>1313</v>
      </c>
      <c r="D568" s="5"/>
      <c r="E568" s="4">
        <v>1</v>
      </c>
      <c r="F568" s="5">
        <v>2.7</v>
      </c>
      <c r="G568" s="5" t="s">
        <v>7374</v>
      </c>
      <c r="H568" s="4" t="s">
        <v>7375</v>
      </c>
      <c r="I568" s="81" t="s">
        <v>164</v>
      </c>
      <c r="J568" s="21"/>
      <c r="K568" s="22" t="s">
        <v>7354</v>
      </c>
      <c r="L568" s="84" t="s">
        <v>7355</v>
      </c>
      <c r="M568" s="23" t="s">
        <v>164</v>
      </c>
      <c r="N568" s="23">
        <v>43969</v>
      </c>
      <c r="O568" s="24" t="s">
        <v>102</v>
      </c>
      <c r="P568" s="24" t="s">
        <v>181</v>
      </c>
      <c r="Q568" s="24">
        <v>1</v>
      </c>
      <c r="R568" s="24">
        <v>2.7</v>
      </c>
      <c r="S568" t="s">
        <v>7356</v>
      </c>
      <c r="T568">
        <v>2930</v>
      </c>
      <c r="U568" s="2" t="s">
        <v>163</v>
      </c>
      <c r="V568">
        <v>43969.807719907411</v>
      </c>
      <c r="W568" s="2" t="s">
        <v>427</v>
      </c>
      <c r="X568">
        <v>43969.839282407411</v>
      </c>
      <c r="AB568" t="s">
        <v>9</v>
      </c>
      <c r="AC568" t="s">
        <v>1070</v>
      </c>
      <c r="AD568" t="s">
        <v>209</v>
      </c>
      <c r="AE568">
        <v>65761</v>
      </c>
      <c r="AF568">
        <v>65761</v>
      </c>
      <c r="AG568" t="s">
        <v>183</v>
      </c>
      <c r="AH568" t="s">
        <v>7357</v>
      </c>
      <c r="AI568" t="s">
        <v>7357</v>
      </c>
      <c r="AJ568" t="s">
        <v>1072</v>
      </c>
      <c r="AK568" t="s">
        <v>1073</v>
      </c>
      <c r="AL568" t="s">
        <v>7358</v>
      </c>
      <c r="AO568" t="s">
        <v>7359</v>
      </c>
      <c r="AP568" t="s">
        <v>1076</v>
      </c>
      <c r="AR568" t="s">
        <v>7360</v>
      </c>
      <c r="AS568">
        <v>720713190</v>
      </c>
      <c r="AT568" t="s">
        <v>7361</v>
      </c>
      <c r="AU568" t="s">
        <v>10</v>
      </c>
      <c r="AV568" t="s">
        <v>7362</v>
      </c>
      <c r="AW568" t="s">
        <v>7362</v>
      </c>
      <c r="AX568" t="s">
        <v>7363</v>
      </c>
      <c r="AY568" s="2" t="s">
        <v>7364</v>
      </c>
      <c r="AZ568" t="s">
        <v>7365</v>
      </c>
      <c r="BA568" t="s">
        <v>299</v>
      </c>
      <c r="BB568" t="s">
        <v>300</v>
      </c>
      <c r="BC568" t="s">
        <v>188</v>
      </c>
      <c r="BD568">
        <v>511430</v>
      </c>
      <c r="BE568">
        <v>862150904120</v>
      </c>
      <c r="BF568" t="s">
        <v>7366</v>
      </c>
      <c r="BG568" t="b">
        <v>0</v>
      </c>
      <c r="BH568" s="6" t="s">
        <v>7367</v>
      </c>
      <c r="BI568" t="s">
        <v>7368</v>
      </c>
      <c r="BJ568">
        <v>4453163191</v>
      </c>
      <c r="BK568" t="s">
        <v>162</v>
      </c>
      <c r="BL568" t="s">
        <v>161</v>
      </c>
      <c r="BM568" s="2"/>
      <c r="BO568" t="s">
        <v>89</v>
      </c>
      <c r="BP568">
        <v>8501109990</v>
      </c>
      <c r="BR568" t="s">
        <v>180</v>
      </c>
      <c r="BS568" t="s">
        <v>103</v>
      </c>
      <c r="BU568">
        <v>186.75</v>
      </c>
      <c r="BV568">
        <v>294.02999999999997</v>
      </c>
      <c r="BW568">
        <v>0</v>
      </c>
      <c r="BX568">
        <v>0</v>
      </c>
      <c r="BY568">
        <v>0</v>
      </c>
      <c r="BZ568">
        <v>0</v>
      </c>
      <c r="CA568">
        <v>480.78</v>
      </c>
      <c r="CB568" t="s">
        <v>6600</v>
      </c>
      <c r="CF568" s="2"/>
      <c r="CH568" s="2"/>
      <c r="CJ568">
        <v>5.3142020950088E+17</v>
      </c>
      <c r="CK568" t="s">
        <v>4402</v>
      </c>
      <c r="CL568">
        <v>43969.395138888889</v>
      </c>
      <c r="CO568" t="s">
        <v>11</v>
      </c>
      <c r="CP568">
        <v>2075.0300000000002</v>
      </c>
      <c r="CQ568" t="s">
        <v>11</v>
      </c>
      <c r="CR568">
        <v>2075.0300000000002</v>
      </c>
      <c r="CV568" t="s">
        <v>190</v>
      </c>
      <c r="CW568" t="s">
        <v>12</v>
      </c>
      <c r="CX568" t="s">
        <v>12</v>
      </c>
      <c r="CY568" t="s">
        <v>12</v>
      </c>
      <c r="DA568" t="s">
        <v>104</v>
      </c>
      <c r="DD568" t="s">
        <v>93</v>
      </c>
      <c r="DQ568" t="s">
        <v>94</v>
      </c>
      <c r="DR568" t="s">
        <v>94</v>
      </c>
      <c r="DS568" t="s">
        <v>94</v>
      </c>
      <c r="DT568" t="s">
        <v>94</v>
      </c>
      <c r="DU568" t="s">
        <v>94</v>
      </c>
      <c r="DV568" t="s">
        <v>94</v>
      </c>
      <c r="DW568" t="s">
        <v>94</v>
      </c>
      <c r="DX568" s="2" t="s">
        <v>94</v>
      </c>
      <c r="DY568" t="s">
        <v>94</v>
      </c>
      <c r="DZ568" t="s">
        <v>94</v>
      </c>
      <c r="EA568" t="s">
        <v>94</v>
      </c>
      <c r="EB568" t="s">
        <v>94</v>
      </c>
      <c r="EC568" t="s">
        <v>94</v>
      </c>
      <c r="ED568" t="s">
        <v>94</v>
      </c>
      <c r="EE568" t="s">
        <v>89</v>
      </c>
      <c r="EF568" t="s">
        <v>425</v>
      </c>
      <c r="EG568" t="s">
        <v>7244</v>
      </c>
      <c r="EJ568" t="s">
        <v>166</v>
      </c>
      <c r="EK568" t="b">
        <v>0</v>
      </c>
      <c r="EL568" t="b">
        <v>0</v>
      </c>
      <c r="EM568" t="b">
        <v>0</v>
      </c>
    </row>
    <row r="569" spans="3:143" ht="15">
      <c r="C569" s="82">
        <v>13</v>
      </c>
      <c r="D569" s="5">
        <v>88</v>
      </c>
      <c r="E569" s="4">
        <v>1</v>
      </c>
      <c r="F569" s="5">
        <v>88</v>
      </c>
      <c r="G569" s="5" t="s">
        <v>7449</v>
      </c>
      <c r="H569" s="4" t="s">
        <v>7450</v>
      </c>
      <c r="I569" s="81" t="s">
        <v>817</v>
      </c>
      <c r="J569" s="21"/>
      <c r="K569" s="22" t="s">
        <v>7446</v>
      </c>
      <c r="L569" s="84" t="s">
        <v>7436</v>
      </c>
      <c r="M569" s="23" t="s">
        <v>817</v>
      </c>
      <c r="N569" s="23">
        <v>43989</v>
      </c>
      <c r="O569" s="24" t="s">
        <v>102</v>
      </c>
      <c r="P569" s="24" t="s">
        <v>480</v>
      </c>
      <c r="Q569" s="24">
        <v>1</v>
      </c>
      <c r="R569" s="24">
        <v>78.5</v>
      </c>
      <c r="S569" t="s">
        <v>528</v>
      </c>
      <c r="T569">
        <v>8644.5</v>
      </c>
      <c r="U569" s="2"/>
      <c r="W569" s="2"/>
      <c r="AB569" t="s">
        <v>9</v>
      </c>
      <c r="AC569" t="s">
        <v>1835</v>
      </c>
      <c r="AD569" t="s">
        <v>182</v>
      </c>
      <c r="AE569" t="s">
        <v>7451</v>
      </c>
      <c r="AF569" t="s">
        <v>7451</v>
      </c>
      <c r="AG569" t="s">
        <v>1890</v>
      </c>
      <c r="AH569" t="s">
        <v>1836</v>
      </c>
      <c r="AI569" t="s">
        <v>1836</v>
      </c>
      <c r="AJ569" t="s">
        <v>508</v>
      </c>
      <c r="AK569" t="s">
        <v>509</v>
      </c>
      <c r="AL569" t="s">
        <v>1837</v>
      </c>
      <c r="AO569" t="s">
        <v>1838</v>
      </c>
      <c r="AP569" t="s">
        <v>1839</v>
      </c>
      <c r="AR569" t="s">
        <v>1891</v>
      </c>
      <c r="AS569">
        <v>474819199</v>
      </c>
      <c r="AT569" t="s">
        <v>1840</v>
      </c>
      <c r="AU569" t="s">
        <v>10</v>
      </c>
      <c r="AV569" t="s">
        <v>1841</v>
      </c>
      <c r="AW569" t="s">
        <v>1841</v>
      </c>
      <c r="AX569" t="s">
        <v>1842</v>
      </c>
      <c r="AY569" s="2" t="s">
        <v>1843</v>
      </c>
      <c r="AZ569" t="s">
        <v>1844</v>
      </c>
      <c r="BA569" t="s">
        <v>186</v>
      </c>
      <c r="BB569" t="s">
        <v>187</v>
      </c>
      <c r="BC569" t="s">
        <v>188</v>
      </c>
      <c r="BD569">
        <v>518103</v>
      </c>
      <c r="BE569" t="s">
        <v>1893</v>
      </c>
      <c r="BF569" t="s">
        <v>1845</v>
      </c>
      <c r="BG569" t="b">
        <v>0</v>
      </c>
      <c r="BH569" s="6" t="s">
        <v>7447</v>
      </c>
      <c r="BI569" t="s">
        <v>7448</v>
      </c>
      <c r="BJ569">
        <v>4453163191</v>
      </c>
      <c r="BK569" t="s">
        <v>162</v>
      </c>
      <c r="BL569" t="s">
        <v>161</v>
      </c>
      <c r="BM569" s="2"/>
      <c r="BN569" t="s">
        <v>1848</v>
      </c>
      <c r="BR569" t="s">
        <v>189</v>
      </c>
      <c r="BS569" t="s">
        <v>103</v>
      </c>
      <c r="BU569">
        <v>0</v>
      </c>
      <c r="BV569">
        <v>0</v>
      </c>
      <c r="BW569">
        <v>0</v>
      </c>
      <c r="BX569">
        <v>0</v>
      </c>
      <c r="BY569">
        <v>0</v>
      </c>
      <c r="BZ569">
        <v>0</v>
      </c>
      <c r="CA569">
        <v>0</v>
      </c>
      <c r="CF569" s="2"/>
      <c r="CH569" s="2"/>
      <c r="CK569" t="s">
        <v>7016</v>
      </c>
      <c r="CL569">
        <v>43989.581365740742</v>
      </c>
      <c r="CO569" t="s">
        <v>11</v>
      </c>
      <c r="CP569" t="s">
        <v>7452</v>
      </c>
      <c r="CQ569" t="s">
        <v>11</v>
      </c>
      <c r="CR569">
        <v>66793.460000000006</v>
      </c>
      <c r="CV569" t="s">
        <v>525</v>
      </c>
      <c r="CW569" t="s">
        <v>12</v>
      </c>
      <c r="CX569" t="s">
        <v>12</v>
      </c>
      <c r="CY569" t="s">
        <v>12</v>
      </c>
      <c r="DA569" t="s">
        <v>104</v>
      </c>
      <c r="DD569" t="s">
        <v>93</v>
      </c>
      <c r="DQ569" t="s">
        <v>94</v>
      </c>
      <c r="DR569" t="s">
        <v>94</v>
      </c>
      <c r="DS569" t="s">
        <v>94</v>
      </c>
      <c r="DT569" t="s">
        <v>94</v>
      </c>
      <c r="DU569" t="s">
        <v>94</v>
      </c>
      <c r="DV569" t="s">
        <v>94</v>
      </c>
      <c r="DW569" t="s">
        <v>94</v>
      </c>
      <c r="DX569" s="2" t="s">
        <v>94</v>
      </c>
      <c r="DY569" t="s">
        <v>94</v>
      </c>
      <c r="DZ569" t="s">
        <v>94</v>
      </c>
      <c r="EA569" t="s">
        <v>94</v>
      </c>
      <c r="EB569" t="s">
        <v>94</v>
      </c>
      <c r="EC569" t="s">
        <v>94</v>
      </c>
      <c r="ED569" t="s">
        <v>94</v>
      </c>
      <c r="EE569" t="s">
        <v>89</v>
      </c>
      <c r="EF569" t="s">
        <v>94</v>
      </c>
      <c r="EG569" t="s">
        <v>226</v>
      </c>
      <c r="EJ569" t="s">
        <v>166</v>
      </c>
      <c r="EK569" t="b">
        <v>0</v>
      </c>
      <c r="EL569" t="b">
        <v>0</v>
      </c>
      <c r="EM569" t="b">
        <v>0</v>
      </c>
    </row>
    <row r="570" spans="3:143" ht="15">
      <c r="C570" s="82">
        <v>646</v>
      </c>
      <c r="D570" s="5"/>
      <c r="E570" s="4">
        <v>1</v>
      </c>
      <c r="F570" s="5">
        <v>9.75</v>
      </c>
      <c r="G570" s="5" t="s">
        <v>7453</v>
      </c>
      <c r="H570" s="4" t="s">
        <v>7454</v>
      </c>
      <c r="I570" s="81" t="s">
        <v>817</v>
      </c>
      <c r="J570" s="21"/>
      <c r="K570" s="22" t="s">
        <v>7435</v>
      </c>
      <c r="L570" s="84" t="s">
        <v>7436</v>
      </c>
      <c r="M570" s="23" t="s">
        <v>817</v>
      </c>
      <c r="N570" s="23">
        <v>43989</v>
      </c>
      <c r="O570" s="24" t="s">
        <v>102</v>
      </c>
      <c r="P570" s="24" t="s">
        <v>181</v>
      </c>
      <c r="Q570" s="24">
        <v>1</v>
      </c>
      <c r="R570" s="24">
        <v>9.75</v>
      </c>
      <c r="S570" t="s">
        <v>319</v>
      </c>
      <c r="T570">
        <v>540</v>
      </c>
      <c r="U570" s="2" t="s">
        <v>163</v>
      </c>
      <c r="V570">
        <v>43989.792615740742</v>
      </c>
      <c r="W570" s="2" t="s">
        <v>444</v>
      </c>
      <c r="X570">
        <v>43989.803506944445</v>
      </c>
      <c r="AB570" t="s">
        <v>9</v>
      </c>
      <c r="AC570" t="s">
        <v>3900</v>
      </c>
      <c r="AD570" t="s">
        <v>182</v>
      </c>
      <c r="AE570" t="s">
        <v>183</v>
      </c>
      <c r="AF570" t="s">
        <v>183</v>
      </c>
      <c r="AG570" t="s">
        <v>810</v>
      </c>
      <c r="AH570" t="s">
        <v>7437</v>
      </c>
      <c r="AI570" t="s">
        <v>7438</v>
      </c>
      <c r="AJ570" t="s">
        <v>184</v>
      </c>
      <c r="AK570" t="s">
        <v>185</v>
      </c>
      <c r="AL570" t="s">
        <v>7439</v>
      </c>
      <c r="AM570" t="s">
        <v>7440</v>
      </c>
      <c r="AO570" t="s">
        <v>7441</v>
      </c>
      <c r="AP570" t="s">
        <v>3905</v>
      </c>
      <c r="AQ570" t="s">
        <v>3906</v>
      </c>
      <c r="AR570" t="s">
        <v>7442</v>
      </c>
      <c r="AS570">
        <v>1173252470</v>
      </c>
      <c r="AT570" t="s">
        <v>7443</v>
      </c>
      <c r="AU570" t="s">
        <v>10</v>
      </c>
      <c r="AV570" t="s">
        <v>784</v>
      </c>
      <c r="AW570" t="s">
        <v>784</v>
      </c>
      <c r="AX570" t="s">
        <v>785</v>
      </c>
      <c r="AY570" s="2" t="s">
        <v>786</v>
      </c>
      <c r="BA570" t="s">
        <v>186</v>
      </c>
      <c r="BB570" t="s">
        <v>187</v>
      </c>
      <c r="BC570" t="s">
        <v>188</v>
      </c>
      <c r="BD570">
        <v>518102</v>
      </c>
      <c r="BE570" t="s">
        <v>787</v>
      </c>
      <c r="BF570" t="s">
        <v>788</v>
      </c>
      <c r="BG570" t="b">
        <v>0</v>
      </c>
      <c r="BH570" s="6" t="s">
        <v>7444</v>
      </c>
      <c r="BI570" t="s">
        <v>7445</v>
      </c>
      <c r="BJ570">
        <v>4453163191</v>
      </c>
      <c r="BK570" t="s">
        <v>162</v>
      </c>
      <c r="BL570" t="s">
        <v>161</v>
      </c>
      <c r="BM570" s="2"/>
      <c r="BN570" t="s">
        <v>791</v>
      </c>
      <c r="BO570" t="s">
        <v>89</v>
      </c>
      <c r="BP570">
        <v>8525801390</v>
      </c>
      <c r="BR570" t="s">
        <v>180</v>
      </c>
      <c r="BS570" t="s">
        <v>103</v>
      </c>
      <c r="BU570">
        <v>444.8</v>
      </c>
      <c r="BV570">
        <v>552.04999999999995</v>
      </c>
      <c r="BW570">
        <v>0</v>
      </c>
      <c r="BX570">
        <v>0</v>
      </c>
      <c r="BY570">
        <v>0</v>
      </c>
      <c r="BZ570">
        <v>0</v>
      </c>
      <c r="CA570">
        <v>996.85</v>
      </c>
      <c r="CF570" s="2"/>
      <c r="CH570" s="2"/>
      <c r="CJ570">
        <v>5.3142020950101197E+17</v>
      </c>
      <c r="CK570" t="s">
        <v>7016</v>
      </c>
      <c r="CL570">
        <v>43989.367511574077</v>
      </c>
      <c r="CO570" t="s">
        <v>11</v>
      </c>
      <c r="CP570" t="s">
        <v>7455</v>
      </c>
      <c r="CQ570" t="s">
        <v>11</v>
      </c>
      <c r="CR570">
        <v>3801.71</v>
      </c>
      <c r="CV570" t="s">
        <v>525</v>
      </c>
      <c r="CW570" t="s">
        <v>12</v>
      </c>
      <c r="CX570" t="s">
        <v>12</v>
      </c>
      <c r="CY570" t="s">
        <v>12</v>
      </c>
      <c r="DA570" t="s">
        <v>104</v>
      </c>
      <c r="DD570" t="s">
        <v>93</v>
      </c>
      <c r="DQ570" t="s">
        <v>94</v>
      </c>
      <c r="DR570" t="s">
        <v>94</v>
      </c>
      <c r="DS570" t="s">
        <v>94</v>
      </c>
      <c r="DT570" t="s">
        <v>94</v>
      </c>
      <c r="DU570" t="s">
        <v>94</v>
      </c>
      <c r="DV570" t="s">
        <v>94</v>
      </c>
      <c r="DW570" t="s">
        <v>94</v>
      </c>
      <c r="DX570" s="2" t="s">
        <v>94</v>
      </c>
      <c r="DY570" t="s">
        <v>94</v>
      </c>
      <c r="DZ570" t="s">
        <v>94</v>
      </c>
      <c r="EA570" t="s">
        <v>94</v>
      </c>
      <c r="EB570" t="s">
        <v>94</v>
      </c>
      <c r="EC570" t="s">
        <v>94</v>
      </c>
      <c r="ED570" t="s">
        <v>94</v>
      </c>
      <c r="EE570" t="s">
        <v>89</v>
      </c>
      <c r="EF570" t="s">
        <v>425</v>
      </c>
      <c r="EG570" t="s">
        <v>7244</v>
      </c>
      <c r="EJ570" t="s">
        <v>166</v>
      </c>
      <c r="EK570" t="b">
        <v>0</v>
      </c>
      <c r="EL570" t="b">
        <v>0</v>
      </c>
      <c r="EM570" t="b">
        <v>0</v>
      </c>
    </row>
    <row r="571" spans="3:143" ht="15">
      <c r="C571" s="82">
        <v>123</v>
      </c>
      <c r="D571" s="5"/>
      <c r="E571" s="4">
        <v>1</v>
      </c>
      <c r="F571" s="5">
        <v>0.88</v>
      </c>
      <c r="G571" s="5" t="s">
        <v>7456</v>
      </c>
      <c r="H571" s="4" t="s">
        <v>7457</v>
      </c>
      <c r="I571" s="81" t="s">
        <v>920</v>
      </c>
      <c r="J571" s="21"/>
      <c r="K571" s="22" t="s">
        <v>7376</v>
      </c>
      <c r="L571" s="84" t="s">
        <v>7377</v>
      </c>
      <c r="M571" s="23" t="s">
        <v>905</v>
      </c>
      <c r="N571" s="23">
        <v>43988</v>
      </c>
      <c r="O571" s="24" t="s">
        <v>102</v>
      </c>
      <c r="P571" s="24" t="s">
        <v>179</v>
      </c>
      <c r="Q571" s="24">
        <v>1</v>
      </c>
      <c r="R571" s="24">
        <v>0.88</v>
      </c>
      <c r="S571" t="s">
        <v>319</v>
      </c>
      <c r="T571">
        <v>36</v>
      </c>
      <c r="U571" s="2" t="s">
        <v>163</v>
      </c>
      <c r="V571">
        <v>43988.795011574075</v>
      </c>
      <c r="W571" s="2" t="s">
        <v>444</v>
      </c>
      <c r="X571">
        <v>43988.943738425929</v>
      </c>
      <c r="AB571" t="s">
        <v>9</v>
      </c>
      <c r="AC571" t="s">
        <v>7378</v>
      </c>
      <c r="AD571" t="s">
        <v>241</v>
      </c>
      <c r="AE571" t="s">
        <v>7458</v>
      </c>
      <c r="AF571" t="s">
        <v>7458</v>
      </c>
      <c r="AG571" t="s">
        <v>7459</v>
      </c>
      <c r="AH571" t="s">
        <v>7379</v>
      </c>
      <c r="AI571" t="s">
        <v>7379</v>
      </c>
      <c r="AJ571" t="s">
        <v>2322</v>
      </c>
      <c r="AK571" t="s">
        <v>2323</v>
      </c>
      <c r="AL571" t="s">
        <v>7380</v>
      </c>
      <c r="AM571" t="s">
        <v>7381</v>
      </c>
      <c r="AO571" t="s">
        <v>7382</v>
      </c>
      <c r="AP571" t="s">
        <v>7383</v>
      </c>
      <c r="AQ571" t="s">
        <v>3924</v>
      </c>
      <c r="AR571" t="s">
        <v>7460</v>
      </c>
      <c r="AS571">
        <v>-902166338473</v>
      </c>
      <c r="AT571" t="s">
        <v>7384</v>
      </c>
      <c r="AU571" t="s">
        <v>10</v>
      </c>
      <c r="AV571" t="s">
        <v>7385</v>
      </c>
      <c r="AW571" t="s">
        <v>7385</v>
      </c>
      <c r="AX571" t="s">
        <v>7386</v>
      </c>
      <c r="AY571" s="2"/>
      <c r="BA571" t="s">
        <v>1226</v>
      </c>
      <c r="BB571" t="s">
        <v>246</v>
      </c>
      <c r="BC571" t="s">
        <v>188</v>
      </c>
      <c r="BD571">
        <v>516080</v>
      </c>
      <c r="BE571" t="s">
        <v>7387</v>
      </c>
      <c r="BF571" t="s">
        <v>7388</v>
      </c>
      <c r="BG571" t="b">
        <v>0</v>
      </c>
      <c r="BH571" s="6" t="s">
        <v>7389</v>
      </c>
      <c r="BI571" t="s">
        <v>7390</v>
      </c>
      <c r="BJ571">
        <v>4453163191</v>
      </c>
      <c r="BK571" t="s">
        <v>162</v>
      </c>
      <c r="BL571" t="s">
        <v>161</v>
      </c>
      <c r="BM571" s="2"/>
      <c r="BN571" t="s">
        <v>7391</v>
      </c>
      <c r="BO571" t="s">
        <v>89</v>
      </c>
      <c r="BP571">
        <v>95030089</v>
      </c>
      <c r="BR571" t="s">
        <v>180</v>
      </c>
      <c r="BS571" t="s">
        <v>103</v>
      </c>
      <c r="BU571">
        <v>0</v>
      </c>
      <c r="BV571">
        <v>0</v>
      </c>
      <c r="BW571">
        <v>0</v>
      </c>
      <c r="BX571">
        <v>0</v>
      </c>
      <c r="BY571">
        <v>0</v>
      </c>
      <c r="BZ571">
        <v>0</v>
      </c>
      <c r="CA571">
        <v>0</v>
      </c>
      <c r="CF571" s="2"/>
      <c r="CH571" s="2"/>
      <c r="CJ571">
        <v>5.3142020950100998E+17</v>
      </c>
      <c r="CK571" t="s">
        <v>2710</v>
      </c>
      <c r="CL571">
        <v>43988.578379629631</v>
      </c>
      <c r="CO571" t="s">
        <v>11</v>
      </c>
      <c r="CP571" t="s">
        <v>7461</v>
      </c>
      <c r="CQ571" t="s">
        <v>11</v>
      </c>
      <c r="CR571">
        <v>253.45</v>
      </c>
      <c r="CV571" t="s">
        <v>525</v>
      </c>
      <c r="CW571" t="s">
        <v>12</v>
      </c>
      <c r="CX571" t="s">
        <v>12</v>
      </c>
      <c r="CY571" t="s">
        <v>12</v>
      </c>
      <c r="DA571" t="s">
        <v>104</v>
      </c>
      <c r="DD571" t="s">
        <v>93</v>
      </c>
      <c r="DQ571" t="s">
        <v>94</v>
      </c>
      <c r="DR571" t="s">
        <v>94</v>
      </c>
      <c r="DS571" t="s">
        <v>94</v>
      </c>
      <c r="DT571" t="s">
        <v>94</v>
      </c>
      <c r="DU571" t="s">
        <v>94</v>
      </c>
      <c r="DV571" t="s">
        <v>94</v>
      </c>
      <c r="DW571" t="s">
        <v>94</v>
      </c>
      <c r="DX571" s="2" t="s">
        <v>94</v>
      </c>
      <c r="DY571" t="s">
        <v>94</v>
      </c>
      <c r="DZ571" t="s">
        <v>94</v>
      </c>
      <c r="EA571" t="s">
        <v>94</v>
      </c>
      <c r="EB571" t="s">
        <v>94</v>
      </c>
      <c r="EC571" t="s">
        <v>94</v>
      </c>
      <c r="ED571" t="s">
        <v>94</v>
      </c>
      <c r="EE571" t="s">
        <v>89</v>
      </c>
      <c r="EF571" t="s">
        <v>425</v>
      </c>
      <c r="EG571" t="s">
        <v>7244</v>
      </c>
      <c r="EJ571" t="s">
        <v>166</v>
      </c>
      <c r="EK571" t="b">
        <v>0</v>
      </c>
      <c r="EL571" t="b">
        <v>0</v>
      </c>
      <c r="EM571" t="b">
        <v>0</v>
      </c>
    </row>
    <row r="572" spans="3:143">
      <c r="C572" s="4">
        <v>123</v>
      </c>
      <c r="D572" s="4"/>
      <c r="E572" s="4">
        <v>1</v>
      </c>
      <c r="F572" s="4">
        <v>0.3</v>
      </c>
      <c r="G572" s="5" t="s">
        <v>7456</v>
      </c>
      <c r="H572" s="4" t="s">
        <v>7462</v>
      </c>
      <c r="I572" s="4" t="s">
        <v>920</v>
      </c>
      <c r="J572" s="5"/>
      <c r="K572" s="22" t="s">
        <v>7392</v>
      </c>
      <c r="L572" s="84" t="s">
        <v>7377</v>
      </c>
      <c r="M572" s="23" t="s">
        <v>905</v>
      </c>
      <c r="N572" s="23">
        <v>43988</v>
      </c>
      <c r="O572" s="24" t="s">
        <v>102</v>
      </c>
      <c r="P572" s="24" t="s">
        <v>179</v>
      </c>
      <c r="Q572" s="24">
        <v>1</v>
      </c>
      <c r="R572" s="24">
        <v>0.3</v>
      </c>
      <c r="S572" t="s">
        <v>528</v>
      </c>
      <c r="T572">
        <v>30</v>
      </c>
      <c r="U572" s="2" t="s">
        <v>163</v>
      </c>
      <c r="V572">
        <v>43988.794965277775</v>
      </c>
      <c r="W572" s="2" t="s">
        <v>444</v>
      </c>
      <c r="X572">
        <v>43988.943738425929</v>
      </c>
      <c r="AB572" t="s">
        <v>9</v>
      </c>
      <c r="AC572" t="s">
        <v>963</v>
      </c>
      <c r="AD572" t="s">
        <v>191</v>
      </c>
      <c r="AE572" t="s">
        <v>7463</v>
      </c>
      <c r="AF572" t="s">
        <v>7463</v>
      </c>
      <c r="AG572" t="s">
        <v>183</v>
      </c>
      <c r="AH572" t="s">
        <v>7393</v>
      </c>
      <c r="AI572" t="s">
        <v>7393</v>
      </c>
      <c r="AJ572" t="s">
        <v>776</v>
      </c>
      <c r="AK572" t="s">
        <v>777</v>
      </c>
      <c r="AL572" t="s">
        <v>7394</v>
      </c>
      <c r="AO572" t="s">
        <v>7395</v>
      </c>
      <c r="AP572" t="s">
        <v>967</v>
      </c>
      <c r="AQ572" t="s">
        <v>782</v>
      </c>
      <c r="AR572" t="s">
        <v>7464</v>
      </c>
      <c r="AS572">
        <v>25212990418</v>
      </c>
      <c r="AT572" t="s">
        <v>7396</v>
      </c>
      <c r="AU572" t="s">
        <v>10</v>
      </c>
      <c r="AV572" t="s">
        <v>7397</v>
      </c>
      <c r="AW572" t="s">
        <v>7397</v>
      </c>
      <c r="AX572" t="s">
        <v>7398</v>
      </c>
      <c r="AY572" t="s">
        <v>7399</v>
      </c>
      <c r="BA572" t="s">
        <v>726</v>
      </c>
      <c r="BB572" t="s">
        <v>192</v>
      </c>
      <c r="BC572" t="s">
        <v>188</v>
      </c>
      <c r="BD572">
        <v>523639</v>
      </c>
      <c r="BE572" t="s">
        <v>7465</v>
      </c>
      <c r="BF572" t="s">
        <v>7400</v>
      </c>
      <c r="BG572" t="b">
        <v>0</v>
      </c>
      <c r="BH572" s="6" t="s">
        <v>7401</v>
      </c>
      <c r="BI572" t="s">
        <v>7402</v>
      </c>
      <c r="BJ572">
        <v>4453163191</v>
      </c>
      <c r="BK572" t="s">
        <v>162</v>
      </c>
      <c r="BL572" t="s">
        <v>161</v>
      </c>
      <c r="BM572" s="2"/>
      <c r="BO572" t="s">
        <v>89</v>
      </c>
      <c r="BP572">
        <v>85444221</v>
      </c>
      <c r="BR572" t="s">
        <v>189</v>
      </c>
      <c r="BS572" t="s">
        <v>103</v>
      </c>
      <c r="BU572">
        <v>0</v>
      </c>
      <c r="BV572">
        <v>0</v>
      </c>
      <c r="BW572">
        <v>0</v>
      </c>
      <c r="BX572">
        <v>0</v>
      </c>
      <c r="BY572">
        <v>0</v>
      </c>
      <c r="BZ572">
        <v>0</v>
      </c>
      <c r="CA572">
        <v>0</v>
      </c>
      <c r="CF572" s="2"/>
      <c r="CH572" s="2"/>
      <c r="CJ572">
        <v>5.3142020950100998E+17</v>
      </c>
      <c r="CK572" t="s">
        <v>2710</v>
      </c>
      <c r="CL572">
        <v>43988.578530092593</v>
      </c>
      <c r="CO572" t="s">
        <v>11</v>
      </c>
      <c r="CP572" t="s">
        <v>7466</v>
      </c>
      <c r="CQ572" t="s">
        <v>11</v>
      </c>
      <c r="CR572">
        <v>231.8</v>
      </c>
      <c r="CV572" t="s">
        <v>190</v>
      </c>
      <c r="CW572" t="s">
        <v>12</v>
      </c>
      <c r="CX572" t="s">
        <v>12</v>
      </c>
      <c r="CY572" t="s">
        <v>12</v>
      </c>
      <c r="DA572" t="s">
        <v>104</v>
      </c>
      <c r="DD572" t="s">
        <v>93</v>
      </c>
      <c r="DQ572" t="s">
        <v>94</v>
      </c>
      <c r="DR572" t="s">
        <v>94</v>
      </c>
      <c r="DS572" t="s">
        <v>94</v>
      </c>
      <c r="DT572" t="s">
        <v>94</v>
      </c>
      <c r="DU572" t="s">
        <v>94</v>
      </c>
      <c r="DV572" t="s">
        <v>94</v>
      </c>
      <c r="DW572" t="s">
        <v>94</v>
      </c>
      <c r="DX572" s="2" t="s">
        <v>94</v>
      </c>
      <c r="DY572" t="s">
        <v>94</v>
      </c>
      <c r="DZ572" t="s">
        <v>94</v>
      </c>
      <c r="EA572" t="s">
        <v>94</v>
      </c>
      <c r="EB572" t="s">
        <v>94</v>
      </c>
      <c r="EC572" t="s">
        <v>94</v>
      </c>
      <c r="ED572" t="s">
        <v>94</v>
      </c>
      <c r="EE572" t="s">
        <v>89</v>
      </c>
      <c r="EF572" t="s">
        <v>425</v>
      </c>
      <c r="EG572" t="s">
        <v>7244</v>
      </c>
      <c r="EJ572" t="s">
        <v>166</v>
      </c>
      <c r="EK572" t="b">
        <v>0</v>
      </c>
      <c r="EL572" t="b">
        <v>0</v>
      </c>
      <c r="EM572" t="b">
        <v>0</v>
      </c>
    </row>
    <row r="573" spans="3:143">
      <c r="C573" s="4">
        <v>123</v>
      </c>
      <c r="D573" s="5"/>
      <c r="E573" s="5">
        <v>1</v>
      </c>
      <c r="F573" s="4">
        <v>12.5</v>
      </c>
      <c r="G573" s="5" t="s">
        <v>7456</v>
      </c>
      <c r="H573" s="4" t="s">
        <v>7467</v>
      </c>
      <c r="I573" s="4" t="s">
        <v>920</v>
      </c>
      <c r="J573" s="4"/>
      <c r="K573" s="22" t="s">
        <v>7403</v>
      </c>
      <c r="L573" s="84" t="s">
        <v>7377</v>
      </c>
      <c r="M573" s="23" t="s">
        <v>905</v>
      </c>
      <c r="N573" s="23">
        <v>43988</v>
      </c>
      <c r="O573" s="24" t="s">
        <v>102</v>
      </c>
      <c r="P573" s="24" t="s">
        <v>181</v>
      </c>
      <c r="Q573" s="24">
        <v>1</v>
      </c>
      <c r="R573" s="24">
        <v>12.5</v>
      </c>
      <c r="S573" t="s">
        <v>11</v>
      </c>
      <c r="T573">
        <v>1120</v>
      </c>
      <c r="U573" s="2" t="s">
        <v>163</v>
      </c>
      <c r="V573">
        <v>43988.794930555552</v>
      </c>
      <c r="W573" s="2" t="s">
        <v>444</v>
      </c>
      <c r="X573">
        <v>43988.949861111112</v>
      </c>
      <c r="AB573" t="s">
        <v>9</v>
      </c>
      <c r="AC573" t="s">
        <v>7404</v>
      </c>
      <c r="AD573" t="s">
        <v>200</v>
      </c>
      <c r="AE573" t="s">
        <v>7468</v>
      </c>
      <c r="AF573" t="s">
        <v>7468</v>
      </c>
      <c r="AG573" t="s">
        <v>183</v>
      </c>
      <c r="AH573" t="s">
        <v>7405</v>
      </c>
      <c r="AI573" t="s">
        <v>7405</v>
      </c>
      <c r="AJ573" t="s">
        <v>2322</v>
      </c>
      <c r="AK573" t="s">
        <v>2323</v>
      </c>
      <c r="AL573" t="s">
        <v>7406</v>
      </c>
      <c r="AM573" t="s">
        <v>7407</v>
      </c>
      <c r="AN573" t="s">
        <v>7408</v>
      </c>
      <c r="AO573" t="s">
        <v>7409</v>
      </c>
      <c r="AP573" t="s">
        <v>7410</v>
      </c>
      <c r="AQ573" t="s">
        <v>7411</v>
      </c>
      <c r="AR573" t="s">
        <v>7469</v>
      </c>
      <c r="AS573">
        <v>2324373205</v>
      </c>
      <c r="AT573" t="s">
        <v>7412</v>
      </c>
      <c r="AU573" t="s">
        <v>10</v>
      </c>
      <c r="AV573" t="s">
        <v>7413</v>
      </c>
      <c r="AW573" t="s">
        <v>7413</v>
      </c>
      <c r="AX573" t="s">
        <v>7414</v>
      </c>
      <c r="AY573" t="s">
        <v>7415</v>
      </c>
      <c r="BA573" t="s">
        <v>985</v>
      </c>
      <c r="BB573" t="s">
        <v>657</v>
      </c>
      <c r="BC573" t="s">
        <v>188</v>
      </c>
      <c r="BD573">
        <v>526072</v>
      </c>
      <c r="BE573" t="s">
        <v>7416</v>
      </c>
      <c r="BF573" t="s">
        <v>7417</v>
      </c>
      <c r="BG573" t="b">
        <v>0</v>
      </c>
      <c r="BH573" s="6" t="s">
        <v>7418</v>
      </c>
      <c r="BI573" t="s">
        <v>7419</v>
      </c>
      <c r="BJ573">
        <v>4453163191</v>
      </c>
      <c r="BK573" t="s">
        <v>162</v>
      </c>
      <c r="BL573" t="s">
        <v>161</v>
      </c>
      <c r="BM573" s="2"/>
      <c r="BO573" t="s">
        <v>89</v>
      </c>
      <c r="BP573">
        <v>7615109090</v>
      </c>
      <c r="BR573" t="s">
        <v>180</v>
      </c>
      <c r="BS573" t="s">
        <v>103</v>
      </c>
      <c r="BU573">
        <v>78.400000000000006</v>
      </c>
      <c r="BV573">
        <v>155.79</v>
      </c>
      <c r="BW573">
        <v>0</v>
      </c>
      <c r="BX573">
        <v>0</v>
      </c>
      <c r="BY573">
        <v>0</v>
      </c>
      <c r="BZ573">
        <v>0</v>
      </c>
      <c r="CA573">
        <v>234.19</v>
      </c>
      <c r="CF573" s="2"/>
      <c r="CH573" s="2"/>
      <c r="CJ573">
        <v>5.3142020950100998E+17</v>
      </c>
      <c r="CK573" t="s">
        <v>2710</v>
      </c>
      <c r="CL573">
        <v>43988.379745370374</v>
      </c>
      <c r="CO573" t="s">
        <v>11</v>
      </c>
      <c r="CP573" t="s">
        <v>7470</v>
      </c>
      <c r="CQ573" t="s">
        <v>11</v>
      </c>
      <c r="CR573">
        <v>1120</v>
      </c>
      <c r="CV573" t="s">
        <v>190</v>
      </c>
      <c r="CW573" t="s">
        <v>12</v>
      </c>
      <c r="CX573" t="s">
        <v>12</v>
      </c>
      <c r="CY573" t="s">
        <v>12</v>
      </c>
      <c r="DA573" t="s">
        <v>104</v>
      </c>
      <c r="DD573" t="s">
        <v>93</v>
      </c>
      <c r="DQ573" t="s">
        <v>94</v>
      </c>
      <c r="DR573" t="s">
        <v>94</v>
      </c>
      <c r="DS573" t="s">
        <v>94</v>
      </c>
      <c r="DT573" t="s">
        <v>94</v>
      </c>
      <c r="DU573" t="s">
        <v>94</v>
      </c>
      <c r="DV573" t="s">
        <v>94</v>
      </c>
      <c r="DW573" t="s">
        <v>94</v>
      </c>
      <c r="DX573" s="2" t="s">
        <v>94</v>
      </c>
      <c r="DY573" t="s">
        <v>94</v>
      </c>
      <c r="DZ573" t="s">
        <v>94</v>
      </c>
      <c r="EA573" t="s">
        <v>94</v>
      </c>
      <c r="EB573" t="s">
        <v>94</v>
      </c>
      <c r="EC573" t="s">
        <v>94</v>
      </c>
      <c r="ED573" t="s">
        <v>94</v>
      </c>
      <c r="EE573" t="s">
        <v>89</v>
      </c>
      <c r="EF573" t="s">
        <v>425</v>
      </c>
      <c r="EG573" t="s">
        <v>7244</v>
      </c>
      <c r="EJ573" t="s">
        <v>166</v>
      </c>
      <c r="EK573" t="b">
        <v>0</v>
      </c>
      <c r="EL573" t="b">
        <v>0</v>
      </c>
      <c r="EM573" t="b">
        <v>0</v>
      </c>
    </row>
    <row r="574" spans="3:143">
      <c r="C574" s="4">
        <v>123</v>
      </c>
      <c r="D574" s="5"/>
      <c r="E574" s="4">
        <v>1</v>
      </c>
      <c r="F574" s="4">
        <v>1.2</v>
      </c>
      <c r="G574" s="5" t="s">
        <v>7456</v>
      </c>
      <c r="H574" s="4" t="s">
        <v>7471</v>
      </c>
      <c r="I574" s="4" t="s">
        <v>920</v>
      </c>
      <c r="J574" s="4"/>
      <c r="K574" s="22" t="s">
        <v>7420</v>
      </c>
      <c r="L574" s="84" t="s">
        <v>7377</v>
      </c>
      <c r="M574" s="23" t="s">
        <v>905</v>
      </c>
      <c r="N574" s="23">
        <v>43988</v>
      </c>
      <c r="O574" s="24" t="s">
        <v>102</v>
      </c>
      <c r="P574" s="24" t="s">
        <v>181</v>
      </c>
      <c r="Q574" s="24">
        <v>1</v>
      </c>
      <c r="R574" s="24">
        <v>1.2</v>
      </c>
      <c r="S574" t="s">
        <v>319</v>
      </c>
      <c r="T574">
        <v>60</v>
      </c>
      <c r="U574" s="2" t="s">
        <v>163</v>
      </c>
      <c r="V574">
        <v>43988.795104166667</v>
      </c>
      <c r="W574" s="2" t="s">
        <v>444</v>
      </c>
      <c r="X574">
        <v>43988.949861111112</v>
      </c>
      <c r="AB574" t="s">
        <v>9</v>
      </c>
      <c r="AC574" t="s">
        <v>4119</v>
      </c>
      <c r="AD574" t="s">
        <v>182</v>
      </c>
      <c r="AE574" t="s">
        <v>7472</v>
      </c>
      <c r="AF574" t="s">
        <v>7472</v>
      </c>
      <c r="AG574" t="s">
        <v>7473</v>
      </c>
      <c r="AH574" t="s">
        <v>7421</v>
      </c>
      <c r="AI574" t="s">
        <v>7421</v>
      </c>
      <c r="AJ574" t="s">
        <v>484</v>
      </c>
      <c r="AK574" t="s">
        <v>485</v>
      </c>
      <c r="AL574" t="s">
        <v>7422</v>
      </c>
      <c r="AO574" t="s">
        <v>7423</v>
      </c>
      <c r="AP574" t="s">
        <v>4123</v>
      </c>
      <c r="AQ574" t="s">
        <v>4108</v>
      </c>
      <c r="AR574" t="s">
        <v>7424</v>
      </c>
      <c r="AS574">
        <v>765977401</v>
      </c>
      <c r="AT574" t="s">
        <v>7425</v>
      </c>
      <c r="AU574" t="s">
        <v>10</v>
      </c>
      <c r="AV574" t="s">
        <v>7426</v>
      </c>
      <c r="AW574" t="s">
        <v>7426</v>
      </c>
      <c r="AX574" t="s">
        <v>7427</v>
      </c>
      <c r="AY574" t="s">
        <v>7428</v>
      </c>
      <c r="AZ574" t="s">
        <v>7429</v>
      </c>
      <c r="BA574" t="s">
        <v>186</v>
      </c>
      <c r="BB574" t="s">
        <v>187</v>
      </c>
      <c r="BC574" t="s">
        <v>188</v>
      </c>
      <c r="BD574">
        <v>518110</v>
      </c>
      <c r="BE574" t="s">
        <v>7430</v>
      </c>
      <c r="BF574" t="s">
        <v>7431</v>
      </c>
      <c r="BG574" t="b">
        <v>0</v>
      </c>
      <c r="BH574" s="6" t="s">
        <v>7432</v>
      </c>
      <c r="BI574" t="s">
        <v>7433</v>
      </c>
      <c r="BJ574">
        <v>4453163191</v>
      </c>
      <c r="BK574" t="s">
        <v>162</v>
      </c>
      <c r="BL574" t="s">
        <v>161</v>
      </c>
      <c r="BM574" s="2"/>
      <c r="BN574" t="s">
        <v>7434</v>
      </c>
      <c r="BO574" t="s">
        <v>89</v>
      </c>
      <c r="BP574">
        <v>8525803990</v>
      </c>
      <c r="BR574" t="s">
        <v>189</v>
      </c>
      <c r="BS574" t="s">
        <v>103</v>
      </c>
      <c r="BU574">
        <v>0</v>
      </c>
      <c r="BV574">
        <v>54.91</v>
      </c>
      <c r="BW574">
        <v>0</v>
      </c>
      <c r="BX574">
        <v>0</v>
      </c>
      <c r="BY574">
        <v>0</v>
      </c>
      <c r="BZ574">
        <v>0</v>
      </c>
      <c r="CA574">
        <v>54.91</v>
      </c>
      <c r="CF574" s="2"/>
      <c r="CH574" s="2"/>
      <c r="CJ574">
        <v>5.3142020950100998E+17</v>
      </c>
      <c r="CK574" t="s">
        <v>2710</v>
      </c>
      <c r="CL574">
        <v>43988.579236111109</v>
      </c>
      <c r="CO574" t="s">
        <v>11</v>
      </c>
      <c r="CP574" t="s">
        <v>7474</v>
      </c>
      <c r="CQ574" t="s">
        <v>11</v>
      </c>
      <c r="CR574">
        <v>422.41</v>
      </c>
      <c r="CV574" t="s">
        <v>525</v>
      </c>
      <c r="CW574" t="s">
        <v>12</v>
      </c>
      <c r="CX574" t="s">
        <v>12</v>
      </c>
      <c r="CY574" t="s">
        <v>12</v>
      </c>
      <c r="DA574" t="s">
        <v>104</v>
      </c>
      <c r="DD574" t="s">
        <v>93</v>
      </c>
      <c r="DQ574" t="s">
        <v>94</v>
      </c>
      <c r="DR574" t="s">
        <v>94</v>
      </c>
      <c r="DS574" t="s">
        <v>94</v>
      </c>
      <c r="DT574" t="s">
        <v>94</v>
      </c>
      <c r="DU574" t="s">
        <v>94</v>
      </c>
      <c r="DV574" t="s">
        <v>94</v>
      </c>
      <c r="DW574" t="s">
        <v>94</v>
      </c>
      <c r="DX574" s="2" t="s">
        <v>94</v>
      </c>
      <c r="DY574" t="s">
        <v>94</v>
      </c>
      <c r="DZ574" t="s">
        <v>94</v>
      </c>
      <c r="EA574" t="s">
        <v>94</v>
      </c>
      <c r="EB574" t="s">
        <v>94</v>
      </c>
      <c r="EC574" t="s">
        <v>94</v>
      </c>
      <c r="ED574" t="s">
        <v>94</v>
      </c>
      <c r="EE574" t="s">
        <v>89</v>
      </c>
      <c r="EF574" t="s">
        <v>425</v>
      </c>
      <c r="EG574" t="s">
        <v>7244</v>
      </c>
      <c r="EJ574" t="s">
        <v>166</v>
      </c>
      <c r="EK574" t="b">
        <v>0</v>
      </c>
      <c r="EL574" t="b">
        <v>0</v>
      </c>
      <c r="EM574" t="b">
        <v>0</v>
      </c>
    </row>
    <row r="575" spans="3:143" ht="15">
      <c r="C575" s="82">
        <v>11</v>
      </c>
      <c r="D575" s="5">
        <v>3</v>
      </c>
      <c r="E575" s="4">
        <v>1</v>
      </c>
      <c r="F575" s="5">
        <v>3</v>
      </c>
      <c r="G575" s="5" t="s">
        <v>7621</v>
      </c>
      <c r="H575" s="4" t="s">
        <v>7622</v>
      </c>
      <c r="I575" s="81" t="s">
        <v>164</v>
      </c>
      <c r="J575" s="21"/>
      <c r="K575" s="22" t="s">
        <v>7491</v>
      </c>
      <c r="L575" s="84" t="s">
        <v>7492</v>
      </c>
      <c r="M575" s="23" t="s">
        <v>164</v>
      </c>
      <c r="N575" s="23">
        <v>44004</v>
      </c>
      <c r="O575" s="24" t="s">
        <v>102</v>
      </c>
      <c r="P575" s="24" t="s">
        <v>480</v>
      </c>
      <c r="Q575" s="24">
        <v>1</v>
      </c>
      <c r="R575" s="24">
        <v>2</v>
      </c>
      <c r="S575" t="s">
        <v>528</v>
      </c>
      <c r="T575">
        <v>5</v>
      </c>
      <c r="U575" s="2"/>
      <c r="W575" s="2"/>
      <c r="AB575" t="s">
        <v>9</v>
      </c>
      <c r="AC575" t="s">
        <v>599</v>
      </c>
      <c r="AD575" t="s">
        <v>209</v>
      </c>
      <c r="AE575">
        <v>19453</v>
      </c>
      <c r="AF575">
        <v>19453</v>
      </c>
      <c r="AG575" t="s">
        <v>183</v>
      </c>
      <c r="AH575" t="s">
        <v>7493</v>
      </c>
      <c r="AI575" t="s">
        <v>7493</v>
      </c>
      <c r="AJ575" t="s">
        <v>601</v>
      </c>
      <c r="AK575" t="s">
        <v>602</v>
      </c>
      <c r="AL575" t="s">
        <v>7494</v>
      </c>
      <c r="AO575" t="s">
        <v>7495</v>
      </c>
      <c r="AP575" t="s">
        <v>605</v>
      </c>
      <c r="AQ575" t="s">
        <v>606</v>
      </c>
      <c r="AR575" t="s">
        <v>7623</v>
      </c>
      <c r="AS575">
        <v>39631741</v>
      </c>
      <c r="AT575" t="s">
        <v>7496</v>
      </c>
      <c r="AU575" t="s">
        <v>10</v>
      </c>
      <c r="AV575" t="s">
        <v>7497</v>
      </c>
      <c r="AW575" t="s">
        <v>7497</v>
      </c>
      <c r="AX575" t="s">
        <v>7498</v>
      </c>
      <c r="AY575" s="2" t="s">
        <v>7499</v>
      </c>
      <c r="AZ575" t="s">
        <v>7039</v>
      </c>
      <c r="BA575" t="s">
        <v>520</v>
      </c>
      <c r="BB575" t="s">
        <v>223</v>
      </c>
      <c r="BC575" t="s">
        <v>188</v>
      </c>
      <c r="BD575">
        <v>510095</v>
      </c>
      <c r="BE575">
        <v>85235857153</v>
      </c>
      <c r="BF575" t="s">
        <v>7500</v>
      </c>
      <c r="BG575" t="b">
        <v>0</v>
      </c>
      <c r="BH575" s="6" t="s">
        <v>7501</v>
      </c>
      <c r="BI575" t="s">
        <v>7502</v>
      </c>
      <c r="BJ575">
        <v>4453163191</v>
      </c>
      <c r="BK575" t="s">
        <v>162</v>
      </c>
      <c r="BL575" t="s">
        <v>161</v>
      </c>
      <c r="BM575" s="2"/>
      <c r="BR575" t="s">
        <v>180</v>
      </c>
      <c r="BS575" t="s">
        <v>103</v>
      </c>
      <c r="BU575">
        <v>0</v>
      </c>
      <c r="BV575">
        <v>0</v>
      </c>
      <c r="BW575">
        <v>0</v>
      </c>
      <c r="BX575">
        <v>0</v>
      </c>
      <c r="BY575">
        <v>0</v>
      </c>
      <c r="BZ575">
        <v>0</v>
      </c>
      <c r="CA575">
        <v>0</v>
      </c>
      <c r="CF575" s="2"/>
      <c r="CH575" s="2"/>
      <c r="CK575" t="s">
        <v>500</v>
      </c>
      <c r="CL575">
        <v>44004.403391203705</v>
      </c>
      <c r="CO575" t="s">
        <v>11</v>
      </c>
      <c r="CP575" t="s">
        <v>7624</v>
      </c>
      <c r="CQ575" t="s">
        <v>11</v>
      </c>
      <c r="CR575">
        <v>39.92</v>
      </c>
      <c r="CV575" t="s">
        <v>190</v>
      </c>
      <c r="CW575" t="s">
        <v>12</v>
      </c>
      <c r="CX575" t="s">
        <v>12</v>
      </c>
      <c r="CY575" t="s">
        <v>12</v>
      </c>
      <c r="DA575" t="s">
        <v>104</v>
      </c>
      <c r="DD575" t="s">
        <v>93</v>
      </c>
      <c r="DQ575" t="s">
        <v>94</v>
      </c>
      <c r="DR575" t="s">
        <v>94</v>
      </c>
      <c r="DS575" t="s">
        <v>94</v>
      </c>
      <c r="DT575" t="s">
        <v>94</v>
      </c>
      <c r="DU575" t="s">
        <v>94</v>
      </c>
      <c r="DV575" t="s">
        <v>94</v>
      </c>
      <c r="DW575" t="s">
        <v>94</v>
      </c>
      <c r="DX575" s="2" t="s">
        <v>94</v>
      </c>
      <c r="DY575" t="s">
        <v>94</v>
      </c>
      <c r="DZ575" t="s">
        <v>94</v>
      </c>
      <c r="EA575" t="s">
        <v>94</v>
      </c>
      <c r="EB575" t="s">
        <v>94</v>
      </c>
      <c r="EC575" t="s">
        <v>94</v>
      </c>
      <c r="ED575" t="s">
        <v>94</v>
      </c>
      <c r="EE575" t="s">
        <v>89</v>
      </c>
      <c r="EF575" t="s">
        <v>425</v>
      </c>
      <c r="EG575" t="s">
        <v>7244</v>
      </c>
      <c r="EJ575" t="s">
        <v>166</v>
      </c>
      <c r="EK575" t="b">
        <v>0</v>
      </c>
      <c r="EL575" t="b">
        <v>0</v>
      </c>
      <c r="EM575" t="b">
        <v>0</v>
      </c>
    </row>
    <row r="576" spans="3:143" ht="15">
      <c r="C576" s="82">
        <v>12</v>
      </c>
      <c r="D576" s="5"/>
      <c r="E576" s="4">
        <v>1</v>
      </c>
      <c r="F576" s="5">
        <v>47</v>
      </c>
      <c r="G576" s="5" t="s">
        <v>7628</v>
      </c>
      <c r="H576" s="4" t="s">
        <v>691</v>
      </c>
      <c r="I576" s="81" t="s">
        <v>920</v>
      </c>
      <c r="J576" s="21"/>
      <c r="K576" s="22" t="s">
        <v>7475</v>
      </c>
      <c r="L576" s="84" t="s">
        <v>7627</v>
      </c>
      <c r="M576" s="23" t="s">
        <v>920</v>
      </c>
      <c r="N576" s="23">
        <v>44013</v>
      </c>
      <c r="O576" s="24" t="s">
        <v>102</v>
      </c>
      <c r="P576" s="24" t="s">
        <v>181</v>
      </c>
      <c r="Q576" s="24">
        <v>1</v>
      </c>
      <c r="R576" s="24">
        <v>47</v>
      </c>
      <c r="S576" t="s">
        <v>11</v>
      </c>
      <c r="T576">
        <v>1786</v>
      </c>
      <c r="U576" s="2" t="s">
        <v>163</v>
      </c>
      <c r="V576">
        <v>44013.425740740742</v>
      </c>
      <c r="W576" s="2" t="s">
        <v>444</v>
      </c>
      <c r="X576">
        <v>44013.482858796298</v>
      </c>
      <c r="AB576" t="s">
        <v>9</v>
      </c>
      <c r="AC576" t="s">
        <v>7476</v>
      </c>
      <c r="AD576" t="s">
        <v>191</v>
      </c>
      <c r="AE576">
        <v>2022671</v>
      </c>
      <c r="AF576">
        <v>2022671</v>
      </c>
      <c r="AG576" t="s">
        <v>183</v>
      </c>
      <c r="AH576" t="s">
        <v>7477</v>
      </c>
      <c r="AI576" t="s">
        <v>7478</v>
      </c>
      <c r="AJ576" t="s">
        <v>795</v>
      </c>
      <c r="AK576" t="s">
        <v>796</v>
      </c>
      <c r="AL576" t="s">
        <v>7479</v>
      </c>
      <c r="AO576" t="s">
        <v>7480</v>
      </c>
      <c r="AP576" t="s">
        <v>7481</v>
      </c>
      <c r="AQ576" t="s">
        <v>7482</v>
      </c>
      <c r="AR576" t="s">
        <v>7629</v>
      </c>
      <c r="AS576">
        <v>-34942135561</v>
      </c>
      <c r="AT576" t="s">
        <v>7483</v>
      </c>
      <c r="AU576" t="s">
        <v>10</v>
      </c>
      <c r="AV576" t="s">
        <v>7484</v>
      </c>
      <c r="AW576" t="s">
        <v>7485</v>
      </c>
      <c r="AX576" t="s">
        <v>7486</v>
      </c>
      <c r="AY576" s="2" t="s">
        <v>7487</v>
      </c>
      <c r="BA576" t="s">
        <v>371</v>
      </c>
      <c r="BB576" t="s">
        <v>192</v>
      </c>
      <c r="BC576" t="s">
        <v>188</v>
      </c>
      <c r="BD576">
        <v>523755</v>
      </c>
      <c r="BE576">
        <v>-83636433</v>
      </c>
      <c r="BF576" t="s">
        <v>7488</v>
      </c>
      <c r="BG576" t="b">
        <v>0</v>
      </c>
      <c r="BH576" s="6" t="s">
        <v>7489</v>
      </c>
      <c r="BI576" t="s">
        <v>7490</v>
      </c>
      <c r="BJ576">
        <v>4453163191</v>
      </c>
      <c r="BK576" t="s">
        <v>162</v>
      </c>
      <c r="BL576" t="s">
        <v>161</v>
      </c>
      <c r="BM576" s="2"/>
      <c r="BO576" t="s">
        <v>89</v>
      </c>
      <c r="BP576">
        <v>3902100090</v>
      </c>
      <c r="BR576" t="s">
        <v>189</v>
      </c>
      <c r="BS576" t="s">
        <v>103</v>
      </c>
      <c r="BU576">
        <v>116.09</v>
      </c>
      <c r="BV576">
        <v>247.27</v>
      </c>
      <c r="BW576">
        <v>0</v>
      </c>
      <c r="BX576">
        <v>0</v>
      </c>
      <c r="BY576">
        <v>0</v>
      </c>
      <c r="BZ576">
        <v>0</v>
      </c>
      <c r="CA576">
        <v>363.36</v>
      </c>
      <c r="CF576" s="2"/>
      <c r="CH576" s="2"/>
      <c r="CJ576">
        <v>5.3142020950116301E+17</v>
      </c>
      <c r="CK576" t="s">
        <v>500</v>
      </c>
      <c r="CL576">
        <v>44010.560115740744</v>
      </c>
      <c r="CO576" t="s">
        <v>11</v>
      </c>
      <c r="CP576" t="s">
        <v>7630</v>
      </c>
      <c r="CQ576" t="s">
        <v>11</v>
      </c>
      <c r="CR576">
        <v>1786</v>
      </c>
      <c r="CV576" t="s">
        <v>190</v>
      </c>
      <c r="CW576" t="s">
        <v>12</v>
      </c>
      <c r="CX576" t="s">
        <v>12</v>
      </c>
      <c r="CY576" t="s">
        <v>12</v>
      </c>
      <c r="DA576" t="s">
        <v>104</v>
      </c>
      <c r="DD576" t="s">
        <v>93</v>
      </c>
      <c r="DQ576" t="s">
        <v>94</v>
      </c>
      <c r="DR576" t="s">
        <v>94</v>
      </c>
      <c r="DS576" t="s">
        <v>94</v>
      </c>
      <c r="DT576" t="s">
        <v>94</v>
      </c>
      <c r="DU576" t="s">
        <v>94</v>
      </c>
      <c r="DV576" t="s">
        <v>94</v>
      </c>
      <c r="DW576" t="s">
        <v>94</v>
      </c>
      <c r="DX576" s="2" t="s">
        <v>94</v>
      </c>
      <c r="DY576" t="s">
        <v>94</v>
      </c>
      <c r="DZ576" t="s">
        <v>94</v>
      </c>
      <c r="EA576" t="s">
        <v>94</v>
      </c>
      <c r="EB576" t="s">
        <v>94</v>
      </c>
      <c r="EC576" t="s">
        <v>94</v>
      </c>
      <c r="ED576" t="s">
        <v>94</v>
      </c>
      <c r="EE576" t="s">
        <v>89</v>
      </c>
      <c r="EF576" t="s">
        <v>425</v>
      </c>
      <c r="EG576" t="s">
        <v>7244</v>
      </c>
      <c r="EJ576" t="s">
        <v>526</v>
      </c>
      <c r="EK576" t="b">
        <v>0</v>
      </c>
      <c r="EL576" t="b">
        <v>0</v>
      </c>
      <c r="EM576" t="b">
        <v>0</v>
      </c>
    </row>
    <row r="577" spans="3:143" ht="15">
      <c r="C577" s="82">
        <v>23</v>
      </c>
      <c r="D577" s="5"/>
      <c r="E577" s="4">
        <v>1</v>
      </c>
      <c r="F577" s="5">
        <v>4</v>
      </c>
      <c r="G577" s="5" t="s">
        <v>7631</v>
      </c>
      <c r="H577" s="4" t="s">
        <v>7632</v>
      </c>
      <c r="I577" s="81" t="s">
        <v>466</v>
      </c>
      <c r="J577" s="21"/>
      <c r="K577" s="22" t="s">
        <v>7503</v>
      </c>
      <c r="L577" s="84" t="s">
        <v>7504</v>
      </c>
      <c r="M577" s="23" t="s">
        <v>466</v>
      </c>
      <c r="N577" s="23">
        <v>44009</v>
      </c>
      <c r="O577" s="24" t="s">
        <v>102</v>
      </c>
      <c r="P577" s="24" t="s">
        <v>179</v>
      </c>
      <c r="Q577" s="24">
        <v>1</v>
      </c>
      <c r="R577" s="24">
        <v>4</v>
      </c>
      <c r="S577" t="s">
        <v>319</v>
      </c>
      <c r="T577">
        <v>45</v>
      </c>
      <c r="U577" s="2" t="s">
        <v>163</v>
      </c>
      <c r="V577">
        <v>44009.845196759263</v>
      </c>
      <c r="W577" s="2" t="s">
        <v>444</v>
      </c>
      <c r="X577">
        <v>44009.851481481484</v>
      </c>
      <c r="AB577" t="s">
        <v>9</v>
      </c>
      <c r="AC577" t="s">
        <v>2768</v>
      </c>
      <c r="AD577" t="s">
        <v>182</v>
      </c>
      <c r="AE577">
        <v>3104540</v>
      </c>
      <c r="AF577">
        <v>3104540</v>
      </c>
      <c r="AG577" t="s">
        <v>183</v>
      </c>
      <c r="AH577" t="s">
        <v>7505</v>
      </c>
      <c r="AI577" t="s">
        <v>7505</v>
      </c>
      <c r="AJ577" t="s">
        <v>821</v>
      </c>
      <c r="AK577" t="s">
        <v>822</v>
      </c>
      <c r="AL577" t="s">
        <v>7506</v>
      </c>
      <c r="AM577" t="s">
        <v>7507</v>
      </c>
      <c r="AO577" t="s">
        <v>7508</v>
      </c>
      <c r="AP577" t="s">
        <v>2773</v>
      </c>
      <c r="AR577" t="s">
        <v>7633</v>
      </c>
      <c r="AS577">
        <v>-3292777728</v>
      </c>
      <c r="AT577" t="s">
        <v>7509</v>
      </c>
      <c r="AU577" t="s">
        <v>10</v>
      </c>
      <c r="AV577" t="s">
        <v>7510</v>
      </c>
      <c r="AW577" t="s">
        <v>7510</v>
      </c>
      <c r="AX577" t="s">
        <v>7511</v>
      </c>
      <c r="AY577" s="2" t="s">
        <v>7512</v>
      </c>
      <c r="BA577" t="s">
        <v>186</v>
      </c>
      <c r="BB577" t="s">
        <v>187</v>
      </c>
      <c r="BC577" t="s">
        <v>188</v>
      </c>
      <c r="BD577">
        <v>518105</v>
      </c>
      <c r="BE577">
        <v>-8675529717812</v>
      </c>
      <c r="BF577" t="s">
        <v>7513</v>
      </c>
      <c r="BG577" t="b">
        <v>0</v>
      </c>
      <c r="BH577" s="6" t="s">
        <v>7514</v>
      </c>
      <c r="BI577" t="s">
        <v>7515</v>
      </c>
      <c r="BJ577">
        <v>4453163191</v>
      </c>
      <c r="BK577" t="s">
        <v>162</v>
      </c>
      <c r="BL577" t="s">
        <v>161</v>
      </c>
      <c r="BM577" s="2"/>
      <c r="BO577" t="s">
        <v>89</v>
      </c>
      <c r="BP577">
        <v>85369019</v>
      </c>
      <c r="BR577" t="s">
        <v>189</v>
      </c>
      <c r="BS577" t="s">
        <v>103</v>
      </c>
      <c r="BU577">
        <v>0</v>
      </c>
      <c r="BV577">
        <v>0</v>
      </c>
      <c r="BW577">
        <v>0</v>
      </c>
      <c r="BX577">
        <v>0</v>
      </c>
      <c r="BY577">
        <v>0</v>
      </c>
      <c r="BZ577">
        <v>0</v>
      </c>
      <c r="CA577">
        <v>0</v>
      </c>
      <c r="CF577" s="2"/>
      <c r="CH577" s="2"/>
      <c r="CJ577">
        <v>5.3142020950114202E+17</v>
      </c>
      <c r="CK577" t="s">
        <v>1849</v>
      </c>
      <c r="CL577">
        <v>44007.584583333337</v>
      </c>
      <c r="CO577" t="s">
        <v>11</v>
      </c>
      <c r="CP577" t="s">
        <v>7634</v>
      </c>
      <c r="CQ577" t="s">
        <v>11</v>
      </c>
      <c r="CR577">
        <v>318.93</v>
      </c>
      <c r="CV577" t="s">
        <v>190</v>
      </c>
      <c r="CW577" t="s">
        <v>12</v>
      </c>
      <c r="CX577" t="s">
        <v>12</v>
      </c>
      <c r="CY577" t="s">
        <v>12</v>
      </c>
      <c r="DA577" t="s">
        <v>104</v>
      </c>
      <c r="DD577" t="s">
        <v>93</v>
      </c>
      <c r="DQ577" t="s">
        <v>94</v>
      </c>
      <c r="DR577" t="s">
        <v>94</v>
      </c>
      <c r="DS577" t="s">
        <v>94</v>
      </c>
      <c r="DT577" t="s">
        <v>94</v>
      </c>
      <c r="DU577" t="s">
        <v>94</v>
      </c>
      <c r="DV577" t="s">
        <v>94</v>
      </c>
      <c r="DW577" t="s">
        <v>94</v>
      </c>
      <c r="DX577" s="2" t="s">
        <v>94</v>
      </c>
      <c r="DY577" t="s">
        <v>94</v>
      </c>
      <c r="DZ577" t="s">
        <v>94</v>
      </c>
      <c r="EA577" t="s">
        <v>94</v>
      </c>
      <c r="EB577" t="s">
        <v>94</v>
      </c>
      <c r="EC577" t="s">
        <v>94</v>
      </c>
      <c r="ED577" t="s">
        <v>94</v>
      </c>
      <c r="EE577" t="s">
        <v>89</v>
      </c>
      <c r="EF577" t="s">
        <v>425</v>
      </c>
      <c r="EG577" t="s">
        <v>7244</v>
      </c>
      <c r="EJ577" t="s">
        <v>166</v>
      </c>
      <c r="EK577" t="b">
        <v>0</v>
      </c>
      <c r="EL577" t="b">
        <v>0</v>
      </c>
      <c r="EM577" t="b">
        <v>0</v>
      </c>
    </row>
    <row r="578" spans="3:143">
      <c r="C578" s="4">
        <v>2</v>
      </c>
      <c r="D578" s="4"/>
      <c r="E578" s="4">
        <v>1</v>
      </c>
      <c r="F578" s="4">
        <v>0.2</v>
      </c>
      <c r="G578" s="5" t="s">
        <v>7631</v>
      </c>
      <c r="H578" s="4" t="s">
        <v>7635</v>
      </c>
      <c r="I578" s="4" t="s">
        <v>466</v>
      </c>
      <c r="J578" s="5"/>
      <c r="K578" s="22" t="s">
        <v>7516</v>
      </c>
      <c r="L578" s="84" t="s">
        <v>7504</v>
      </c>
      <c r="M578" s="23" t="s">
        <v>466</v>
      </c>
      <c r="N578" s="23">
        <v>44009</v>
      </c>
      <c r="O578" s="24" t="s">
        <v>102</v>
      </c>
      <c r="P578" s="24" t="s">
        <v>179</v>
      </c>
      <c r="Q578" s="24">
        <v>1</v>
      </c>
      <c r="R578" s="24">
        <v>0.2</v>
      </c>
      <c r="S578" t="s">
        <v>528</v>
      </c>
      <c r="T578">
        <v>25</v>
      </c>
      <c r="U578" s="2" t="s">
        <v>163</v>
      </c>
      <c r="V578">
        <v>44009.845069444447</v>
      </c>
      <c r="W578" s="2" t="s">
        <v>444</v>
      </c>
      <c r="X578">
        <v>44009.848298611112</v>
      </c>
      <c r="AB578" t="s">
        <v>9</v>
      </c>
      <c r="AC578" t="s">
        <v>2246</v>
      </c>
      <c r="AD578" t="s">
        <v>1125</v>
      </c>
      <c r="AE578">
        <v>42358</v>
      </c>
      <c r="AF578">
        <v>42358</v>
      </c>
      <c r="AG578" t="s">
        <v>183</v>
      </c>
      <c r="AH578" t="s">
        <v>7517</v>
      </c>
      <c r="AI578" t="s">
        <v>7517</v>
      </c>
      <c r="AJ578" t="s">
        <v>795</v>
      </c>
      <c r="AK578" t="s">
        <v>796</v>
      </c>
      <c r="AL578" t="s">
        <v>7518</v>
      </c>
      <c r="AO578" t="s">
        <v>2251</v>
      </c>
      <c r="AP578" t="s">
        <v>2250</v>
      </c>
      <c r="AQ578" t="s">
        <v>2251</v>
      </c>
      <c r="AR578" t="s">
        <v>7636</v>
      </c>
      <c r="AS578">
        <v>-34965178704</v>
      </c>
      <c r="AT578" t="s">
        <v>7519</v>
      </c>
      <c r="AU578" t="s">
        <v>10</v>
      </c>
      <c r="AV578" t="s">
        <v>7520</v>
      </c>
      <c r="AW578" t="s">
        <v>7520</v>
      </c>
      <c r="AX578" t="s">
        <v>7521</v>
      </c>
      <c r="AY578" t="s">
        <v>7522</v>
      </c>
      <c r="BA578" t="s">
        <v>2748</v>
      </c>
      <c r="BB578" t="s">
        <v>1138</v>
      </c>
      <c r="BC578" t="s">
        <v>188</v>
      </c>
      <c r="BD578">
        <v>528300</v>
      </c>
      <c r="BE578">
        <v>-8675722900252</v>
      </c>
      <c r="BF578" t="s">
        <v>7523</v>
      </c>
      <c r="BG578" t="b">
        <v>0</v>
      </c>
      <c r="BH578" s="6" t="s">
        <v>7524</v>
      </c>
      <c r="BI578" t="s">
        <v>7525</v>
      </c>
      <c r="BJ578">
        <v>4453163191</v>
      </c>
      <c r="BK578" t="s">
        <v>162</v>
      </c>
      <c r="BL578" t="s">
        <v>161</v>
      </c>
      <c r="BM578" s="2"/>
      <c r="BO578" t="s">
        <v>89</v>
      </c>
      <c r="BP578">
        <v>39241000</v>
      </c>
      <c r="BR578" t="s">
        <v>180</v>
      </c>
      <c r="BS578" t="s">
        <v>103</v>
      </c>
      <c r="BU578">
        <v>0</v>
      </c>
      <c r="BV578">
        <v>0</v>
      </c>
      <c r="BW578">
        <v>0</v>
      </c>
      <c r="BX578">
        <v>0</v>
      </c>
      <c r="BY578">
        <v>0</v>
      </c>
      <c r="BZ578">
        <v>0</v>
      </c>
      <c r="CA578">
        <v>0</v>
      </c>
      <c r="CF578" s="2"/>
      <c r="CH578" s="2"/>
      <c r="CJ578">
        <v>5.3142020950114202E+17</v>
      </c>
      <c r="CK578" t="s">
        <v>1849</v>
      </c>
      <c r="CL578">
        <v>44007.397719907407</v>
      </c>
      <c r="CO578" t="s">
        <v>11</v>
      </c>
      <c r="CP578" t="s">
        <v>7637</v>
      </c>
      <c r="CQ578" t="s">
        <v>11</v>
      </c>
      <c r="CR578">
        <v>199.59</v>
      </c>
      <c r="CV578" t="s">
        <v>190</v>
      </c>
      <c r="CW578" t="s">
        <v>12</v>
      </c>
      <c r="CX578" t="s">
        <v>12</v>
      </c>
      <c r="CY578" t="s">
        <v>12</v>
      </c>
      <c r="DA578" t="s">
        <v>104</v>
      </c>
      <c r="DD578" t="s">
        <v>93</v>
      </c>
      <c r="DQ578" t="s">
        <v>94</v>
      </c>
      <c r="DR578" t="s">
        <v>94</v>
      </c>
      <c r="DS578" t="s">
        <v>94</v>
      </c>
      <c r="DT578" t="s">
        <v>94</v>
      </c>
      <c r="DU578" t="s">
        <v>94</v>
      </c>
      <c r="DV578" t="s">
        <v>94</v>
      </c>
      <c r="DW578" t="s">
        <v>94</v>
      </c>
      <c r="DX578" s="2" t="s">
        <v>94</v>
      </c>
      <c r="DY578" t="s">
        <v>94</v>
      </c>
      <c r="DZ578" t="s">
        <v>94</v>
      </c>
      <c r="EA578" t="s">
        <v>94</v>
      </c>
      <c r="EB578" t="s">
        <v>94</v>
      </c>
      <c r="EC578" t="s">
        <v>94</v>
      </c>
      <c r="ED578" t="s">
        <v>94</v>
      </c>
      <c r="EE578" t="s">
        <v>89</v>
      </c>
      <c r="EF578" t="s">
        <v>425</v>
      </c>
      <c r="EG578" t="s">
        <v>7244</v>
      </c>
      <c r="EJ578" t="s">
        <v>166</v>
      </c>
      <c r="EK578" t="b">
        <v>0</v>
      </c>
      <c r="EL578" t="b">
        <v>0</v>
      </c>
      <c r="EM578" t="b">
        <v>0</v>
      </c>
    </row>
    <row r="579" spans="3:143">
      <c r="C579" s="4">
        <v>2</v>
      </c>
      <c r="D579" s="5"/>
      <c r="E579" s="5">
        <v>1</v>
      </c>
      <c r="F579" s="4">
        <v>2</v>
      </c>
      <c r="G579" s="5" t="s">
        <v>7631</v>
      </c>
      <c r="H579" s="4" t="s">
        <v>7471</v>
      </c>
      <c r="I579" s="4" t="s">
        <v>466</v>
      </c>
      <c r="J579" s="4"/>
      <c r="K579" s="22" t="s">
        <v>7526</v>
      </c>
      <c r="L579" s="84" t="s">
        <v>7504</v>
      </c>
      <c r="M579" s="23" t="s">
        <v>466</v>
      </c>
      <c r="N579" s="23">
        <v>44009</v>
      </c>
      <c r="O579" s="24" t="s">
        <v>102</v>
      </c>
      <c r="P579" s="24" t="s">
        <v>181</v>
      </c>
      <c r="Q579" s="24">
        <v>1</v>
      </c>
      <c r="R579" s="24">
        <v>2</v>
      </c>
      <c r="S579" t="s">
        <v>319</v>
      </c>
      <c r="T579">
        <v>300</v>
      </c>
      <c r="U579" s="2" t="s">
        <v>163</v>
      </c>
      <c r="V579">
        <v>44009.844918981478</v>
      </c>
      <c r="W579" s="2" t="s">
        <v>444</v>
      </c>
      <c r="X579">
        <v>44009.848298611112</v>
      </c>
      <c r="AB579" t="s">
        <v>9</v>
      </c>
      <c r="AC579" t="s">
        <v>7527</v>
      </c>
      <c r="AD579" t="s">
        <v>182</v>
      </c>
      <c r="AE579">
        <v>89774</v>
      </c>
      <c r="AF579">
        <v>89774</v>
      </c>
      <c r="AG579" t="s">
        <v>183</v>
      </c>
      <c r="AH579" t="s">
        <v>7528</v>
      </c>
      <c r="AI579" t="s">
        <v>7528</v>
      </c>
      <c r="AJ579" t="s">
        <v>601</v>
      </c>
      <c r="AK579" t="s">
        <v>602</v>
      </c>
      <c r="AL579" t="s">
        <v>7529</v>
      </c>
      <c r="AO579" t="s">
        <v>4137</v>
      </c>
      <c r="AP579" t="s">
        <v>4138</v>
      </c>
      <c r="AQ579" t="s">
        <v>4139</v>
      </c>
      <c r="AR579" t="s">
        <v>7638</v>
      </c>
      <c r="AS579">
        <v>65205835</v>
      </c>
      <c r="AT579" t="s">
        <v>7530</v>
      </c>
      <c r="AU579" t="s">
        <v>10</v>
      </c>
      <c r="AV579" t="s">
        <v>7531</v>
      </c>
      <c r="AW579" t="s">
        <v>7532</v>
      </c>
      <c r="AX579" t="s">
        <v>7533</v>
      </c>
      <c r="AY579" t="s">
        <v>7534</v>
      </c>
      <c r="BA579" t="s">
        <v>194</v>
      </c>
      <c r="BB579" t="s">
        <v>272</v>
      </c>
      <c r="BC579" t="s">
        <v>188</v>
      </c>
      <c r="BD579">
        <v>518000</v>
      </c>
      <c r="BE579">
        <v>8675533288582</v>
      </c>
      <c r="BF579" t="s">
        <v>7535</v>
      </c>
      <c r="BG579" t="b">
        <v>0</v>
      </c>
      <c r="BH579" s="6" t="s">
        <v>7536</v>
      </c>
      <c r="BI579" t="s">
        <v>7537</v>
      </c>
      <c r="BJ579">
        <v>4453163191</v>
      </c>
      <c r="BK579" t="s">
        <v>162</v>
      </c>
      <c r="BL579" t="s">
        <v>161</v>
      </c>
      <c r="BM579" s="2"/>
      <c r="BO579" t="s">
        <v>89</v>
      </c>
      <c r="BP579">
        <v>8525803990</v>
      </c>
      <c r="BR579" t="s">
        <v>180</v>
      </c>
      <c r="BS579" t="s">
        <v>103</v>
      </c>
      <c r="BU579">
        <v>0</v>
      </c>
      <c r="BV579">
        <v>274.57</v>
      </c>
      <c r="BW579">
        <v>0</v>
      </c>
      <c r="BX579">
        <v>0</v>
      </c>
      <c r="BY579">
        <v>0</v>
      </c>
      <c r="BZ579">
        <v>0</v>
      </c>
      <c r="CA579">
        <v>274.57</v>
      </c>
      <c r="CF579" s="2"/>
      <c r="CH579" s="2"/>
      <c r="CJ579">
        <v>5.3142020950114202E+17</v>
      </c>
      <c r="CK579" t="s">
        <v>2648</v>
      </c>
      <c r="CL579">
        <v>44009.380868055552</v>
      </c>
      <c r="CO579" t="s">
        <v>11</v>
      </c>
      <c r="CP579" t="s">
        <v>7639</v>
      </c>
      <c r="CQ579" t="s">
        <v>11</v>
      </c>
      <c r="CR579">
        <v>2126.19</v>
      </c>
      <c r="CV579" t="s">
        <v>190</v>
      </c>
      <c r="CW579" t="s">
        <v>12</v>
      </c>
      <c r="CX579" t="s">
        <v>12</v>
      </c>
      <c r="CY579" t="s">
        <v>12</v>
      </c>
      <c r="DA579" t="s">
        <v>104</v>
      </c>
      <c r="DD579" t="s">
        <v>93</v>
      </c>
      <c r="DQ579" t="s">
        <v>94</v>
      </c>
      <c r="DR579" t="s">
        <v>94</v>
      </c>
      <c r="DS579" t="s">
        <v>94</v>
      </c>
      <c r="DT579" t="s">
        <v>94</v>
      </c>
      <c r="DU579" t="s">
        <v>94</v>
      </c>
      <c r="DV579" t="s">
        <v>94</v>
      </c>
      <c r="DW579" t="s">
        <v>94</v>
      </c>
      <c r="DX579" s="2" t="s">
        <v>94</v>
      </c>
      <c r="DY579" t="s">
        <v>94</v>
      </c>
      <c r="DZ579" t="s">
        <v>94</v>
      </c>
      <c r="EA579" t="s">
        <v>94</v>
      </c>
      <c r="EB579" t="s">
        <v>94</v>
      </c>
      <c r="EC579" t="s">
        <v>94</v>
      </c>
      <c r="ED579" t="s">
        <v>94</v>
      </c>
      <c r="EE579" t="s">
        <v>89</v>
      </c>
      <c r="EF579" t="s">
        <v>425</v>
      </c>
      <c r="EG579" t="s">
        <v>7244</v>
      </c>
      <c r="EJ579" t="s">
        <v>166</v>
      </c>
      <c r="EK579" t="b">
        <v>0</v>
      </c>
      <c r="EL579" t="b">
        <v>0</v>
      </c>
      <c r="EM579" t="b">
        <v>0</v>
      </c>
    </row>
    <row r="580" spans="3:143">
      <c r="C580" s="4">
        <v>2</v>
      </c>
      <c r="D580" s="5"/>
      <c r="E580" s="4">
        <v>1</v>
      </c>
      <c r="F580" s="4">
        <v>0.3</v>
      </c>
      <c r="G580" s="5" t="s">
        <v>7631</v>
      </c>
      <c r="H580" s="4" t="s">
        <v>7640</v>
      </c>
      <c r="I580" s="4" t="s">
        <v>466</v>
      </c>
      <c r="J580" s="4"/>
      <c r="K580" s="22" t="s">
        <v>7538</v>
      </c>
      <c r="L580" s="84" t="s">
        <v>7504</v>
      </c>
      <c r="M580" s="23" t="s">
        <v>466</v>
      </c>
      <c r="N580" s="23">
        <v>44009</v>
      </c>
      <c r="O580" s="24" t="s">
        <v>102</v>
      </c>
      <c r="P580" s="24" t="s">
        <v>181</v>
      </c>
      <c r="Q580" s="24">
        <v>1</v>
      </c>
      <c r="R580" s="24">
        <v>0.3</v>
      </c>
      <c r="S580" t="s">
        <v>4062</v>
      </c>
      <c r="T580">
        <v>45000</v>
      </c>
      <c r="U580" s="2" t="s">
        <v>163</v>
      </c>
      <c r="V580">
        <v>44009.845451388886</v>
      </c>
      <c r="W580" s="2" t="s">
        <v>444</v>
      </c>
      <c r="X580">
        <v>44009.851481481484</v>
      </c>
      <c r="AB580" t="s">
        <v>9</v>
      </c>
      <c r="AC580" t="s">
        <v>1531</v>
      </c>
      <c r="AD580" t="s">
        <v>182</v>
      </c>
      <c r="AE580">
        <v>538665</v>
      </c>
      <c r="AF580">
        <v>538665</v>
      </c>
      <c r="AG580" t="s">
        <v>183</v>
      </c>
      <c r="AH580" t="s">
        <v>7539</v>
      </c>
      <c r="AI580" t="s">
        <v>7539</v>
      </c>
      <c r="AJ580" t="s">
        <v>1533</v>
      </c>
      <c r="AK580" t="s">
        <v>1534</v>
      </c>
      <c r="AL580" t="s">
        <v>7540</v>
      </c>
      <c r="AM580" t="s">
        <v>7641</v>
      </c>
      <c r="AO580" t="s">
        <v>7541</v>
      </c>
      <c r="AP580" t="s">
        <v>1538</v>
      </c>
      <c r="AQ580" t="s">
        <v>1539</v>
      </c>
      <c r="AR580" t="s">
        <v>7642</v>
      </c>
      <c r="AS580">
        <v>368032080</v>
      </c>
      <c r="AT580" t="s">
        <v>7542</v>
      </c>
      <c r="AU580" t="s">
        <v>10</v>
      </c>
      <c r="AV580" t="s">
        <v>7543</v>
      </c>
      <c r="AW580" t="s">
        <v>7543</v>
      </c>
      <c r="AX580" t="s">
        <v>7544</v>
      </c>
      <c r="AY580" t="s">
        <v>7545</v>
      </c>
      <c r="AZ580" t="s">
        <v>7546</v>
      </c>
      <c r="BA580" t="s">
        <v>186</v>
      </c>
      <c r="BB580" t="s">
        <v>187</v>
      </c>
      <c r="BC580" t="s">
        <v>188</v>
      </c>
      <c r="BD580">
        <v>518100</v>
      </c>
      <c r="BE580">
        <v>8613376507942</v>
      </c>
      <c r="BF580" t="s">
        <v>7547</v>
      </c>
      <c r="BG580" t="b">
        <v>0</v>
      </c>
      <c r="BH580" s="6" t="s">
        <v>7548</v>
      </c>
      <c r="BI580" t="s">
        <v>7549</v>
      </c>
      <c r="BJ580">
        <v>4453163191</v>
      </c>
      <c r="BK580" t="s">
        <v>162</v>
      </c>
      <c r="BL580" t="s">
        <v>161</v>
      </c>
      <c r="BM580" s="2"/>
      <c r="BO580" t="s">
        <v>89</v>
      </c>
      <c r="BP580">
        <v>71171900</v>
      </c>
      <c r="BR580" t="s">
        <v>180</v>
      </c>
      <c r="BS580" t="s">
        <v>103</v>
      </c>
      <c r="BU580">
        <v>236.46</v>
      </c>
      <c r="BV580">
        <v>415</v>
      </c>
      <c r="BW580">
        <v>0</v>
      </c>
      <c r="BX580">
        <v>0</v>
      </c>
      <c r="BY580">
        <v>0</v>
      </c>
      <c r="BZ580">
        <v>0</v>
      </c>
      <c r="CA580">
        <v>651.46</v>
      </c>
      <c r="CF580" s="2"/>
      <c r="CH580" s="2"/>
      <c r="CJ580">
        <v>5.3142020950114298E+17</v>
      </c>
      <c r="CK580" t="s">
        <v>1849</v>
      </c>
      <c r="CL580">
        <v>44007.398252314815</v>
      </c>
      <c r="CO580" t="s">
        <v>11</v>
      </c>
      <c r="CP580" t="s">
        <v>7643</v>
      </c>
      <c r="CQ580" t="s">
        <v>11</v>
      </c>
      <c r="CR580">
        <v>2970.59</v>
      </c>
      <c r="CV580" t="s">
        <v>190</v>
      </c>
      <c r="CW580" t="s">
        <v>12</v>
      </c>
      <c r="CX580" t="s">
        <v>12</v>
      </c>
      <c r="CY580" t="s">
        <v>12</v>
      </c>
      <c r="DA580" t="s">
        <v>104</v>
      </c>
      <c r="DD580" t="s">
        <v>93</v>
      </c>
      <c r="DQ580" t="s">
        <v>94</v>
      </c>
      <c r="DR580" t="s">
        <v>94</v>
      </c>
      <c r="DS580" t="s">
        <v>94</v>
      </c>
      <c r="DT580" t="s">
        <v>94</v>
      </c>
      <c r="DU580" t="s">
        <v>94</v>
      </c>
      <c r="DV580" t="s">
        <v>94</v>
      </c>
      <c r="DW580" t="s">
        <v>94</v>
      </c>
      <c r="DX580" s="2" t="s">
        <v>94</v>
      </c>
      <c r="DY580" t="s">
        <v>94</v>
      </c>
      <c r="DZ580" t="s">
        <v>94</v>
      </c>
      <c r="EA580" t="s">
        <v>94</v>
      </c>
      <c r="EB580" t="s">
        <v>94</v>
      </c>
      <c r="EC580" t="s">
        <v>94</v>
      </c>
      <c r="ED580" t="s">
        <v>94</v>
      </c>
      <c r="EE580" t="s">
        <v>89</v>
      </c>
      <c r="EF580" t="s">
        <v>425</v>
      </c>
      <c r="EG580" t="s">
        <v>7244</v>
      </c>
      <c r="EJ580" t="s">
        <v>166</v>
      </c>
      <c r="EK580" t="b">
        <v>0</v>
      </c>
      <c r="EL580" t="b">
        <v>0</v>
      </c>
      <c r="EM580" t="b">
        <v>0</v>
      </c>
    </row>
    <row r="581" spans="3:143" ht="15">
      <c r="C581" s="82">
        <v>13</v>
      </c>
      <c r="D581" s="5"/>
      <c r="E581" s="4">
        <v>1</v>
      </c>
      <c r="F581" s="5">
        <v>0.62</v>
      </c>
      <c r="G581" s="5" t="s">
        <v>7644</v>
      </c>
      <c r="H581" s="4" t="s">
        <v>1802</v>
      </c>
      <c r="I581" s="81" t="s">
        <v>817</v>
      </c>
      <c r="J581" s="21"/>
      <c r="K581" s="22" t="s">
        <v>7550</v>
      </c>
      <c r="L581" s="84" t="s">
        <v>7551</v>
      </c>
      <c r="M581" s="23" t="s">
        <v>817</v>
      </c>
      <c r="N581" s="23">
        <v>44010</v>
      </c>
      <c r="O581" s="24" t="s">
        <v>102</v>
      </c>
      <c r="P581" s="24" t="s">
        <v>179</v>
      </c>
      <c r="Q581" s="24">
        <v>1</v>
      </c>
      <c r="R581" s="24">
        <v>0.62</v>
      </c>
      <c r="S581" t="s">
        <v>11</v>
      </c>
      <c r="T581">
        <v>360</v>
      </c>
      <c r="U581" s="2" t="s">
        <v>163</v>
      </c>
      <c r="V581">
        <v>44013.566770833335</v>
      </c>
      <c r="W581" s="2" t="s">
        <v>444</v>
      </c>
      <c r="X581">
        <v>44013.600555555553</v>
      </c>
      <c r="AB581" t="s">
        <v>9</v>
      </c>
      <c r="AC581" t="s">
        <v>7552</v>
      </c>
      <c r="AD581" t="s">
        <v>182</v>
      </c>
      <c r="AE581">
        <v>29568</v>
      </c>
      <c r="AF581">
        <v>29568</v>
      </c>
      <c r="AG581" t="s">
        <v>183</v>
      </c>
      <c r="AH581" t="s">
        <v>7553</v>
      </c>
      <c r="AI581" t="s">
        <v>7553</v>
      </c>
      <c r="AJ581" t="s">
        <v>7123</v>
      </c>
      <c r="AK581" t="s">
        <v>7124</v>
      </c>
      <c r="AL581" t="s">
        <v>7554</v>
      </c>
      <c r="AO581" t="s">
        <v>7555</v>
      </c>
      <c r="AP581" t="s">
        <v>7556</v>
      </c>
      <c r="AR581" t="s">
        <v>7557</v>
      </c>
      <c r="AS581">
        <v>-421517715065</v>
      </c>
      <c r="AT581" t="s">
        <v>7558</v>
      </c>
      <c r="AU581" t="s">
        <v>10</v>
      </c>
      <c r="AV581" t="s">
        <v>7559</v>
      </c>
      <c r="AW581" t="s">
        <v>7559</v>
      </c>
      <c r="AX581" t="s">
        <v>7560</v>
      </c>
      <c r="AY581" s="2" t="s">
        <v>7561</v>
      </c>
      <c r="AZ581" t="s">
        <v>7562</v>
      </c>
      <c r="BA581" t="s">
        <v>271</v>
      </c>
      <c r="BB581" t="s">
        <v>272</v>
      </c>
      <c r="BC581" t="s">
        <v>188</v>
      </c>
      <c r="BD581">
        <v>518057</v>
      </c>
      <c r="BE581">
        <v>-8675586316187</v>
      </c>
      <c r="BF581" t="s">
        <v>7563</v>
      </c>
      <c r="BG581" t="b">
        <v>0</v>
      </c>
      <c r="BH581" s="6" t="s">
        <v>7564</v>
      </c>
      <c r="BI581" t="s">
        <v>7565</v>
      </c>
      <c r="BJ581">
        <v>4453163191</v>
      </c>
      <c r="BK581" t="s">
        <v>162</v>
      </c>
      <c r="BL581" t="s">
        <v>161</v>
      </c>
      <c r="BM581" s="2"/>
      <c r="BO581" t="s">
        <v>89</v>
      </c>
      <c r="BP581">
        <v>8504909090</v>
      </c>
      <c r="BR581" t="s">
        <v>189</v>
      </c>
      <c r="BS581" t="s">
        <v>103</v>
      </c>
      <c r="BU581">
        <v>0</v>
      </c>
      <c r="BV581">
        <v>0</v>
      </c>
      <c r="BW581">
        <v>0</v>
      </c>
      <c r="BX581">
        <v>0</v>
      </c>
      <c r="BY581">
        <v>0</v>
      </c>
      <c r="BZ581">
        <v>0</v>
      </c>
      <c r="CA581">
        <v>0</v>
      </c>
      <c r="CF581" s="2"/>
      <c r="CH581" s="2"/>
      <c r="CJ581">
        <v>5.3142020950114502E+17</v>
      </c>
      <c r="CK581" t="s">
        <v>500</v>
      </c>
      <c r="CL581">
        <v>44010.557916666665</v>
      </c>
      <c r="CO581" t="s">
        <v>11</v>
      </c>
      <c r="CP581" t="s">
        <v>7645</v>
      </c>
      <c r="CQ581" t="s">
        <v>11</v>
      </c>
      <c r="CR581">
        <v>360</v>
      </c>
      <c r="CV581" t="s">
        <v>190</v>
      </c>
      <c r="CW581" t="s">
        <v>12</v>
      </c>
      <c r="CX581" t="s">
        <v>12</v>
      </c>
      <c r="CY581" t="s">
        <v>12</v>
      </c>
      <c r="DA581" t="s">
        <v>104</v>
      </c>
      <c r="DD581" t="s">
        <v>93</v>
      </c>
      <c r="DQ581" t="s">
        <v>94</v>
      </c>
      <c r="DR581" t="s">
        <v>94</v>
      </c>
      <c r="DS581" t="s">
        <v>94</v>
      </c>
      <c r="DT581" t="s">
        <v>94</v>
      </c>
      <c r="DU581" t="s">
        <v>94</v>
      </c>
      <c r="DV581" t="s">
        <v>94</v>
      </c>
      <c r="DW581" t="s">
        <v>94</v>
      </c>
      <c r="DX581" s="2" t="s">
        <v>94</v>
      </c>
      <c r="DY581" t="s">
        <v>94</v>
      </c>
      <c r="DZ581" t="s">
        <v>94</v>
      </c>
      <c r="EA581" t="s">
        <v>94</v>
      </c>
      <c r="EB581" t="s">
        <v>94</v>
      </c>
      <c r="EC581" t="s">
        <v>94</v>
      </c>
      <c r="ED581" t="s">
        <v>94</v>
      </c>
      <c r="EE581" t="s">
        <v>89</v>
      </c>
      <c r="EF581" t="s">
        <v>425</v>
      </c>
      <c r="EG581" t="s">
        <v>7244</v>
      </c>
      <c r="EJ581" t="s">
        <v>526</v>
      </c>
      <c r="EK581" t="b">
        <v>0</v>
      </c>
      <c r="EL581" t="b">
        <v>0</v>
      </c>
      <c r="EM581" t="b">
        <v>0</v>
      </c>
    </row>
    <row r="582" spans="3:143">
      <c r="C582" s="4">
        <v>2</v>
      </c>
      <c r="D582" s="4"/>
      <c r="E582" s="4">
        <v>1</v>
      </c>
      <c r="F582" s="4">
        <v>0.2</v>
      </c>
      <c r="G582" s="5" t="s">
        <v>7644</v>
      </c>
      <c r="H582" s="4" t="s">
        <v>7635</v>
      </c>
      <c r="I582" s="4" t="s">
        <v>817</v>
      </c>
      <c r="J582" s="5"/>
      <c r="K582" s="22" t="s">
        <v>7566</v>
      </c>
      <c r="L582" s="84" t="s">
        <v>7551</v>
      </c>
      <c r="M582" s="23" t="s">
        <v>817</v>
      </c>
      <c r="N582" s="23">
        <v>44010</v>
      </c>
      <c r="O582" s="24" t="s">
        <v>102</v>
      </c>
      <c r="P582" s="24" t="s">
        <v>179</v>
      </c>
      <c r="Q582" s="24">
        <v>1</v>
      </c>
      <c r="R582" s="24">
        <v>0.2</v>
      </c>
      <c r="S582" t="s">
        <v>528</v>
      </c>
      <c r="T582">
        <v>32</v>
      </c>
      <c r="U582" s="2" t="s">
        <v>163</v>
      </c>
      <c r="V582">
        <v>44010.80023148148</v>
      </c>
      <c r="W582" s="2" t="s">
        <v>444</v>
      </c>
      <c r="X582">
        <v>44010.830497685187</v>
      </c>
      <c r="AB582" t="s">
        <v>9</v>
      </c>
      <c r="AC582" t="s">
        <v>7567</v>
      </c>
      <c r="AD582" t="s">
        <v>182</v>
      </c>
      <c r="AE582">
        <v>58082</v>
      </c>
      <c r="AF582">
        <v>58082</v>
      </c>
      <c r="AG582" t="s">
        <v>183</v>
      </c>
      <c r="AH582" t="s">
        <v>7568</v>
      </c>
      <c r="AI582" t="s">
        <v>7568</v>
      </c>
      <c r="AJ582" t="s">
        <v>863</v>
      </c>
      <c r="AK582" t="s">
        <v>864</v>
      </c>
      <c r="AL582" t="s">
        <v>7569</v>
      </c>
      <c r="AM582" t="s">
        <v>7570</v>
      </c>
      <c r="AN582" t="s">
        <v>7571</v>
      </c>
      <c r="AO582" t="s">
        <v>7572</v>
      </c>
      <c r="AP582" t="s">
        <v>7573</v>
      </c>
      <c r="AQ582" t="s">
        <v>7574</v>
      </c>
      <c r="AR582" t="s">
        <v>7646</v>
      </c>
      <c r="AS582">
        <v>248507760</v>
      </c>
      <c r="AT582" t="s">
        <v>7575</v>
      </c>
      <c r="AU582" t="s">
        <v>10</v>
      </c>
      <c r="AV582" t="s">
        <v>7576</v>
      </c>
      <c r="AW582" t="s">
        <v>7576</v>
      </c>
      <c r="AX582" t="s">
        <v>7577</v>
      </c>
      <c r="AY582" t="s">
        <v>593</v>
      </c>
      <c r="AZ582" t="s">
        <v>459</v>
      </c>
      <c r="BA582" t="s">
        <v>186</v>
      </c>
      <c r="BB582" t="s">
        <v>187</v>
      </c>
      <c r="BC582" t="s">
        <v>188</v>
      </c>
      <c r="BD582">
        <v>518105</v>
      </c>
      <c r="BE582">
        <v>-15013805287</v>
      </c>
      <c r="BF582" t="s">
        <v>7578</v>
      </c>
      <c r="BG582" t="b">
        <v>0</v>
      </c>
      <c r="BH582" s="6" t="s">
        <v>7579</v>
      </c>
      <c r="BI582" t="s">
        <v>7580</v>
      </c>
      <c r="BJ582">
        <v>4453163191</v>
      </c>
      <c r="BK582" t="s">
        <v>162</v>
      </c>
      <c r="BL582" t="s">
        <v>161</v>
      </c>
      <c r="BM582" s="2"/>
      <c r="BO582" t="s">
        <v>89</v>
      </c>
      <c r="BP582">
        <v>39241000</v>
      </c>
      <c r="BR582" t="s">
        <v>180</v>
      </c>
      <c r="BS582" t="s">
        <v>103</v>
      </c>
      <c r="BU582">
        <v>0</v>
      </c>
      <c r="BV582">
        <v>0</v>
      </c>
      <c r="BW582">
        <v>0</v>
      </c>
      <c r="BX582">
        <v>0</v>
      </c>
      <c r="BY582">
        <v>0</v>
      </c>
      <c r="BZ582">
        <v>0</v>
      </c>
      <c r="CA582">
        <v>0</v>
      </c>
      <c r="CF582" s="2"/>
      <c r="CH582" s="2"/>
      <c r="CJ582">
        <v>5.3142020950114502E+17</v>
      </c>
      <c r="CK582" t="s">
        <v>500</v>
      </c>
      <c r="CL582">
        <v>44010.55804398148</v>
      </c>
      <c r="CO582" t="s">
        <v>11</v>
      </c>
      <c r="CP582" t="s">
        <v>7647</v>
      </c>
      <c r="CQ582" t="s">
        <v>11</v>
      </c>
      <c r="CR582">
        <v>255.48</v>
      </c>
      <c r="CV582" t="s">
        <v>190</v>
      </c>
      <c r="CW582" t="s">
        <v>12</v>
      </c>
      <c r="CX582" t="s">
        <v>12</v>
      </c>
      <c r="CY582" t="s">
        <v>12</v>
      </c>
      <c r="DA582" t="s">
        <v>104</v>
      </c>
      <c r="DD582" t="s">
        <v>93</v>
      </c>
      <c r="DQ582" t="s">
        <v>94</v>
      </c>
      <c r="DR582" t="s">
        <v>94</v>
      </c>
      <c r="DS582" t="s">
        <v>94</v>
      </c>
      <c r="DT582" t="s">
        <v>94</v>
      </c>
      <c r="DU582" t="s">
        <v>94</v>
      </c>
      <c r="DV582" t="s">
        <v>94</v>
      </c>
      <c r="DW582" t="s">
        <v>94</v>
      </c>
      <c r="DX582" s="2" t="s">
        <v>94</v>
      </c>
      <c r="DY582" t="s">
        <v>94</v>
      </c>
      <c r="DZ582" t="s">
        <v>94</v>
      </c>
      <c r="EA582" t="s">
        <v>94</v>
      </c>
      <c r="EB582" t="s">
        <v>94</v>
      </c>
      <c r="EC582" t="s">
        <v>94</v>
      </c>
      <c r="ED582" t="s">
        <v>94</v>
      </c>
      <c r="EE582" t="s">
        <v>89</v>
      </c>
      <c r="EF582" t="s">
        <v>425</v>
      </c>
      <c r="EG582" t="s">
        <v>7244</v>
      </c>
      <c r="EJ582" t="s">
        <v>166</v>
      </c>
      <c r="EK582" t="b">
        <v>0</v>
      </c>
      <c r="EL582" t="b">
        <v>0</v>
      </c>
      <c r="EM582" t="b">
        <v>0</v>
      </c>
    </row>
    <row r="583" spans="3:143">
      <c r="C583" s="4">
        <v>2</v>
      </c>
      <c r="D583" s="5"/>
      <c r="E583" s="5">
        <v>3</v>
      </c>
      <c r="F583" s="4">
        <v>39</v>
      </c>
      <c r="G583" s="5" t="s">
        <v>7644</v>
      </c>
      <c r="H583" s="4" t="s">
        <v>3654</v>
      </c>
      <c r="I583" s="4" t="s">
        <v>817</v>
      </c>
      <c r="J583" s="4"/>
      <c r="K583" s="22" t="s">
        <v>7581</v>
      </c>
      <c r="L583" s="84" t="s">
        <v>7551</v>
      </c>
      <c r="M583" s="23" t="s">
        <v>817</v>
      </c>
      <c r="N583" s="23">
        <v>44010</v>
      </c>
      <c r="O583" s="24" t="s">
        <v>102</v>
      </c>
      <c r="P583" s="24" t="s">
        <v>181</v>
      </c>
      <c r="Q583" s="24">
        <v>3</v>
      </c>
      <c r="R583" s="24">
        <v>39</v>
      </c>
      <c r="S583" t="s">
        <v>11</v>
      </c>
      <c r="T583">
        <v>2000</v>
      </c>
      <c r="U583" s="2" t="s">
        <v>163</v>
      </c>
      <c r="V583">
        <v>44010.800509259258</v>
      </c>
      <c r="W583" s="2" t="s">
        <v>444</v>
      </c>
      <c r="X583">
        <v>44010.830497685187</v>
      </c>
      <c r="AB583" t="s">
        <v>9</v>
      </c>
      <c r="AC583" t="s">
        <v>7582</v>
      </c>
      <c r="AD583" t="s">
        <v>182</v>
      </c>
      <c r="AE583">
        <v>1611877</v>
      </c>
      <c r="AF583">
        <v>1611877</v>
      </c>
      <c r="AG583" t="s">
        <v>183</v>
      </c>
      <c r="AH583" t="s">
        <v>7583</v>
      </c>
      <c r="AI583" t="s">
        <v>7583</v>
      </c>
      <c r="AJ583" t="s">
        <v>184</v>
      </c>
      <c r="AK583" t="s">
        <v>185</v>
      </c>
      <c r="AL583" t="s">
        <v>7584</v>
      </c>
      <c r="AM583" t="s">
        <v>7585</v>
      </c>
      <c r="AO583" t="s">
        <v>7586</v>
      </c>
      <c r="AP583" t="s">
        <v>2805</v>
      </c>
      <c r="AQ583" t="s">
        <v>7587</v>
      </c>
      <c r="AR583" t="s">
        <v>7588</v>
      </c>
      <c r="AT583" t="s">
        <v>7589</v>
      </c>
      <c r="AU583" t="s">
        <v>10</v>
      </c>
      <c r="AV583" t="s">
        <v>7590</v>
      </c>
      <c r="AW583" t="s">
        <v>7590</v>
      </c>
      <c r="AX583" t="s">
        <v>7591</v>
      </c>
      <c r="AY583" t="s">
        <v>7592</v>
      </c>
      <c r="BA583" t="s">
        <v>194</v>
      </c>
      <c r="BB583" t="s">
        <v>272</v>
      </c>
      <c r="BC583" t="s">
        <v>188</v>
      </c>
      <c r="BD583">
        <v>518000</v>
      </c>
      <c r="BE583">
        <v>-8613537685152</v>
      </c>
      <c r="BF583" t="s">
        <v>7593</v>
      </c>
      <c r="BG583" t="b">
        <v>0</v>
      </c>
      <c r="BH583" s="6" t="s">
        <v>2737</v>
      </c>
      <c r="BI583" t="s">
        <v>7594</v>
      </c>
      <c r="BJ583">
        <v>4453163191</v>
      </c>
      <c r="BK583" t="s">
        <v>162</v>
      </c>
      <c r="BL583" t="s">
        <v>161</v>
      </c>
      <c r="BM583" s="2"/>
      <c r="BO583" t="s">
        <v>89</v>
      </c>
      <c r="BP583">
        <v>85414010</v>
      </c>
      <c r="BR583" t="s">
        <v>189</v>
      </c>
      <c r="BS583" t="s">
        <v>103</v>
      </c>
      <c r="BU583">
        <v>0</v>
      </c>
      <c r="BV583">
        <v>260</v>
      </c>
      <c r="BW583">
        <v>0</v>
      </c>
      <c r="BX583">
        <v>0</v>
      </c>
      <c r="BY583">
        <v>0</v>
      </c>
      <c r="BZ583">
        <v>0</v>
      </c>
      <c r="CA583">
        <v>260</v>
      </c>
      <c r="CF583" s="2"/>
      <c r="CH583" s="2"/>
      <c r="CJ583">
        <v>5.3142020950114502E+17</v>
      </c>
      <c r="CK583" t="s">
        <v>500</v>
      </c>
      <c r="CL583">
        <v>44010.558425925927</v>
      </c>
      <c r="CO583" t="s">
        <v>11</v>
      </c>
      <c r="CP583" t="s">
        <v>7648</v>
      </c>
      <c r="CQ583" t="s">
        <v>11</v>
      </c>
      <c r="CR583">
        <v>2000</v>
      </c>
      <c r="CV583" t="s">
        <v>190</v>
      </c>
      <c r="CW583" t="s">
        <v>12</v>
      </c>
      <c r="CX583" t="s">
        <v>12</v>
      </c>
      <c r="CY583" t="s">
        <v>12</v>
      </c>
      <c r="DA583" t="s">
        <v>104</v>
      </c>
      <c r="DD583" t="s">
        <v>93</v>
      </c>
      <c r="DQ583" t="s">
        <v>94</v>
      </c>
      <c r="DR583" t="s">
        <v>94</v>
      </c>
      <c r="DS583" t="s">
        <v>94</v>
      </c>
      <c r="DT583" t="s">
        <v>94</v>
      </c>
      <c r="DU583" t="s">
        <v>94</v>
      </c>
      <c r="DV583" t="s">
        <v>94</v>
      </c>
      <c r="DW583" t="s">
        <v>94</v>
      </c>
      <c r="DX583" s="2" t="s">
        <v>94</v>
      </c>
      <c r="DY583" t="s">
        <v>94</v>
      </c>
      <c r="DZ583" t="s">
        <v>94</v>
      </c>
      <c r="EA583" t="s">
        <v>94</v>
      </c>
      <c r="EB583" t="s">
        <v>94</v>
      </c>
      <c r="EC583" t="s">
        <v>94</v>
      </c>
      <c r="ED583" t="s">
        <v>94</v>
      </c>
      <c r="EE583" t="s">
        <v>89</v>
      </c>
      <c r="EF583" t="s">
        <v>425</v>
      </c>
      <c r="EG583" t="s">
        <v>7244</v>
      </c>
      <c r="EJ583" t="s">
        <v>166</v>
      </c>
      <c r="EK583" t="b">
        <v>0</v>
      </c>
      <c r="EL583" t="b">
        <v>0</v>
      </c>
      <c r="EM583" t="b">
        <v>0</v>
      </c>
    </row>
    <row r="584" spans="3:143">
      <c r="C584" s="4">
        <v>2</v>
      </c>
      <c r="D584" s="5"/>
      <c r="E584" s="4">
        <v>1</v>
      </c>
      <c r="F584" s="4">
        <v>2.2999999999999998</v>
      </c>
      <c r="G584" s="5" t="s">
        <v>7644</v>
      </c>
      <c r="H584" s="4" t="s">
        <v>1802</v>
      </c>
      <c r="I584" s="4" t="s">
        <v>817</v>
      </c>
      <c r="J584" s="4"/>
      <c r="K584" s="22" t="s">
        <v>7595</v>
      </c>
      <c r="L584" s="84" t="s">
        <v>7551</v>
      </c>
      <c r="M584" s="23" t="s">
        <v>817</v>
      </c>
      <c r="N584" s="23">
        <v>44010</v>
      </c>
      <c r="O584" s="24" t="s">
        <v>102</v>
      </c>
      <c r="P584" s="24" t="s">
        <v>181</v>
      </c>
      <c r="Q584" s="24">
        <v>1</v>
      </c>
      <c r="R584" s="24">
        <v>2.2999999999999998</v>
      </c>
      <c r="S584" t="s">
        <v>528</v>
      </c>
      <c r="T584">
        <v>200.36</v>
      </c>
      <c r="U584" s="2" t="s">
        <v>163</v>
      </c>
      <c r="V584">
        <v>44010.800081018519</v>
      </c>
      <c r="W584" s="2" t="s">
        <v>444</v>
      </c>
      <c r="X584">
        <v>44010.831967592596</v>
      </c>
      <c r="AB584" t="s">
        <v>9</v>
      </c>
      <c r="AC584" t="s">
        <v>4218</v>
      </c>
      <c r="AD584" t="s">
        <v>182</v>
      </c>
      <c r="AE584">
        <v>2025074</v>
      </c>
      <c r="AF584">
        <v>2025074</v>
      </c>
      <c r="AG584" t="s">
        <v>183</v>
      </c>
      <c r="AH584" t="s">
        <v>7596</v>
      </c>
      <c r="AI584" t="s">
        <v>7596</v>
      </c>
      <c r="AJ584" t="s">
        <v>795</v>
      </c>
      <c r="AK584" t="s">
        <v>796</v>
      </c>
      <c r="AL584" t="s">
        <v>7597</v>
      </c>
      <c r="AO584" t="s">
        <v>4223</v>
      </c>
      <c r="AP584" t="s">
        <v>4222</v>
      </c>
      <c r="AQ584" t="s">
        <v>4223</v>
      </c>
      <c r="AR584" t="s">
        <v>7649</v>
      </c>
      <c r="AS584">
        <v>915348320</v>
      </c>
      <c r="AT584" t="s">
        <v>7598</v>
      </c>
      <c r="AU584" t="s">
        <v>10</v>
      </c>
      <c r="AV584" t="s">
        <v>7599</v>
      </c>
      <c r="AW584" t="s">
        <v>7599</v>
      </c>
      <c r="AX584" t="s">
        <v>7600</v>
      </c>
      <c r="AY584" t="s">
        <v>7601</v>
      </c>
      <c r="AZ584" t="s">
        <v>7602</v>
      </c>
      <c r="BA584" t="s">
        <v>194</v>
      </c>
      <c r="BB584" t="s">
        <v>272</v>
      </c>
      <c r="BC584" t="s">
        <v>188</v>
      </c>
      <c r="BD584">
        <v>518031</v>
      </c>
      <c r="BE584">
        <v>75583741448</v>
      </c>
      <c r="BF584" t="s">
        <v>7603</v>
      </c>
      <c r="BG584" t="b">
        <v>0</v>
      </c>
      <c r="BH584" s="6" t="s">
        <v>7604</v>
      </c>
      <c r="BI584" t="s">
        <v>7605</v>
      </c>
      <c r="BJ584">
        <v>4453163191</v>
      </c>
      <c r="BK584" t="s">
        <v>162</v>
      </c>
      <c r="BL584" t="s">
        <v>161</v>
      </c>
      <c r="BM584" s="2"/>
      <c r="BO584" t="s">
        <v>89</v>
      </c>
      <c r="BP584">
        <v>85423990</v>
      </c>
      <c r="BR584" t="s">
        <v>180</v>
      </c>
      <c r="BS584" t="s">
        <v>103</v>
      </c>
      <c r="BU584">
        <v>0</v>
      </c>
      <c r="BV584">
        <v>201.26</v>
      </c>
      <c r="BW584">
        <v>0</v>
      </c>
      <c r="BX584">
        <v>0</v>
      </c>
      <c r="BY584">
        <v>0</v>
      </c>
      <c r="BZ584">
        <v>0</v>
      </c>
      <c r="CA584">
        <v>201.26</v>
      </c>
      <c r="CF584" s="2"/>
      <c r="CH584" s="2"/>
      <c r="CJ584">
        <v>5.3142020950114502E+17</v>
      </c>
      <c r="CK584" t="s">
        <v>500</v>
      </c>
      <c r="CL584">
        <v>44010.38140046296</v>
      </c>
      <c r="CO584" t="s">
        <v>11</v>
      </c>
      <c r="CP584" t="s">
        <v>7650</v>
      </c>
      <c r="CQ584" t="s">
        <v>11</v>
      </c>
      <c r="CR584">
        <v>1599.59</v>
      </c>
      <c r="CV584" t="s">
        <v>190</v>
      </c>
      <c r="CW584" t="s">
        <v>12</v>
      </c>
      <c r="CX584" t="s">
        <v>12</v>
      </c>
      <c r="CY584" t="s">
        <v>12</v>
      </c>
      <c r="DA584" t="s">
        <v>104</v>
      </c>
      <c r="DD584" t="s">
        <v>93</v>
      </c>
      <c r="DQ584" t="s">
        <v>94</v>
      </c>
      <c r="DR584" t="s">
        <v>94</v>
      </c>
      <c r="DS584" t="s">
        <v>94</v>
      </c>
      <c r="DT584" t="s">
        <v>94</v>
      </c>
      <c r="DU584" t="s">
        <v>94</v>
      </c>
      <c r="DV584" t="s">
        <v>94</v>
      </c>
      <c r="DW584" t="s">
        <v>94</v>
      </c>
      <c r="DX584" s="2" t="s">
        <v>94</v>
      </c>
      <c r="DY584" t="s">
        <v>94</v>
      </c>
      <c r="DZ584" t="s">
        <v>94</v>
      </c>
      <c r="EA584" t="s">
        <v>94</v>
      </c>
      <c r="EB584" t="s">
        <v>94</v>
      </c>
      <c r="EC584" t="s">
        <v>94</v>
      </c>
      <c r="ED584" t="s">
        <v>94</v>
      </c>
      <c r="EE584" t="s">
        <v>89</v>
      </c>
      <c r="EF584" t="s">
        <v>425</v>
      </c>
      <c r="EG584" t="s">
        <v>7244</v>
      </c>
      <c r="EJ584" t="s">
        <v>166</v>
      </c>
      <c r="EK584" t="b">
        <v>0</v>
      </c>
      <c r="EL584" t="b">
        <v>0</v>
      </c>
      <c r="EM584" t="b">
        <v>0</v>
      </c>
    </row>
    <row r="585" spans="3:143">
      <c r="C585" s="4">
        <v>2</v>
      </c>
      <c r="D585" s="5"/>
      <c r="E585" s="4">
        <v>1</v>
      </c>
      <c r="F585" s="4">
        <v>3.2</v>
      </c>
      <c r="G585" s="5" t="s">
        <v>7644</v>
      </c>
      <c r="H585" s="5" t="s">
        <v>7651</v>
      </c>
      <c r="I585" s="4" t="s">
        <v>817</v>
      </c>
      <c r="J585" s="4"/>
      <c r="K585" s="22" t="s">
        <v>7626</v>
      </c>
      <c r="L585" s="84" t="s">
        <v>7551</v>
      </c>
      <c r="M585" s="23" t="s">
        <v>817</v>
      </c>
      <c r="N585" s="23">
        <v>44010</v>
      </c>
      <c r="O585" s="24" t="s">
        <v>102</v>
      </c>
      <c r="P585" s="24" t="s">
        <v>179</v>
      </c>
      <c r="Q585" s="24">
        <v>1</v>
      </c>
      <c r="R585" s="24">
        <v>3.2</v>
      </c>
      <c r="S585" t="s">
        <v>528</v>
      </c>
      <c r="T585">
        <v>30</v>
      </c>
      <c r="U585" t="s">
        <v>163</v>
      </c>
      <c r="V585">
        <v>44010.800462962965</v>
      </c>
      <c r="W585" t="s">
        <v>444</v>
      </c>
      <c r="X585">
        <v>44012.38821759259</v>
      </c>
      <c r="AB585" t="s">
        <v>9</v>
      </c>
      <c r="AC585" t="s">
        <v>7606</v>
      </c>
      <c r="AD585" t="s">
        <v>209</v>
      </c>
      <c r="AE585">
        <v>70321899</v>
      </c>
      <c r="AF585">
        <v>70321899</v>
      </c>
      <c r="AG585" t="s">
        <v>183</v>
      </c>
      <c r="AH585" t="s">
        <v>7607</v>
      </c>
      <c r="AI585" t="s">
        <v>7607</v>
      </c>
      <c r="AJ585" t="s">
        <v>776</v>
      </c>
      <c r="AK585" t="s">
        <v>777</v>
      </c>
      <c r="AL585" t="s">
        <v>7608</v>
      </c>
      <c r="AO585" t="s">
        <v>7609</v>
      </c>
      <c r="AP585" t="s">
        <v>7610</v>
      </c>
      <c r="AQ585" t="s">
        <v>1012</v>
      </c>
      <c r="AR585" t="s">
        <v>7652</v>
      </c>
      <c r="AS585">
        <v>40301010</v>
      </c>
      <c r="AT585" t="s">
        <v>7611</v>
      </c>
      <c r="AU585" t="s">
        <v>10</v>
      </c>
      <c r="AV585" t="s">
        <v>7612</v>
      </c>
      <c r="AW585" t="s">
        <v>7612</v>
      </c>
      <c r="AX585" t="s">
        <v>7613</v>
      </c>
      <c r="AY585" t="s">
        <v>7614</v>
      </c>
      <c r="AZ585" t="s">
        <v>7615</v>
      </c>
      <c r="BA585" t="s">
        <v>520</v>
      </c>
      <c r="BB585" t="s">
        <v>223</v>
      </c>
      <c r="BC585" t="s">
        <v>188</v>
      </c>
      <c r="BD585">
        <v>510001</v>
      </c>
      <c r="BE585">
        <v>-32136331</v>
      </c>
      <c r="BF585" t="s">
        <v>7616</v>
      </c>
      <c r="BG585" t="b">
        <v>0</v>
      </c>
      <c r="BH585" s="6" t="s">
        <v>7617</v>
      </c>
      <c r="BI585" t="s">
        <v>7618</v>
      </c>
      <c r="BJ585">
        <v>4453163191</v>
      </c>
      <c r="BK585" t="s">
        <v>162</v>
      </c>
      <c r="BL585" t="s">
        <v>161</v>
      </c>
      <c r="BM585" s="2"/>
      <c r="BO585" t="s">
        <v>89</v>
      </c>
      <c r="BP585">
        <v>90049090</v>
      </c>
      <c r="BR585" t="s">
        <v>180</v>
      </c>
      <c r="BS585" t="s">
        <v>103</v>
      </c>
      <c r="BU585">
        <v>0</v>
      </c>
      <c r="BV585">
        <v>0</v>
      </c>
      <c r="BW585">
        <v>0</v>
      </c>
      <c r="BX585">
        <v>0</v>
      </c>
      <c r="BY585">
        <v>0</v>
      </c>
      <c r="BZ585">
        <v>0</v>
      </c>
      <c r="CA585">
        <v>0</v>
      </c>
      <c r="CJ585">
        <v>5.3142020950114502E+17</v>
      </c>
      <c r="CK585" t="s">
        <v>500</v>
      </c>
      <c r="CL585">
        <v>44010.381423611114</v>
      </c>
      <c r="CO585" t="s">
        <v>11</v>
      </c>
      <c r="CP585" t="s">
        <v>7653</v>
      </c>
      <c r="CQ585" t="s">
        <v>11</v>
      </c>
      <c r="CR585">
        <v>239.51</v>
      </c>
      <c r="CV585" t="s">
        <v>190</v>
      </c>
      <c r="CW585" t="s">
        <v>12</v>
      </c>
      <c r="CX585" t="s">
        <v>12</v>
      </c>
      <c r="CY585" t="s">
        <v>12</v>
      </c>
      <c r="DA585" t="s">
        <v>104</v>
      </c>
      <c r="DD585" t="s">
        <v>93</v>
      </c>
      <c r="DQ585" t="s">
        <v>94</v>
      </c>
      <c r="DR585" t="s">
        <v>94</v>
      </c>
      <c r="DS585" t="s">
        <v>94</v>
      </c>
      <c r="DT585" t="s">
        <v>94</v>
      </c>
      <c r="DU585" t="s">
        <v>94</v>
      </c>
      <c r="DV585" t="s">
        <v>94</v>
      </c>
      <c r="DW585" t="s">
        <v>94</v>
      </c>
      <c r="DX585" s="2" t="s">
        <v>94</v>
      </c>
      <c r="DY585" t="s">
        <v>94</v>
      </c>
      <c r="DZ585" t="s">
        <v>94</v>
      </c>
      <c r="EA585" t="s">
        <v>94</v>
      </c>
      <c r="EB585" t="s">
        <v>94</v>
      </c>
      <c r="EC585" t="s">
        <v>94</v>
      </c>
      <c r="ED585" t="s">
        <v>94</v>
      </c>
      <c r="EE585" t="s">
        <v>89</v>
      </c>
      <c r="EF585" t="s">
        <v>425</v>
      </c>
      <c r="EG585" t="s">
        <v>7244</v>
      </c>
      <c r="EJ585" t="s">
        <v>166</v>
      </c>
      <c r="EK585" t="b">
        <v>0</v>
      </c>
      <c r="EL585" t="b">
        <v>0</v>
      </c>
      <c r="EM585" t="b">
        <v>0</v>
      </c>
    </row>
    <row r="586" spans="3:143" ht="15">
      <c r="C586" s="82" t="s">
        <v>7654</v>
      </c>
      <c r="D586" s="5" t="s">
        <v>3973</v>
      </c>
      <c r="E586" s="4">
        <v>1</v>
      </c>
      <c r="F586" s="5">
        <v>3</v>
      </c>
      <c r="G586" s="5" t="s">
        <v>7655</v>
      </c>
      <c r="H586" s="4" t="s">
        <v>7656</v>
      </c>
      <c r="I586" s="81" t="s">
        <v>466</v>
      </c>
      <c r="J586" s="21"/>
      <c r="K586" s="22" t="s">
        <v>7491</v>
      </c>
      <c r="L586" s="84" t="s">
        <v>7619</v>
      </c>
      <c r="M586" s="23" t="s">
        <v>409</v>
      </c>
      <c r="N586" s="23">
        <v>44012</v>
      </c>
      <c r="O586" s="24" t="s">
        <v>102</v>
      </c>
      <c r="P586" s="24" t="s">
        <v>480</v>
      </c>
      <c r="Q586" s="24">
        <v>1</v>
      </c>
      <c r="R586" s="24">
        <v>2</v>
      </c>
      <c r="S586" t="s">
        <v>528</v>
      </c>
      <c r="T586">
        <v>5</v>
      </c>
      <c r="U586" s="2"/>
      <c r="W586" s="2"/>
      <c r="AB586" t="s">
        <v>9</v>
      </c>
      <c r="AC586" t="s">
        <v>599</v>
      </c>
      <c r="AD586" t="s">
        <v>209</v>
      </c>
      <c r="AE586">
        <v>19453</v>
      </c>
      <c r="AF586">
        <v>19453</v>
      </c>
      <c r="AG586" t="s">
        <v>183</v>
      </c>
      <c r="AH586" t="s">
        <v>7493</v>
      </c>
      <c r="AI586" t="s">
        <v>7493</v>
      </c>
      <c r="AJ586" t="s">
        <v>601</v>
      </c>
      <c r="AK586" t="s">
        <v>602</v>
      </c>
      <c r="AL586" t="s">
        <v>7494</v>
      </c>
      <c r="AO586" t="s">
        <v>7495</v>
      </c>
      <c r="AP586" t="s">
        <v>605</v>
      </c>
      <c r="AQ586" t="s">
        <v>606</v>
      </c>
      <c r="AR586" t="s">
        <v>7623</v>
      </c>
      <c r="AS586">
        <v>39631741</v>
      </c>
      <c r="AT586" t="s">
        <v>7496</v>
      </c>
      <c r="AU586" t="s">
        <v>10</v>
      </c>
      <c r="AV586" t="s">
        <v>7497</v>
      </c>
      <c r="AW586" t="s">
        <v>7497</v>
      </c>
      <c r="AX586" t="s">
        <v>7498</v>
      </c>
      <c r="AY586" s="2" t="s">
        <v>7499</v>
      </c>
      <c r="AZ586" t="s">
        <v>7039</v>
      </c>
      <c r="BA586" t="s">
        <v>520</v>
      </c>
      <c r="BB586" t="s">
        <v>223</v>
      </c>
      <c r="BC586" t="s">
        <v>188</v>
      </c>
      <c r="BD586">
        <v>510095</v>
      </c>
      <c r="BE586">
        <v>85235857153</v>
      </c>
      <c r="BF586" t="s">
        <v>7500</v>
      </c>
      <c r="BG586" t="b">
        <v>0</v>
      </c>
      <c r="BH586" s="6" t="s">
        <v>7501</v>
      </c>
      <c r="BI586" t="s">
        <v>7620</v>
      </c>
      <c r="BJ586">
        <v>4453163191</v>
      </c>
      <c r="BK586" t="s">
        <v>162</v>
      </c>
      <c r="BL586" t="s">
        <v>161</v>
      </c>
      <c r="BM586" s="2"/>
      <c r="BR586" t="s">
        <v>180</v>
      </c>
      <c r="BS586" t="s">
        <v>103</v>
      </c>
      <c r="BU586">
        <v>0</v>
      </c>
      <c r="BV586">
        <v>0</v>
      </c>
      <c r="BW586">
        <v>0</v>
      </c>
      <c r="BX586">
        <v>0</v>
      </c>
      <c r="BY586">
        <v>0</v>
      </c>
      <c r="BZ586">
        <v>0</v>
      </c>
      <c r="CA586">
        <v>0</v>
      </c>
      <c r="CF586" s="2"/>
      <c r="CH586" s="2"/>
      <c r="CK586" t="s">
        <v>2710</v>
      </c>
      <c r="CL586">
        <v>44012.406643518516</v>
      </c>
      <c r="CO586" t="s">
        <v>11</v>
      </c>
      <c r="CP586" t="s">
        <v>7624</v>
      </c>
      <c r="CQ586" t="s">
        <v>11</v>
      </c>
      <c r="CR586">
        <v>39.92</v>
      </c>
      <c r="CV586" t="s">
        <v>190</v>
      </c>
      <c r="CW586" t="s">
        <v>12</v>
      </c>
      <c r="CX586" t="s">
        <v>12</v>
      </c>
      <c r="CY586" t="s">
        <v>12</v>
      </c>
      <c r="DA586" t="s">
        <v>104</v>
      </c>
      <c r="DD586" t="s">
        <v>93</v>
      </c>
      <c r="DQ586" t="s">
        <v>94</v>
      </c>
      <c r="DR586" t="s">
        <v>94</v>
      </c>
      <c r="DS586" t="s">
        <v>94</v>
      </c>
      <c r="DT586" t="s">
        <v>94</v>
      </c>
      <c r="DU586" t="s">
        <v>94</v>
      </c>
      <c r="DV586" t="s">
        <v>94</v>
      </c>
      <c r="DW586" t="s">
        <v>94</v>
      </c>
      <c r="DX586" s="2" t="s">
        <v>94</v>
      </c>
      <c r="DY586" t="s">
        <v>94</v>
      </c>
      <c r="DZ586" t="s">
        <v>94</v>
      </c>
      <c r="EA586" t="s">
        <v>94</v>
      </c>
      <c r="EB586" t="s">
        <v>94</v>
      </c>
      <c r="EC586" t="s">
        <v>94</v>
      </c>
      <c r="ED586" t="s">
        <v>94</v>
      </c>
      <c r="EE586" t="s">
        <v>89</v>
      </c>
      <c r="EF586" t="s">
        <v>94</v>
      </c>
      <c r="EG586" t="s">
        <v>543</v>
      </c>
      <c r="EJ586" t="s">
        <v>166</v>
      </c>
      <c r="EK586" t="b">
        <v>0</v>
      </c>
      <c r="EL586" t="b">
        <v>0</v>
      </c>
      <c r="EM586" t="b">
        <v>0</v>
      </c>
    </row>
    <row r="587" spans="3:143" ht="15">
      <c r="C587" s="82">
        <v>23</v>
      </c>
      <c r="D587" s="5"/>
      <c r="E587" s="4">
        <v>3</v>
      </c>
      <c r="F587" s="5">
        <v>48</v>
      </c>
      <c r="G587" s="5" t="s">
        <v>7665</v>
      </c>
      <c r="H587" s="4" t="s">
        <v>7666</v>
      </c>
      <c r="I587" s="81" t="s">
        <v>164</v>
      </c>
      <c r="J587" s="21"/>
      <c r="K587" s="22" t="s">
        <v>7657</v>
      </c>
      <c r="L587" s="84" t="s">
        <v>7664</v>
      </c>
      <c r="M587" s="23" t="s">
        <v>164</v>
      </c>
      <c r="N587" s="23">
        <v>44014</v>
      </c>
      <c r="O587" s="24" t="s">
        <v>102</v>
      </c>
      <c r="P587" s="24" t="s">
        <v>181</v>
      </c>
      <c r="Q587" s="24">
        <v>3</v>
      </c>
      <c r="R587" s="24">
        <v>48</v>
      </c>
      <c r="S587" t="s">
        <v>11</v>
      </c>
      <c r="T587">
        <v>3654</v>
      </c>
      <c r="U587" s="2" t="s">
        <v>163</v>
      </c>
      <c r="V587">
        <v>44014.431689814817</v>
      </c>
      <c r="W587" s="2" t="s">
        <v>444</v>
      </c>
      <c r="X587">
        <v>44014.446516203701</v>
      </c>
      <c r="AB587" t="s">
        <v>9</v>
      </c>
      <c r="AC587" t="s">
        <v>3900</v>
      </c>
      <c r="AD587" t="s">
        <v>209</v>
      </c>
      <c r="AE587">
        <v>1153844</v>
      </c>
      <c r="AF587">
        <v>1153844</v>
      </c>
      <c r="AH587" t="s">
        <v>1859</v>
      </c>
      <c r="AI587" t="s">
        <v>1859</v>
      </c>
      <c r="AJ587" t="s">
        <v>184</v>
      </c>
      <c r="AK587" t="s">
        <v>185</v>
      </c>
      <c r="AL587" t="s">
        <v>1853</v>
      </c>
      <c r="AO587" t="s">
        <v>1855</v>
      </c>
      <c r="AP587" t="s">
        <v>3905</v>
      </c>
      <c r="AQ587" t="s">
        <v>1857</v>
      </c>
      <c r="AR587" t="s">
        <v>1858</v>
      </c>
      <c r="AS587">
        <v>1371868755</v>
      </c>
      <c r="AT587" t="s">
        <v>1859</v>
      </c>
      <c r="AU587" t="s">
        <v>10</v>
      </c>
      <c r="AV587" t="s">
        <v>7658</v>
      </c>
      <c r="AW587" t="s">
        <v>7659</v>
      </c>
      <c r="AX587" t="s">
        <v>7660</v>
      </c>
      <c r="AY587" s="2" t="s">
        <v>7661</v>
      </c>
      <c r="BA587" t="s">
        <v>520</v>
      </c>
      <c r="BB587" t="s">
        <v>223</v>
      </c>
      <c r="BC587" t="s">
        <v>188</v>
      </c>
      <c r="BD587">
        <v>510050</v>
      </c>
      <c r="BE587">
        <v>13631477923</v>
      </c>
      <c r="BG587" t="b">
        <v>0</v>
      </c>
      <c r="BH587" s="6" t="s">
        <v>7662</v>
      </c>
      <c r="BI587" t="s">
        <v>7663</v>
      </c>
      <c r="BJ587">
        <v>4453163191</v>
      </c>
      <c r="BK587" t="s">
        <v>162</v>
      </c>
      <c r="BL587" t="s">
        <v>161</v>
      </c>
      <c r="BM587" s="2"/>
      <c r="BO587" t="s">
        <v>89</v>
      </c>
      <c r="BP587">
        <v>7318159090</v>
      </c>
      <c r="BR587" t="s">
        <v>189</v>
      </c>
      <c r="BS587" t="s">
        <v>103</v>
      </c>
      <c r="BU587">
        <v>292.32</v>
      </c>
      <c r="BV587">
        <v>513.02</v>
      </c>
      <c r="BW587">
        <v>0</v>
      </c>
      <c r="BX587">
        <v>0</v>
      </c>
      <c r="BY587">
        <v>0</v>
      </c>
      <c r="BZ587">
        <v>0</v>
      </c>
      <c r="CA587">
        <v>805.34</v>
      </c>
      <c r="CF587" s="2"/>
      <c r="CH587" s="2"/>
      <c r="CJ587">
        <v>5.3142020950116698E+17</v>
      </c>
      <c r="CK587" t="s">
        <v>2648</v>
      </c>
      <c r="CL587">
        <v>44009.381886574076</v>
      </c>
      <c r="CO587" t="s">
        <v>11</v>
      </c>
      <c r="CP587">
        <v>3654</v>
      </c>
      <c r="CQ587" t="s">
        <v>11</v>
      </c>
      <c r="CR587">
        <v>3654</v>
      </c>
      <c r="CV587" t="s">
        <v>190</v>
      </c>
      <c r="CW587" t="s">
        <v>12</v>
      </c>
      <c r="CX587" t="s">
        <v>12</v>
      </c>
      <c r="CY587" t="s">
        <v>12</v>
      </c>
      <c r="DA587" t="s">
        <v>104</v>
      </c>
      <c r="DD587" t="s">
        <v>93</v>
      </c>
      <c r="DQ587" t="s">
        <v>94</v>
      </c>
      <c r="DR587" t="s">
        <v>94</v>
      </c>
      <c r="DS587" t="s">
        <v>94</v>
      </c>
      <c r="DT587" t="s">
        <v>94</v>
      </c>
      <c r="DU587" t="s">
        <v>94</v>
      </c>
      <c r="DV587" t="s">
        <v>94</v>
      </c>
      <c r="DW587" t="s">
        <v>94</v>
      </c>
      <c r="DX587" s="2" t="s">
        <v>94</v>
      </c>
      <c r="DY587" t="s">
        <v>94</v>
      </c>
      <c r="DZ587" t="s">
        <v>94</v>
      </c>
      <c r="EA587" t="s">
        <v>94</v>
      </c>
      <c r="EB587" t="s">
        <v>94</v>
      </c>
      <c r="EC587" t="s">
        <v>94</v>
      </c>
      <c r="ED587" t="s">
        <v>94</v>
      </c>
      <c r="EE587" t="s">
        <v>89</v>
      </c>
      <c r="EF587" t="s">
        <v>425</v>
      </c>
      <c r="EG587" t="s">
        <v>7244</v>
      </c>
      <c r="EJ587" t="s">
        <v>526</v>
      </c>
      <c r="EK587" t="b">
        <v>0</v>
      </c>
      <c r="EL587" t="b">
        <v>0</v>
      </c>
      <c r="EM587" t="b">
        <v>0</v>
      </c>
    </row>
    <row r="588" spans="3:143" ht="15">
      <c r="C588" s="82">
        <v>23</v>
      </c>
      <c r="D588" s="5"/>
      <c r="E588" s="4">
        <v>1</v>
      </c>
      <c r="F588" s="5">
        <v>8.74</v>
      </c>
      <c r="G588" s="5" t="s">
        <v>7720</v>
      </c>
      <c r="H588" s="4" t="s">
        <v>7721</v>
      </c>
      <c r="I588" s="81" t="s">
        <v>466</v>
      </c>
      <c r="J588" s="21"/>
      <c r="K588" s="22" t="s">
        <v>7668</v>
      </c>
      <c r="L588" s="84" t="s">
        <v>7708</v>
      </c>
      <c r="M588" s="23" t="s">
        <v>409</v>
      </c>
      <c r="N588" s="23">
        <v>44022</v>
      </c>
      <c r="O588" s="24" t="s">
        <v>102</v>
      </c>
      <c r="P588" s="24" t="s">
        <v>181</v>
      </c>
      <c r="Q588" s="24">
        <v>1</v>
      </c>
      <c r="R588" s="24">
        <v>8.74</v>
      </c>
      <c r="S588" t="s">
        <v>11</v>
      </c>
      <c r="T588">
        <v>1829</v>
      </c>
      <c r="U588" s="2" t="s">
        <v>163</v>
      </c>
      <c r="V588">
        <v>44022.443437499998</v>
      </c>
      <c r="W588" s="2" t="s">
        <v>444</v>
      </c>
      <c r="X588">
        <v>44022.466446759259</v>
      </c>
      <c r="AB588" t="s">
        <v>9</v>
      </c>
      <c r="AC588" t="s">
        <v>6142</v>
      </c>
      <c r="AD588" t="s">
        <v>209</v>
      </c>
      <c r="AE588">
        <v>109331</v>
      </c>
      <c r="AF588">
        <v>109331</v>
      </c>
      <c r="AG588" t="s">
        <v>183</v>
      </c>
      <c r="AH588" t="s">
        <v>7669</v>
      </c>
      <c r="AI588" t="s">
        <v>7669</v>
      </c>
      <c r="AJ588" t="s">
        <v>3000</v>
      </c>
      <c r="AK588" t="s">
        <v>3001</v>
      </c>
      <c r="AL588" t="s">
        <v>7670</v>
      </c>
      <c r="AM588" t="s">
        <v>7671</v>
      </c>
      <c r="AO588" t="s">
        <v>7672</v>
      </c>
      <c r="AP588" t="s">
        <v>6147</v>
      </c>
      <c r="AQ588" t="s">
        <v>6148</v>
      </c>
      <c r="AR588" t="s">
        <v>7673</v>
      </c>
      <c r="AS588">
        <v>249310270</v>
      </c>
      <c r="AT588" t="s">
        <v>7674</v>
      </c>
      <c r="AU588" t="s">
        <v>10</v>
      </c>
      <c r="AV588" t="s">
        <v>7675</v>
      </c>
      <c r="AW588" t="s">
        <v>7676</v>
      </c>
      <c r="AX588" t="s">
        <v>7677</v>
      </c>
      <c r="AY588" s="2" t="s">
        <v>7678</v>
      </c>
      <c r="BA588" t="s">
        <v>2257</v>
      </c>
      <c r="BB588" t="s">
        <v>1576</v>
      </c>
      <c r="BC588" t="s">
        <v>188</v>
      </c>
      <c r="BD588">
        <v>510800</v>
      </c>
      <c r="BE588" t="s">
        <v>7722</v>
      </c>
      <c r="BF588" t="s">
        <v>7679</v>
      </c>
      <c r="BG588" t="b">
        <v>0</v>
      </c>
      <c r="BH588" s="6" t="s">
        <v>7680</v>
      </c>
      <c r="BI588" t="s">
        <v>7681</v>
      </c>
      <c r="BJ588">
        <v>4453163191</v>
      </c>
      <c r="BK588" t="s">
        <v>162</v>
      </c>
      <c r="BL588" t="s">
        <v>161</v>
      </c>
      <c r="BM588" s="2"/>
      <c r="BO588" t="s">
        <v>89</v>
      </c>
      <c r="BP588">
        <v>6206300090</v>
      </c>
      <c r="BR588" t="s">
        <v>180</v>
      </c>
      <c r="BS588" t="s">
        <v>103</v>
      </c>
      <c r="BU588">
        <v>111.96</v>
      </c>
      <c r="BV588">
        <v>252.32</v>
      </c>
      <c r="BW588">
        <v>0</v>
      </c>
      <c r="BX588">
        <v>0</v>
      </c>
      <c r="BY588">
        <v>0</v>
      </c>
      <c r="BZ588">
        <v>0</v>
      </c>
      <c r="CA588">
        <v>364.28</v>
      </c>
      <c r="CF588" s="2"/>
      <c r="CH588" s="2"/>
      <c r="CJ588">
        <v>5.3142020950122598E+17</v>
      </c>
      <c r="CK588" t="s">
        <v>500</v>
      </c>
      <c r="CL588">
        <v>44010.380162037036</v>
      </c>
      <c r="CO588" t="s">
        <v>11</v>
      </c>
      <c r="CP588" t="s">
        <v>7723</v>
      </c>
      <c r="CQ588" t="s">
        <v>11</v>
      </c>
      <c r="CR588">
        <v>1829</v>
      </c>
      <c r="CV588" t="s">
        <v>190</v>
      </c>
      <c r="CW588" t="s">
        <v>12</v>
      </c>
      <c r="CX588" t="s">
        <v>12</v>
      </c>
      <c r="CY588" t="s">
        <v>12</v>
      </c>
      <c r="DA588" t="s">
        <v>104</v>
      </c>
      <c r="DD588" t="s">
        <v>93</v>
      </c>
      <c r="DQ588" t="s">
        <v>94</v>
      </c>
      <c r="DR588" t="s">
        <v>94</v>
      </c>
      <c r="DS588" t="s">
        <v>94</v>
      </c>
      <c r="DT588" t="s">
        <v>94</v>
      </c>
      <c r="DU588" t="s">
        <v>94</v>
      </c>
      <c r="DV588" t="s">
        <v>94</v>
      </c>
      <c r="DW588" t="s">
        <v>94</v>
      </c>
      <c r="DX588" s="2" t="s">
        <v>94</v>
      </c>
      <c r="DY588" t="s">
        <v>94</v>
      </c>
      <c r="DZ588" t="s">
        <v>94</v>
      </c>
      <c r="EA588" t="s">
        <v>94</v>
      </c>
      <c r="EB588" t="s">
        <v>94</v>
      </c>
      <c r="EC588" t="s">
        <v>94</v>
      </c>
      <c r="ED588" t="s">
        <v>94</v>
      </c>
      <c r="EE588" t="s">
        <v>89</v>
      </c>
      <c r="EF588" t="s">
        <v>425</v>
      </c>
      <c r="EG588" t="s">
        <v>7244</v>
      </c>
      <c r="EJ588" t="s">
        <v>526</v>
      </c>
      <c r="EK588" t="b">
        <v>0</v>
      </c>
      <c r="EL588" t="b">
        <v>0</v>
      </c>
      <c r="EM588" t="b">
        <v>0</v>
      </c>
    </row>
    <row r="589" spans="3:143">
      <c r="C589" s="4">
        <v>23</v>
      </c>
      <c r="D589" s="4"/>
      <c r="E589" s="4">
        <v>4</v>
      </c>
      <c r="F589" s="4">
        <v>37.950000000000003</v>
      </c>
      <c r="G589" s="5" t="s">
        <v>7720</v>
      </c>
      <c r="H589" s="4" t="s">
        <v>7724</v>
      </c>
      <c r="I589" s="4" t="s">
        <v>466</v>
      </c>
      <c r="J589" s="5"/>
      <c r="K589" s="22" t="s">
        <v>7707</v>
      </c>
      <c r="L589" s="84" t="s">
        <v>7708</v>
      </c>
      <c r="M589" s="23" t="s">
        <v>409</v>
      </c>
      <c r="N589" s="23">
        <v>44022</v>
      </c>
      <c r="O589" s="24" t="s">
        <v>102</v>
      </c>
      <c r="P589" s="24" t="s">
        <v>181</v>
      </c>
      <c r="Q589" s="24">
        <v>4</v>
      </c>
      <c r="R589" s="24">
        <v>37.950000000000003</v>
      </c>
      <c r="S589" t="s">
        <v>11</v>
      </c>
      <c r="T589">
        <v>1897.5</v>
      </c>
      <c r="U589" s="2" t="s">
        <v>163</v>
      </c>
      <c r="V589">
        <v>44022.793564814812</v>
      </c>
      <c r="W589" s="2" t="s">
        <v>444</v>
      </c>
      <c r="X589">
        <v>44022.79378472222</v>
      </c>
      <c r="AB589" t="s">
        <v>9</v>
      </c>
      <c r="AC589" t="s">
        <v>1189</v>
      </c>
      <c r="AD589" t="s">
        <v>200</v>
      </c>
      <c r="AE589">
        <v>821323</v>
      </c>
      <c r="AF589">
        <v>821323</v>
      </c>
      <c r="AG589" t="s">
        <v>376</v>
      </c>
      <c r="AH589" t="s">
        <v>7709</v>
      </c>
      <c r="AI589" t="s">
        <v>7709</v>
      </c>
      <c r="AJ589" t="s">
        <v>601</v>
      </c>
      <c r="AK589" t="s">
        <v>602</v>
      </c>
      <c r="AL589" t="s">
        <v>7710</v>
      </c>
      <c r="AO589" t="s">
        <v>7711</v>
      </c>
      <c r="AP589" t="s">
        <v>1194</v>
      </c>
      <c r="AQ589" t="s">
        <v>7711</v>
      </c>
      <c r="AR589" t="s">
        <v>7725</v>
      </c>
      <c r="AS589">
        <v>0</v>
      </c>
      <c r="AT589" t="s">
        <v>7712</v>
      </c>
      <c r="AU589" t="s">
        <v>10</v>
      </c>
      <c r="AV589" t="s">
        <v>7713</v>
      </c>
      <c r="AW589" t="s">
        <v>7713</v>
      </c>
      <c r="AX589" t="s">
        <v>7714</v>
      </c>
      <c r="AY589" t="s">
        <v>7715</v>
      </c>
      <c r="BA589" t="s">
        <v>7716</v>
      </c>
      <c r="BB589" t="s">
        <v>201</v>
      </c>
      <c r="BC589" t="s">
        <v>7716</v>
      </c>
      <c r="BD589">
        <v>528500</v>
      </c>
      <c r="BE589" t="s">
        <v>7726</v>
      </c>
      <c r="BF589" t="s">
        <v>7717</v>
      </c>
      <c r="BG589" t="b">
        <v>0</v>
      </c>
      <c r="BH589" s="6" t="s">
        <v>7718</v>
      </c>
      <c r="BI589" t="s">
        <v>7719</v>
      </c>
      <c r="BJ589">
        <v>4453163191</v>
      </c>
      <c r="BK589" t="s">
        <v>162</v>
      </c>
      <c r="BL589" t="s">
        <v>161</v>
      </c>
      <c r="BM589" s="2"/>
      <c r="BO589" t="s">
        <v>89</v>
      </c>
      <c r="BP589">
        <v>44101100</v>
      </c>
      <c r="BR589" t="s">
        <v>189</v>
      </c>
      <c r="BS589" t="s">
        <v>103</v>
      </c>
      <c r="BU589">
        <v>0</v>
      </c>
      <c r="BV589">
        <v>0</v>
      </c>
      <c r="BW589">
        <v>0</v>
      </c>
      <c r="BX589">
        <v>0</v>
      </c>
      <c r="BY589">
        <v>0</v>
      </c>
      <c r="BZ589">
        <v>0</v>
      </c>
      <c r="CA589">
        <v>0</v>
      </c>
      <c r="CF589" s="2"/>
      <c r="CH589" s="2"/>
      <c r="CJ589">
        <v>5.3142020950122899E+17</v>
      </c>
      <c r="CK589" t="s">
        <v>2710</v>
      </c>
      <c r="CL589">
        <v>44022.375451388885</v>
      </c>
      <c r="CO589" t="s">
        <v>11</v>
      </c>
      <c r="CP589" t="s">
        <v>7727</v>
      </c>
      <c r="CQ589" t="s">
        <v>11</v>
      </c>
      <c r="CR589">
        <v>1897.5</v>
      </c>
      <c r="CV589" t="s">
        <v>190</v>
      </c>
      <c r="CW589" t="s">
        <v>12</v>
      </c>
      <c r="CX589" t="s">
        <v>12</v>
      </c>
      <c r="CY589" t="s">
        <v>12</v>
      </c>
      <c r="DA589" t="s">
        <v>104</v>
      </c>
      <c r="DD589" t="s">
        <v>93</v>
      </c>
      <c r="DQ589" t="s">
        <v>94</v>
      </c>
      <c r="DR589" t="s">
        <v>94</v>
      </c>
      <c r="DS589" t="s">
        <v>94</v>
      </c>
      <c r="DT589" t="s">
        <v>94</v>
      </c>
      <c r="DU589" t="s">
        <v>94</v>
      </c>
      <c r="DV589" t="s">
        <v>94</v>
      </c>
      <c r="DW589" t="s">
        <v>94</v>
      </c>
      <c r="DX589" s="2" t="s">
        <v>94</v>
      </c>
      <c r="DY589" t="s">
        <v>94</v>
      </c>
      <c r="DZ589" t="s">
        <v>94</v>
      </c>
      <c r="EA589" t="s">
        <v>94</v>
      </c>
      <c r="EB589" t="s">
        <v>94</v>
      </c>
      <c r="EC589" t="s">
        <v>94</v>
      </c>
      <c r="ED589" t="s">
        <v>94</v>
      </c>
      <c r="EE589" t="s">
        <v>89</v>
      </c>
      <c r="EF589" t="s">
        <v>94</v>
      </c>
      <c r="EG589" t="s">
        <v>7244</v>
      </c>
      <c r="EJ589" t="s">
        <v>166</v>
      </c>
      <c r="EK589" t="b">
        <v>0</v>
      </c>
      <c r="EL589" t="b">
        <v>0</v>
      </c>
      <c r="EM589" t="b">
        <v>0</v>
      </c>
    </row>
    <row r="590" spans="3:143" ht="15">
      <c r="C590" s="82">
        <v>14</v>
      </c>
      <c r="D590" s="5"/>
      <c r="E590" s="4">
        <v>1</v>
      </c>
      <c r="F590" s="5">
        <v>2.2000000000000002</v>
      </c>
      <c r="G590" s="5" t="s">
        <v>7728</v>
      </c>
      <c r="H590" s="4" t="s">
        <v>7729</v>
      </c>
      <c r="I590" s="81" t="s">
        <v>466</v>
      </c>
      <c r="J590" s="21"/>
      <c r="K590" s="22" t="s">
        <v>7682</v>
      </c>
      <c r="L590" s="84" t="s">
        <v>7683</v>
      </c>
      <c r="M590" s="23" t="s">
        <v>409</v>
      </c>
      <c r="N590" s="23">
        <v>44015</v>
      </c>
      <c r="O590" s="24" t="s">
        <v>102</v>
      </c>
      <c r="P590" s="24" t="s">
        <v>179</v>
      </c>
      <c r="Q590" s="24">
        <v>1</v>
      </c>
      <c r="R590" s="24">
        <v>2.2000000000000002</v>
      </c>
      <c r="S590" t="s">
        <v>528</v>
      </c>
      <c r="T590">
        <v>26</v>
      </c>
      <c r="U590" s="2" t="s">
        <v>163</v>
      </c>
      <c r="V590">
        <v>44015.809745370374</v>
      </c>
      <c r="W590" s="2" t="s">
        <v>444</v>
      </c>
      <c r="X590">
        <v>44015.809942129628</v>
      </c>
      <c r="AB590" t="s">
        <v>9</v>
      </c>
      <c r="AC590" t="s">
        <v>3810</v>
      </c>
      <c r="AD590" t="s">
        <v>209</v>
      </c>
      <c r="AE590">
        <v>1022466</v>
      </c>
      <c r="AF590">
        <v>1022466</v>
      </c>
      <c r="AG590" t="s">
        <v>183</v>
      </c>
      <c r="AH590" t="s">
        <v>7684</v>
      </c>
      <c r="AI590" t="s">
        <v>7684</v>
      </c>
      <c r="AJ590" t="s">
        <v>821</v>
      </c>
      <c r="AK590" t="s">
        <v>822</v>
      </c>
      <c r="AL590" t="s">
        <v>7685</v>
      </c>
      <c r="AM590" t="s">
        <v>7686</v>
      </c>
      <c r="AO590" t="s">
        <v>7687</v>
      </c>
      <c r="AP590" t="s">
        <v>3814</v>
      </c>
      <c r="AR590" t="s">
        <v>7730</v>
      </c>
      <c r="AS590">
        <v>35701611</v>
      </c>
      <c r="AT590" t="s">
        <v>7688</v>
      </c>
      <c r="AU590" t="s">
        <v>10</v>
      </c>
      <c r="AV590" t="s">
        <v>7689</v>
      </c>
      <c r="AW590" t="s">
        <v>7689</v>
      </c>
      <c r="AX590" t="s">
        <v>7690</v>
      </c>
      <c r="AY590" s="2" t="s">
        <v>7691</v>
      </c>
      <c r="AZ590" t="s">
        <v>7692</v>
      </c>
      <c r="BA590" t="s">
        <v>1948</v>
      </c>
      <c r="BB590" t="s">
        <v>1949</v>
      </c>
      <c r="BC590" t="s">
        <v>253</v>
      </c>
      <c r="BD590">
        <v>530031</v>
      </c>
      <c r="BE590" t="s">
        <v>7731</v>
      </c>
      <c r="BF590" t="s">
        <v>7693</v>
      </c>
      <c r="BG590" t="b">
        <v>0</v>
      </c>
      <c r="BH590" s="6"/>
      <c r="BI590" t="s">
        <v>7694</v>
      </c>
      <c r="BJ590">
        <v>4453163191</v>
      </c>
      <c r="BK590" t="s">
        <v>162</v>
      </c>
      <c r="BL590" t="s">
        <v>161</v>
      </c>
      <c r="BM590" s="2"/>
      <c r="BO590" t="s">
        <v>89</v>
      </c>
      <c r="BP590">
        <v>38063000</v>
      </c>
      <c r="BR590" t="s">
        <v>189</v>
      </c>
      <c r="BS590" t="s">
        <v>103</v>
      </c>
      <c r="BU590">
        <v>0</v>
      </c>
      <c r="BV590">
        <v>0</v>
      </c>
      <c r="BW590">
        <v>0</v>
      </c>
      <c r="BX590">
        <v>0</v>
      </c>
      <c r="BY590">
        <v>0</v>
      </c>
      <c r="BZ590">
        <v>0</v>
      </c>
      <c r="CA590">
        <v>0</v>
      </c>
      <c r="CF590" s="2"/>
      <c r="CH590" s="2"/>
      <c r="CJ590">
        <v>5.3142020950118099E+17</v>
      </c>
      <c r="CK590" t="s">
        <v>2710</v>
      </c>
      <c r="CL590">
        <v>44015.376793981479</v>
      </c>
      <c r="CO590" t="s">
        <v>11</v>
      </c>
      <c r="CP590" t="s">
        <v>7732</v>
      </c>
      <c r="CQ590" t="s">
        <v>11</v>
      </c>
      <c r="CR590">
        <v>207.57</v>
      </c>
      <c r="CV590" t="s">
        <v>190</v>
      </c>
      <c r="CW590" t="s">
        <v>12</v>
      </c>
      <c r="CX590" t="s">
        <v>12</v>
      </c>
      <c r="CY590" t="s">
        <v>12</v>
      </c>
      <c r="DA590" t="s">
        <v>104</v>
      </c>
      <c r="DD590" t="s">
        <v>93</v>
      </c>
      <c r="DQ590" t="s">
        <v>94</v>
      </c>
      <c r="DR590" t="s">
        <v>94</v>
      </c>
      <c r="DS590" t="s">
        <v>94</v>
      </c>
      <c r="DT590" t="s">
        <v>94</v>
      </c>
      <c r="DU590" t="s">
        <v>94</v>
      </c>
      <c r="DV590" t="s">
        <v>94</v>
      </c>
      <c r="DW590" t="s">
        <v>94</v>
      </c>
      <c r="DX590" s="2" t="s">
        <v>94</v>
      </c>
      <c r="DY590" t="s">
        <v>94</v>
      </c>
      <c r="DZ590" t="s">
        <v>94</v>
      </c>
      <c r="EA590" t="s">
        <v>94</v>
      </c>
      <c r="EB590" t="s">
        <v>94</v>
      </c>
      <c r="EC590" t="s">
        <v>94</v>
      </c>
      <c r="ED590" t="s">
        <v>94</v>
      </c>
      <c r="EE590" t="s">
        <v>89</v>
      </c>
      <c r="EF590" t="s">
        <v>425</v>
      </c>
      <c r="EG590" t="s">
        <v>7244</v>
      </c>
      <c r="EJ590" t="s">
        <v>166</v>
      </c>
      <c r="EK590" t="b">
        <v>0</v>
      </c>
      <c r="EL590" t="b">
        <v>0</v>
      </c>
      <c r="EM590" t="b">
        <v>0</v>
      </c>
    </row>
    <row r="591" spans="3:143" ht="15">
      <c r="C591" s="82">
        <v>41</v>
      </c>
      <c r="D591" s="5"/>
      <c r="E591" s="4">
        <v>1</v>
      </c>
      <c r="F591" s="5">
        <v>24.1</v>
      </c>
      <c r="G591" s="5" t="s">
        <v>7735</v>
      </c>
      <c r="H591" s="4" t="s">
        <v>7736</v>
      </c>
      <c r="I591" s="81" t="s">
        <v>466</v>
      </c>
      <c r="J591" s="21"/>
      <c r="K591" s="22" t="s">
        <v>7695</v>
      </c>
      <c r="L591" s="84" t="s">
        <v>7696</v>
      </c>
      <c r="M591" s="23" t="s">
        <v>466</v>
      </c>
      <c r="N591" s="23">
        <v>44019</v>
      </c>
      <c r="O591" s="24" t="s">
        <v>102</v>
      </c>
      <c r="P591" s="24" t="s">
        <v>181</v>
      </c>
      <c r="Q591" s="24">
        <v>1</v>
      </c>
      <c r="R591" s="24">
        <v>24.1</v>
      </c>
      <c r="S591" t="s">
        <v>11</v>
      </c>
      <c r="T591">
        <v>2204</v>
      </c>
      <c r="U591" s="2" t="s">
        <v>163</v>
      </c>
      <c r="V591">
        <v>44024.826388888891</v>
      </c>
      <c r="W591" s="2" t="s">
        <v>444</v>
      </c>
      <c r="X591">
        <v>44024.846030092594</v>
      </c>
      <c r="AB591" t="s">
        <v>9</v>
      </c>
      <c r="AC591" t="s">
        <v>2053</v>
      </c>
      <c r="AD591" t="s">
        <v>182</v>
      </c>
      <c r="AE591">
        <v>70023262</v>
      </c>
      <c r="AF591">
        <v>70023262</v>
      </c>
      <c r="AG591" t="s">
        <v>183</v>
      </c>
      <c r="AH591" t="s">
        <v>7697</v>
      </c>
      <c r="AI591" t="s">
        <v>7697</v>
      </c>
      <c r="AJ591" t="s">
        <v>776</v>
      </c>
      <c r="AK591" t="s">
        <v>777</v>
      </c>
      <c r="AL591" t="s">
        <v>7698</v>
      </c>
      <c r="AO591" t="s">
        <v>5887</v>
      </c>
      <c r="AP591" t="s">
        <v>2058</v>
      </c>
      <c r="AQ591" t="s">
        <v>782</v>
      </c>
      <c r="AR591" t="s">
        <v>7737</v>
      </c>
      <c r="AS591">
        <v>22029365248</v>
      </c>
      <c r="AT591" t="s">
        <v>7699</v>
      </c>
      <c r="AU591" t="s">
        <v>10</v>
      </c>
      <c r="AV591" t="s">
        <v>7700</v>
      </c>
      <c r="AW591" t="s">
        <v>7700</v>
      </c>
      <c r="AX591" t="s">
        <v>7701</v>
      </c>
      <c r="AY591" s="2" t="s">
        <v>7702</v>
      </c>
      <c r="AZ591" t="s">
        <v>7703</v>
      </c>
      <c r="BA591" t="s">
        <v>186</v>
      </c>
      <c r="BB591" t="s">
        <v>187</v>
      </c>
      <c r="BC591" t="s">
        <v>188</v>
      </c>
      <c r="BD591">
        <v>518104</v>
      </c>
      <c r="BE591" t="s">
        <v>7738</v>
      </c>
      <c r="BF591" t="s">
        <v>366</v>
      </c>
      <c r="BG591" t="b">
        <v>0</v>
      </c>
      <c r="BH591" s="6" t="s">
        <v>5894</v>
      </c>
      <c r="BI591" t="s">
        <v>7733</v>
      </c>
      <c r="BJ591">
        <v>4453163191</v>
      </c>
      <c r="BK591" t="s">
        <v>162</v>
      </c>
      <c r="BL591" t="s">
        <v>161</v>
      </c>
      <c r="BM591" s="2"/>
      <c r="BO591" t="s">
        <v>89</v>
      </c>
      <c r="BP591">
        <v>3902100090</v>
      </c>
      <c r="BR591" t="s">
        <v>189</v>
      </c>
      <c r="BS591" t="s">
        <v>103</v>
      </c>
      <c r="BU591">
        <v>143.26</v>
      </c>
      <c r="BV591">
        <v>305.14</v>
      </c>
      <c r="BW591">
        <v>0</v>
      </c>
      <c r="BX591">
        <v>0</v>
      </c>
      <c r="BY591">
        <v>0</v>
      </c>
      <c r="BZ591">
        <v>0</v>
      </c>
      <c r="CA591">
        <v>448.4</v>
      </c>
      <c r="CF591" s="2"/>
      <c r="CH591" s="2"/>
      <c r="CJ591">
        <v>5.3142020950120301E+17</v>
      </c>
      <c r="CK591" t="s">
        <v>2710</v>
      </c>
      <c r="CL591">
        <v>44019.378738425927</v>
      </c>
      <c r="CO591" t="s">
        <v>11</v>
      </c>
      <c r="CP591" t="s">
        <v>7739</v>
      </c>
      <c r="CQ591" t="s">
        <v>11</v>
      </c>
      <c r="CR591">
        <v>2204</v>
      </c>
      <c r="CV591" t="s">
        <v>190</v>
      </c>
      <c r="CW591" t="s">
        <v>12</v>
      </c>
      <c r="CX591" t="s">
        <v>12</v>
      </c>
      <c r="CY591" t="s">
        <v>12</v>
      </c>
      <c r="DA591" t="s">
        <v>104</v>
      </c>
      <c r="DD591" t="s">
        <v>93</v>
      </c>
      <c r="DQ591" t="s">
        <v>94</v>
      </c>
      <c r="DR591" t="s">
        <v>94</v>
      </c>
      <c r="DS591" t="s">
        <v>94</v>
      </c>
      <c r="DT591" t="s">
        <v>94</v>
      </c>
      <c r="DU591" t="s">
        <v>94</v>
      </c>
      <c r="DV591" t="s">
        <v>94</v>
      </c>
      <c r="DW591" t="s">
        <v>94</v>
      </c>
      <c r="DX591" s="2" t="s">
        <v>94</v>
      </c>
      <c r="DY591" t="s">
        <v>94</v>
      </c>
      <c r="DZ591" t="s">
        <v>94</v>
      </c>
      <c r="EA591" t="s">
        <v>94</v>
      </c>
      <c r="EB591" t="s">
        <v>94</v>
      </c>
      <c r="EC591" t="s">
        <v>94</v>
      </c>
      <c r="ED591" t="s">
        <v>94</v>
      </c>
      <c r="EE591" t="s">
        <v>89</v>
      </c>
      <c r="EF591" t="s">
        <v>94</v>
      </c>
      <c r="EG591" t="s">
        <v>7244</v>
      </c>
      <c r="EJ591" t="s">
        <v>526</v>
      </c>
      <c r="EK591" t="b">
        <v>0</v>
      </c>
      <c r="EL591" t="b">
        <v>0</v>
      </c>
      <c r="EM591" t="b">
        <v>0</v>
      </c>
    </row>
    <row r="592" spans="3:143">
      <c r="C592" s="4">
        <v>14</v>
      </c>
      <c r="D592" s="4"/>
      <c r="E592" s="4">
        <v>1</v>
      </c>
      <c r="F592" s="4">
        <v>25.1</v>
      </c>
      <c r="G592" s="5" t="s">
        <v>7735</v>
      </c>
      <c r="H592" s="4" t="s">
        <v>7736</v>
      </c>
      <c r="I592" s="4" t="s">
        <v>466</v>
      </c>
      <c r="J592" s="5"/>
      <c r="K592" s="22" t="s">
        <v>7704</v>
      </c>
      <c r="L592" s="84" t="s">
        <v>7696</v>
      </c>
      <c r="M592" s="23" t="s">
        <v>466</v>
      </c>
      <c r="N592" s="23">
        <v>44019</v>
      </c>
      <c r="O592" s="24" t="s">
        <v>102</v>
      </c>
      <c r="P592" s="24" t="s">
        <v>179</v>
      </c>
      <c r="Q592" s="24">
        <v>1</v>
      </c>
      <c r="R592" s="24">
        <v>25.1</v>
      </c>
      <c r="S592" t="s">
        <v>11</v>
      </c>
      <c r="T592">
        <v>1</v>
      </c>
      <c r="U592" s="2" t="s">
        <v>163</v>
      </c>
      <c r="V592">
        <v>44024.82640046296</v>
      </c>
      <c r="W592" s="2" t="s">
        <v>444</v>
      </c>
      <c r="X592">
        <v>44024.846030092594</v>
      </c>
      <c r="AB592" t="s">
        <v>9</v>
      </c>
      <c r="AC592" t="s">
        <v>2053</v>
      </c>
      <c r="AD592" t="s">
        <v>182</v>
      </c>
      <c r="AE592">
        <v>70023262</v>
      </c>
      <c r="AF592">
        <v>70023262</v>
      </c>
      <c r="AG592" t="s">
        <v>183</v>
      </c>
      <c r="AH592" t="s">
        <v>7697</v>
      </c>
      <c r="AI592" t="s">
        <v>7697</v>
      </c>
      <c r="AJ592" t="s">
        <v>776</v>
      </c>
      <c r="AK592" t="s">
        <v>777</v>
      </c>
      <c r="AL592" t="s">
        <v>7698</v>
      </c>
      <c r="AO592" t="s">
        <v>5887</v>
      </c>
      <c r="AP592" t="s">
        <v>2058</v>
      </c>
      <c r="AQ592" t="s">
        <v>782</v>
      </c>
      <c r="AR592" t="s">
        <v>7737</v>
      </c>
      <c r="AS592">
        <v>22029365248</v>
      </c>
      <c r="AT592" t="s">
        <v>7699</v>
      </c>
      <c r="AU592" t="s">
        <v>10</v>
      </c>
      <c r="AV592" t="s">
        <v>7700</v>
      </c>
      <c r="AW592" t="s">
        <v>7700</v>
      </c>
      <c r="AX592" t="s">
        <v>7701</v>
      </c>
      <c r="AY592" t="s">
        <v>7702</v>
      </c>
      <c r="AZ592" t="s">
        <v>7703</v>
      </c>
      <c r="BA592" t="s">
        <v>186</v>
      </c>
      <c r="BB592" t="s">
        <v>187</v>
      </c>
      <c r="BC592" t="s">
        <v>188</v>
      </c>
      <c r="BD592">
        <v>518104</v>
      </c>
      <c r="BE592" t="s">
        <v>7705</v>
      </c>
      <c r="BF592" t="s">
        <v>366</v>
      </c>
      <c r="BG592" t="b">
        <v>0</v>
      </c>
      <c r="BH592" s="6" t="s">
        <v>7706</v>
      </c>
      <c r="BI592" t="s">
        <v>7734</v>
      </c>
      <c r="BJ592">
        <v>4453163191</v>
      </c>
      <c r="BK592" t="s">
        <v>162</v>
      </c>
      <c r="BL592" t="s">
        <v>161</v>
      </c>
      <c r="BM592" s="2"/>
      <c r="BO592" t="s">
        <v>89</v>
      </c>
      <c r="BP592">
        <v>3902100090</v>
      </c>
      <c r="BR592" t="s">
        <v>189</v>
      </c>
      <c r="BS592" t="s">
        <v>103</v>
      </c>
      <c r="BU592">
        <v>0</v>
      </c>
      <c r="BV592">
        <v>0</v>
      </c>
      <c r="BW592">
        <v>0</v>
      </c>
      <c r="BX592">
        <v>0</v>
      </c>
      <c r="BY592">
        <v>0</v>
      </c>
      <c r="BZ592">
        <v>0</v>
      </c>
      <c r="CA592">
        <v>0</v>
      </c>
      <c r="CF592" s="2"/>
      <c r="CH592" s="2"/>
      <c r="CJ592">
        <v>5.3142020950120301E+17</v>
      </c>
      <c r="CK592" t="s">
        <v>2710</v>
      </c>
      <c r="CL592">
        <v>44019.378784722219</v>
      </c>
      <c r="CO592" t="s">
        <v>11</v>
      </c>
      <c r="CP592" t="s">
        <v>7740</v>
      </c>
      <c r="CQ592" t="s">
        <v>11</v>
      </c>
      <c r="CR592">
        <v>1</v>
      </c>
      <c r="CV592" t="s">
        <v>190</v>
      </c>
      <c r="CW592" t="s">
        <v>12</v>
      </c>
      <c r="CX592" t="s">
        <v>12</v>
      </c>
      <c r="CY592" t="s">
        <v>12</v>
      </c>
      <c r="DA592" t="s">
        <v>104</v>
      </c>
      <c r="DD592" t="s">
        <v>93</v>
      </c>
      <c r="DQ592" t="s">
        <v>94</v>
      </c>
      <c r="DR592" t="s">
        <v>94</v>
      </c>
      <c r="DS592" t="s">
        <v>94</v>
      </c>
      <c r="DT592" t="s">
        <v>94</v>
      </c>
      <c r="DU592" t="s">
        <v>94</v>
      </c>
      <c r="DV592" t="s">
        <v>94</v>
      </c>
      <c r="DW592" t="s">
        <v>94</v>
      </c>
      <c r="DX592" s="2" t="s">
        <v>94</v>
      </c>
      <c r="DY592" t="s">
        <v>94</v>
      </c>
      <c r="DZ592" t="s">
        <v>94</v>
      </c>
      <c r="EA592" t="s">
        <v>94</v>
      </c>
      <c r="EB592" t="s">
        <v>94</v>
      </c>
      <c r="EC592" t="s">
        <v>94</v>
      </c>
      <c r="ED592" t="s">
        <v>94</v>
      </c>
      <c r="EE592" t="s">
        <v>89</v>
      </c>
      <c r="EF592" t="s">
        <v>94</v>
      </c>
      <c r="EG592" t="s">
        <v>7244</v>
      </c>
      <c r="EJ592" t="s">
        <v>526</v>
      </c>
      <c r="EK592" t="b">
        <v>0</v>
      </c>
      <c r="EL592" t="b">
        <v>0</v>
      </c>
      <c r="EM592" t="b">
        <v>0</v>
      </c>
    </row>
    <row r="593" spans="3:143" ht="15">
      <c r="C593" s="82">
        <v>13213</v>
      </c>
      <c r="D593" s="5"/>
      <c r="E593" s="4">
        <v>1</v>
      </c>
      <c r="F593" s="5">
        <v>1.28</v>
      </c>
      <c r="G593" s="5" t="s">
        <v>7787</v>
      </c>
      <c r="H593" s="4" t="s">
        <v>7788</v>
      </c>
      <c r="I593" s="81" t="s">
        <v>164</v>
      </c>
      <c r="J593" s="21" t="b">
        <v>1</v>
      </c>
      <c r="K593" s="22" t="s">
        <v>7741</v>
      </c>
      <c r="L593" s="84" t="s">
        <v>7742</v>
      </c>
      <c r="M593" s="23" t="s">
        <v>164</v>
      </c>
      <c r="N593" s="23">
        <v>44018</v>
      </c>
      <c r="O593" s="24" t="s">
        <v>102</v>
      </c>
      <c r="P593" s="24" t="s">
        <v>181</v>
      </c>
      <c r="Q593" s="24">
        <v>1</v>
      </c>
      <c r="R593" s="24">
        <v>1.28</v>
      </c>
      <c r="S593" t="s">
        <v>11</v>
      </c>
      <c r="T593">
        <v>1000</v>
      </c>
      <c r="U593" s="2" t="s">
        <v>163</v>
      </c>
      <c r="V593">
        <v>44026.823611111111</v>
      </c>
      <c r="W593" s="2" t="s">
        <v>444</v>
      </c>
      <c r="X593">
        <v>44026.83457175926</v>
      </c>
      <c r="AB593" t="s">
        <v>9</v>
      </c>
      <c r="AC593" t="s">
        <v>354</v>
      </c>
      <c r="AD593" t="s">
        <v>182</v>
      </c>
      <c r="AE593">
        <v>31937</v>
      </c>
      <c r="AF593">
        <v>31937</v>
      </c>
      <c r="AG593" t="s">
        <v>183</v>
      </c>
      <c r="AH593" t="s">
        <v>7743</v>
      </c>
      <c r="AI593" t="s">
        <v>7743</v>
      </c>
      <c r="AJ593" t="s">
        <v>356</v>
      </c>
      <c r="AK593" t="s">
        <v>357</v>
      </c>
      <c r="AL593" t="s">
        <v>7744</v>
      </c>
      <c r="AM593" t="s">
        <v>7745</v>
      </c>
      <c r="AO593" t="s">
        <v>7746</v>
      </c>
      <c r="AP593" t="s">
        <v>361</v>
      </c>
      <c r="AQ593" t="s">
        <v>7747</v>
      </c>
      <c r="AR593">
        <v>3675018</v>
      </c>
      <c r="AS593">
        <v>97248200577</v>
      </c>
      <c r="AT593" t="s">
        <v>7748</v>
      </c>
      <c r="AU593" t="s">
        <v>10</v>
      </c>
      <c r="AV593" t="s">
        <v>7749</v>
      </c>
      <c r="AW593" t="s">
        <v>7749</v>
      </c>
      <c r="AX593" t="s">
        <v>7750</v>
      </c>
      <c r="AY593" s="2" t="s">
        <v>7751</v>
      </c>
      <c r="AZ593" t="s">
        <v>194</v>
      </c>
      <c r="BA593" t="s">
        <v>186</v>
      </c>
      <c r="BB593" t="s">
        <v>187</v>
      </c>
      <c r="BC593" t="s">
        <v>188</v>
      </c>
      <c r="BD593">
        <v>518100</v>
      </c>
      <c r="BE593" t="s">
        <v>7789</v>
      </c>
      <c r="BF593" t="s">
        <v>7752</v>
      </c>
      <c r="BG593" t="b">
        <v>0</v>
      </c>
      <c r="BH593" s="6" t="s">
        <v>7753</v>
      </c>
      <c r="BI593" t="s">
        <v>7754</v>
      </c>
      <c r="BJ593">
        <v>4453163191</v>
      </c>
      <c r="BK593" t="s">
        <v>162</v>
      </c>
      <c r="BL593" t="s">
        <v>161</v>
      </c>
      <c r="BM593" s="2"/>
      <c r="BO593" t="s">
        <v>89</v>
      </c>
      <c r="BP593">
        <v>9031499090</v>
      </c>
      <c r="BR593" t="s">
        <v>180</v>
      </c>
      <c r="BS593" t="s">
        <v>103</v>
      </c>
      <c r="BU593">
        <v>0</v>
      </c>
      <c r="BV593">
        <v>130</v>
      </c>
      <c r="BW593">
        <v>0</v>
      </c>
      <c r="BX593">
        <v>0</v>
      </c>
      <c r="BY593">
        <v>0</v>
      </c>
      <c r="BZ593">
        <v>0</v>
      </c>
      <c r="CA593">
        <v>130</v>
      </c>
      <c r="CF593" s="2"/>
      <c r="CH593" s="2"/>
      <c r="CJ593">
        <v>5.3142020950119398E+17</v>
      </c>
      <c r="CK593" t="s">
        <v>2648</v>
      </c>
      <c r="CL593">
        <v>44017.626921296294</v>
      </c>
      <c r="CO593" t="s">
        <v>11</v>
      </c>
      <c r="CP593" t="s">
        <v>7790</v>
      </c>
      <c r="CQ593" t="s">
        <v>11</v>
      </c>
      <c r="CR593">
        <v>1000</v>
      </c>
      <c r="CV593" t="s">
        <v>190</v>
      </c>
      <c r="CW593" t="s">
        <v>12</v>
      </c>
      <c r="CX593" t="s">
        <v>12</v>
      </c>
      <c r="CY593" t="s">
        <v>12</v>
      </c>
      <c r="DA593" t="s">
        <v>104</v>
      </c>
      <c r="DD593" t="s">
        <v>93</v>
      </c>
      <c r="DQ593" t="s">
        <v>94</v>
      </c>
      <c r="DR593" t="s">
        <v>94</v>
      </c>
      <c r="DS593" t="s">
        <v>94</v>
      </c>
      <c r="DT593" t="s">
        <v>94</v>
      </c>
      <c r="DU593" t="s">
        <v>94</v>
      </c>
      <c r="DV593" t="s">
        <v>94</v>
      </c>
      <c r="DW593" t="s">
        <v>94</v>
      </c>
      <c r="DX593" s="2" t="s">
        <v>94</v>
      </c>
      <c r="DY593" t="s">
        <v>94</v>
      </c>
      <c r="DZ593" t="s">
        <v>94</v>
      </c>
      <c r="EA593" t="s">
        <v>94</v>
      </c>
      <c r="EB593" t="s">
        <v>94</v>
      </c>
      <c r="EC593" t="s">
        <v>94</v>
      </c>
      <c r="ED593" t="s">
        <v>94</v>
      </c>
      <c r="EE593" t="s">
        <v>89</v>
      </c>
      <c r="EF593" t="s">
        <v>425</v>
      </c>
      <c r="EG593" t="s">
        <v>7244</v>
      </c>
      <c r="EJ593" t="s">
        <v>526</v>
      </c>
      <c r="EK593" t="b">
        <v>0</v>
      </c>
      <c r="EL593" t="b">
        <v>0</v>
      </c>
      <c r="EM593" t="b">
        <v>0</v>
      </c>
    </row>
    <row r="594" spans="3:143" ht="15">
      <c r="C594" s="82">
        <v>13</v>
      </c>
      <c r="D594" s="5">
        <v>219</v>
      </c>
      <c r="E594" s="4">
        <v>1</v>
      </c>
      <c r="F594" s="5">
        <v>219</v>
      </c>
      <c r="G594" s="5" t="s">
        <v>7791</v>
      </c>
      <c r="H594" s="4" t="s">
        <v>7792</v>
      </c>
      <c r="I594" s="81" t="s">
        <v>164</v>
      </c>
      <c r="J594" s="21" t="b">
        <v>1</v>
      </c>
      <c r="K594" s="22" t="s">
        <v>7755</v>
      </c>
      <c r="L594" s="84" t="s">
        <v>7756</v>
      </c>
      <c r="M594" s="23" t="s">
        <v>447</v>
      </c>
      <c r="N594" s="23">
        <v>44025</v>
      </c>
      <c r="O594" s="24" t="s">
        <v>102</v>
      </c>
      <c r="P594" s="24" t="s">
        <v>480</v>
      </c>
      <c r="Q594" s="24">
        <v>1</v>
      </c>
      <c r="R594" s="24">
        <v>438</v>
      </c>
      <c r="S594" t="s">
        <v>528</v>
      </c>
      <c r="T594">
        <v>1454</v>
      </c>
      <c r="U594" s="2"/>
      <c r="W594" s="2"/>
      <c r="AB594" t="s">
        <v>9</v>
      </c>
      <c r="AC594" t="s">
        <v>5640</v>
      </c>
      <c r="AD594" t="s">
        <v>182</v>
      </c>
      <c r="AE594">
        <v>2038948</v>
      </c>
      <c r="AF594">
        <v>2038948</v>
      </c>
      <c r="AG594" t="s">
        <v>183</v>
      </c>
      <c r="AH594" t="s">
        <v>7757</v>
      </c>
      <c r="AI594" t="s">
        <v>7757</v>
      </c>
      <c r="AJ594" t="s">
        <v>2322</v>
      </c>
      <c r="AK594" t="s">
        <v>2323</v>
      </c>
      <c r="AL594" t="s">
        <v>7758</v>
      </c>
      <c r="AM594" t="s">
        <v>7759</v>
      </c>
      <c r="AN594" t="s">
        <v>5645</v>
      </c>
      <c r="AO594" t="s">
        <v>5645</v>
      </c>
      <c r="AP594" t="s">
        <v>5646</v>
      </c>
      <c r="AQ594" t="s">
        <v>5647</v>
      </c>
      <c r="AR594">
        <v>41400</v>
      </c>
      <c r="AS594">
        <v>2621574383</v>
      </c>
      <c r="AT594" t="s">
        <v>7760</v>
      </c>
      <c r="AU594" t="s">
        <v>10</v>
      </c>
      <c r="AV594" t="s">
        <v>7761</v>
      </c>
      <c r="AW594" t="s">
        <v>7761</v>
      </c>
      <c r="AX594" t="s">
        <v>7762</v>
      </c>
      <c r="AY594" s="2" t="s">
        <v>7763</v>
      </c>
      <c r="BA594" t="s">
        <v>186</v>
      </c>
      <c r="BB594" t="s">
        <v>187</v>
      </c>
      <c r="BC594" t="s">
        <v>188</v>
      </c>
      <c r="BD594">
        <v>518103</v>
      </c>
      <c r="BE594" t="s">
        <v>7793</v>
      </c>
      <c r="BF594" t="s">
        <v>7764</v>
      </c>
      <c r="BG594" t="b">
        <v>0</v>
      </c>
      <c r="BH594" s="6" t="s">
        <v>7765</v>
      </c>
      <c r="BI594" t="s">
        <v>7766</v>
      </c>
      <c r="BJ594">
        <v>4453163191</v>
      </c>
      <c r="BK594" t="s">
        <v>162</v>
      </c>
      <c r="BL594" t="s">
        <v>161</v>
      </c>
      <c r="BM594" s="2"/>
      <c r="BR594" t="s">
        <v>7794</v>
      </c>
      <c r="BS594" t="s">
        <v>103</v>
      </c>
      <c r="BU594">
        <v>0</v>
      </c>
      <c r="BV594">
        <v>0</v>
      </c>
      <c r="BW594">
        <v>0</v>
      </c>
      <c r="BX594">
        <v>0</v>
      </c>
      <c r="BY594">
        <v>0</v>
      </c>
      <c r="BZ594">
        <v>0</v>
      </c>
      <c r="CA594">
        <v>0</v>
      </c>
      <c r="CF594" s="2"/>
      <c r="CH594" s="2"/>
      <c r="CK594" t="s">
        <v>2710</v>
      </c>
      <c r="CL594">
        <v>44025.37709490741</v>
      </c>
      <c r="CO594" t="s">
        <v>11</v>
      </c>
      <c r="CP594" t="s">
        <v>7795</v>
      </c>
      <c r="CQ594" t="s">
        <v>11</v>
      </c>
      <c r="CR594">
        <v>11608.15</v>
      </c>
      <c r="CV594" t="s">
        <v>190</v>
      </c>
      <c r="CW594" t="s">
        <v>12</v>
      </c>
      <c r="CX594" t="s">
        <v>12</v>
      </c>
      <c r="CY594" t="s">
        <v>12</v>
      </c>
      <c r="DA594" t="s">
        <v>104</v>
      </c>
      <c r="DD594" t="s">
        <v>93</v>
      </c>
      <c r="DQ594" t="s">
        <v>94</v>
      </c>
      <c r="DR594" t="s">
        <v>94</v>
      </c>
      <c r="DS594" t="s">
        <v>94</v>
      </c>
      <c r="DT594" t="s">
        <v>94</v>
      </c>
      <c r="DU594" t="s">
        <v>94</v>
      </c>
      <c r="DV594" t="s">
        <v>94</v>
      </c>
      <c r="DW594" t="s">
        <v>94</v>
      </c>
      <c r="DX594" s="2" t="s">
        <v>94</v>
      </c>
      <c r="DY594" t="s">
        <v>94</v>
      </c>
      <c r="DZ594" t="s">
        <v>94</v>
      </c>
      <c r="EA594" t="s">
        <v>94</v>
      </c>
      <c r="EB594" t="s">
        <v>94</v>
      </c>
      <c r="EC594" t="s">
        <v>94</v>
      </c>
      <c r="ED594" t="s">
        <v>94</v>
      </c>
      <c r="EE594" t="s">
        <v>89</v>
      </c>
      <c r="EF594" t="s">
        <v>94</v>
      </c>
      <c r="EG594" t="s">
        <v>7244</v>
      </c>
      <c r="EJ594" t="s">
        <v>166</v>
      </c>
      <c r="EK594" t="b">
        <v>0</v>
      </c>
      <c r="EL594" t="b">
        <v>0</v>
      </c>
      <c r="EM594" t="b">
        <v>0</v>
      </c>
    </row>
    <row r="595" spans="3:143">
      <c r="C595" s="4">
        <v>12</v>
      </c>
      <c r="D595" s="4">
        <v>219</v>
      </c>
      <c r="E595" s="4">
        <v>1</v>
      </c>
      <c r="F595" s="4">
        <v>219</v>
      </c>
      <c r="G595" s="5" t="s">
        <v>7796</v>
      </c>
      <c r="H595" s="4" t="s">
        <v>7792</v>
      </c>
      <c r="I595" s="4" t="s">
        <v>164</v>
      </c>
      <c r="J595" s="5" t="b">
        <v>1</v>
      </c>
      <c r="K595" s="22" t="s">
        <v>7781</v>
      </c>
      <c r="L595" s="84" t="s">
        <v>7756</v>
      </c>
      <c r="M595" s="23" t="s">
        <v>447</v>
      </c>
      <c r="N595" s="23">
        <v>44026</v>
      </c>
      <c r="O595" s="24" t="s">
        <v>102</v>
      </c>
      <c r="P595" s="24" t="s">
        <v>480</v>
      </c>
      <c r="Q595" s="24">
        <v>1</v>
      </c>
      <c r="R595" s="24">
        <v>438</v>
      </c>
      <c r="S595" t="s">
        <v>528</v>
      </c>
      <c r="T595">
        <v>1455</v>
      </c>
      <c r="U595" s="2"/>
      <c r="W595" s="2"/>
      <c r="AB595" t="s">
        <v>9</v>
      </c>
      <c r="AC595" t="s">
        <v>5640</v>
      </c>
      <c r="AD595" t="s">
        <v>3581</v>
      </c>
      <c r="AE595">
        <v>2038948</v>
      </c>
      <c r="AF595">
        <v>2038948</v>
      </c>
      <c r="AG595" t="s">
        <v>183</v>
      </c>
      <c r="AH595" t="s">
        <v>7757</v>
      </c>
      <c r="AI595" t="s">
        <v>7757</v>
      </c>
      <c r="AJ595" t="s">
        <v>2322</v>
      </c>
      <c r="AK595" t="s">
        <v>2323</v>
      </c>
      <c r="AL595" t="s">
        <v>7758</v>
      </c>
      <c r="AM595" t="s">
        <v>7782</v>
      </c>
      <c r="AN595" t="s">
        <v>5645</v>
      </c>
      <c r="AO595" t="s">
        <v>5645</v>
      </c>
      <c r="AP595" t="s">
        <v>5646</v>
      </c>
      <c r="AQ595" t="s">
        <v>5647</v>
      </c>
      <c r="AR595">
        <v>41400</v>
      </c>
      <c r="AS595">
        <v>2621574383</v>
      </c>
      <c r="AT595" t="s">
        <v>7760</v>
      </c>
      <c r="AU595" t="s">
        <v>10</v>
      </c>
      <c r="AV595" t="s">
        <v>7761</v>
      </c>
      <c r="AW595" t="s">
        <v>7761</v>
      </c>
      <c r="AX595" t="s">
        <v>7783</v>
      </c>
      <c r="AY595" t="s">
        <v>7763</v>
      </c>
      <c r="BA595" t="s">
        <v>186</v>
      </c>
      <c r="BB595" t="s">
        <v>187</v>
      </c>
      <c r="BC595" t="s">
        <v>188</v>
      </c>
      <c r="BD595">
        <v>518103</v>
      </c>
      <c r="BE595" t="s">
        <v>7793</v>
      </c>
      <c r="BF595" t="s">
        <v>7764</v>
      </c>
      <c r="BG595" t="b">
        <v>0</v>
      </c>
      <c r="BH595" s="6" t="s">
        <v>7784</v>
      </c>
      <c r="BI595" t="s">
        <v>7785</v>
      </c>
      <c r="BJ595">
        <v>4453163192</v>
      </c>
      <c r="BK595" t="s">
        <v>162</v>
      </c>
      <c r="BL595" t="s">
        <v>3585</v>
      </c>
      <c r="BM595" s="2"/>
      <c r="BR595" t="s">
        <v>7797</v>
      </c>
      <c r="BS595" t="s">
        <v>103</v>
      </c>
      <c r="BU595">
        <v>0</v>
      </c>
      <c r="BV595">
        <v>0</v>
      </c>
      <c r="BW595">
        <v>0</v>
      </c>
      <c r="BX595">
        <v>0</v>
      </c>
      <c r="BY595">
        <v>0</v>
      </c>
      <c r="BZ595">
        <v>0</v>
      </c>
      <c r="CA595">
        <v>0</v>
      </c>
      <c r="CF595" s="2"/>
      <c r="CH595" s="2"/>
      <c r="CK595" t="s">
        <v>7786</v>
      </c>
      <c r="CL595">
        <v>44026.377094907402</v>
      </c>
      <c r="CO595" t="s">
        <v>11</v>
      </c>
      <c r="CP595" t="s">
        <v>7798</v>
      </c>
      <c r="CQ595" t="s">
        <v>11</v>
      </c>
      <c r="CR595">
        <v>11609.15</v>
      </c>
      <c r="CV595" t="s">
        <v>190</v>
      </c>
      <c r="CW595" t="s">
        <v>12</v>
      </c>
      <c r="CX595" t="s">
        <v>12</v>
      </c>
      <c r="CY595" t="s">
        <v>12</v>
      </c>
      <c r="DA595" t="s">
        <v>104</v>
      </c>
      <c r="DD595" t="s">
        <v>93</v>
      </c>
      <c r="DQ595" t="s">
        <v>94</v>
      </c>
      <c r="DR595" t="s">
        <v>94</v>
      </c>
      <c r="DS595" t="s">
        <v>94</v>
      </c>
      <c r="DT595" t="s">
        <v>94</v>
      </c>
      <c r="DU595" t="s">
        <v>94</v>
      </c>
      <c r="DV595" t="s">
        <v>94</v>
      </c>
      <c r="DW595" t="s">
        <v>94</v>
      </c>
      <c r="DX595" s="2" t="s">
        <v>94</v>
      </c>
      <c r="DY595" t="s">
        <v>94</v>
      </c>
      <c r="DZ595" t="s">
        <v>94</v>
      </c>
      <c r="EA595" t="s">
        <v>94</v>
      </c>
      <c r="EB595" t="s">
        <v>94</v>
      </c>
      <c r="EC595" t="s">
        <v>94</v>
      </c>
      <c r="ED595" t="s">
        <v>94</v>
      </c>
      <c r="EE595" t="s">
        <v>89</v>
      </c>
      <c r="EF595" t="s">
        <v>94</v>
      </c>
      <c r="EG595" t="s">
        <v>7244</v>
      </c>
      <c r="EJ595" t="s">
        <v>166</v>
      </c>
      <c r="EK595" t="b">
        <v>0</v>
      </c>
      <c r="EL595" t="b">
        <v>0</v>
      </c>
      <c r="EM595" t="b">
        <v>0</v>
      </c>
    </row>
    <row r="596" spans="3:143" ht="15">
      <c r="C596" s="82">
        <v>13</v>
      </c>
      <c r="D596" s="5">
        <v>219</v>
      </c>
      <c r="E596" s="4">
        <v>1</v>
      </c>
      <c r="F596" s="5">
        <v>219</v>
      </c>
      <c r="G596" s="5" t="s">
        <v>7801</v>
      </c>
      <c r="H596" s="4" t="s">
        <v>7792</v>
      </c>
      <c r="I596" s="81" t="s">
        <v>164</v>
      </c>
      <c r="J596" s="21" t="b">
        <v>1</v>
      </c>
      <c r="K596" s="22" t="s">
        <v>7799</v>
      </c>
      <c r="L596" s="84" t="s">
        <v>7756</v>
      </c>
      <c r="M596" s="23" t="s">
        <v>447</v>
      </c>
      <c r="N596" s="23">
        <v>44025</v>
      </c>
      <c r="O596" s="24" t="s">
        <v>102</v>
      </c>
      <c r="P596" s="24" t="s">
        <v>480</v>
      </c>
      <c r="Q596" s="24">
        <v>1</v>
      </c>
      <c r="R596" s="24">
        <v>438</v>
      </c>
      <c r="S596" t="s">
        <v>528</v>
      </c>
      <c r="T596">
        <v>1454</v>
      </c>
      <c r="U596" s="2"/>
      <c r="W596" s="2"/>
      <c r="AB596" t="s">
        <v>9</v>
      </c>
      <c r="AC596" t="s">
        <v>5640</v>
      </c>
      <c r="AD596" t="s">
        <v>182</v>
      </c>
      <c r="AE596">
        <v>2038948</v>
      </c>
      <c r="AF596">
        <v>2038948</v>
      </c>
      <c r="AG596" t="s">
        <v>183</v>
      </c>
      <c r="AH596" t="s">
        <v>7757</v>
      </c>
      <c r="AI596" t="s">
        <v>7757</v>
      </c>
      <c r="AJ596" t="s">
        <v>2322</v>
      </c>
      <c r="AK596" t="s">
        <v>2323</v>
      </c>
      <c r="AL596" t="s">
        <v>7758</v>
      </c>
      <c r="AM596" t="s">
        <v>7759</v>
      </c>
      <c r="AN596" t="s">
        <v>5645</v>
      </c>
      <c r="AO596" t="s">
        <v>5645</v>
      </c>
      <c r="AP596" t="s">
        <v>5646</v>
      </c>
      <c r="AQ596" t="s">
        <v>5647</v>
      </c>
      <c r="AR596">
        <v>41400</v>
      </c>
      <c r="AS596">
        <v>2621574383</v>
      </c>
      <c r="AT596" t="s">
        <v>7760</v>
      </c>
      <c r="AU596" t="s">
        <v>10</v>
      </c>
      <c r="AV596" t="s">
        <v>7761</v>
      </c>
      <c r="AW596" t="s">
        <v>7761</v>
      </c>
      <c r="AX596" t="s">
        <v>7762</v>
      </c>
      <c r="AY596" s="2" t="s">
        <v>7763</v>
      </c>
      <c r="BA596" t="s">
        <v>186</v>
      </c>
      <c r="BB596" t="s">
        <v>187</v>
      </c>
      <c r="BC596" t="s">
        <v>188</v>
      </c>
      <c r="BD596">
        <v>518103</v>
      </c>
      <c r="BE596" t="s">
        <v>7793</v>
      </c>
      <c r="BF596" t="s">
        <v>7764</v>
      </c>
      <c r="BG596" t="b">
        <v>0</v>
      </c>
      <c r="BH596" s="6" t="s">
        <v>7765</v>
      </c>
      <c r="BI596" t="s">
        <v>7766</v>
      </c>
      <c r="BJ596">
        <v>4453163191</v>
      </c>
      <c r="BK596" t="s">
        <v>162</v>
      </c>
      <c r="BL596" t="s">
        <v>161</v>
      </c>
      <c r="BM596" s="2"/>
      <c r="BR596" t="s">
        <v>7794</v>
      </c>
      <c r="BS596" t="s">
        <v>103</v>
      </c>
      <c r="BU596">
        <v>0</v>
      </c>
      <c r="BV596">
        <v>0</v>
      </c>
      <c r="BW596">
        <v>0</v>
      </c>
      <c r="BX596">
        <v>0</v>
      </c>
      <c r="BY596">
        <v>0</v>
      </c>
      <c r="BZ596">
        <v>0</v>
      </c>
      <c r="CA596">
        <v>0</v>
      </c>
      <c r="CF596" s="2"/>
      <c r="CH596" s="2"/>
      <c r="CK596" t="s">
        <v>2710</v>
      </c>
      <c r="CL596">
        <v>44025.37709490741</v>
      </c>
      <c r="CO596" t="s">
        <v>11</v>
      </c>
      <c r="CP596" t="s">
        <v>7795</v>
      </c>
      <c r="CQ596" t="s">
        <v>11</v>
      </c>
      <c r="CR596">
        <v>11608.15</v>
      </c>
      <c r="CV596" t="s">
        <v>190</v>
      </c>
      <c r="CW596" t="s">
        <v>12</v>
      </c>
      <c r="CX596" t="s">
        <v>12</v>
      </c>
      <c r="CY596" t="s">
        <v>12</v>
      </c>
      <c r="DA596" t="s">
        <v>104</v>
      </c>
      <c r="DD596" t="s">
        <v>93</v>
      </c>
      <c r="DQ596" t="s">
        <v>94</v>
      </c>
      <c r="DR596" t="s">
        <v>94</v>
      </c>
      <c r="DS596" t="s">
        <v>94</v>
      </c>
      <c r="DT596" t="s">
        <v>94</v>
      </c>
      <c r="DU596" t="s">
        <v>94</v>
      </c>
      <c r="DV596" t="s">
        <v>94</v>
      </c>
      <c r="DW596" t="s">
        <v>94</v>
      </c>
      <c r="DX596" s="2" t="s">
        <v>94</v>
      </c>
      <c r="DY596" t="s">
        <v>94</v>
      </c>
      <c r="DZ596" t="s">
        <v>94</v>
      </c>
      <c r="EA596" t="s">
        <v>94</v>
      </c>
      <c r="EB596" t="s">
        <v>94</v>
      </c>
      <c r="EC596" t="s">
        <v>94</v>
      </c>
      <c r="ED596" t="s">
        <v>94</v>
      </c>
      <c r="EE596" t="s">
        <v>89</v>
      </c>
      <c r="EF596" t="s">
        <v>94</v>
      </c>
      <c r="EG596" t="s">
        <v>7244</v>
      </c>
      <c r="EJ596" t="s">
        <v>166</v>
      </c>
      <c r="EK596" t="b">
        <v>0</v>
      </c>
      <c r="EL596" t="b">
        <v>0</v>
      </c>
      <c r="EM596" t="b">
        <v>0</v>
      </c>
    </row>
    <row r="597" spans="3:143">
      <c r="C597" s="4">
        <v>12</v>
      </c>
      <c r="D597" s="4">
        <v>219</v>
      </c>
      <c r="E597" s="4">
        <v>1</v>
      </c>
      <c r="F597" s="4">
        <v>219</v>
      </c>
      <c r="G597" s="5" t="s">
        <v>7802</v>
      </c>
      <c r="H597" s="4" t="s">
        <v>7792</v>
      </c>
      <c r="I597" s="4" t="s">
        <v>164</v>
      </c>
      <c r="J597" s="5" t="b">
        <v>1</v>
      </c>
      <c r="K597" s="22" t="s">
        <v>7800</v>
      </c>
      <c r="L597" s="84" t="s">
        <v>7756</v>
      </c>
      <c r="M597" s="23" t="s">
        <v>447</v>
      </c>
      <c r="N597" s="23">
        <v>44026</v>
      </c>
      <c r="O597" s="24" t="s">
        <v>102</v>
      </c>
      <c r="P597" s="24" t="s">
        <v>480</v>
      </c>
      <c r="Q597" s="24">
        <v>1</v>
      </c>
      <c r="R597" s="24">
        <v>438</v>
      </c>
      <c r="S597" t="s">
        <v>528</v>
      </c>
      <c r="T597">
        <v>1455</v>
      </c>
      <c r="U597" s="2"/>
      <c r="W597" s="2"/>
      <c r="AB597" t="s">
        <v>9</v>
      </c>
      <c r="AC597" t="s">
        <v>5640</v>
      </c>
      <c r="AD597" t="s">
        <v>3581</v>
      </c>
      <c r="AE597">
        <v>2038948</v>
      </c>
      <c r="AF597">
        <v>2038948</v>
      </c>
      <c r="AG597" t="s">
        <v>183</v>
      </c>
      <c r="AH597" t="s">
        <v>7757</v>
      </c>
      <c r="AI597" t="s">
        <v>7757</v>
      </c>
      <c r="AJ597" t="s">
        <v>2322</v>
      </c>
      <c r="AK597" t="s">
        <v>2323</v>
      </c>
      <c r="AL597" t="s">
        <v>7758</v>
      </c>
      <c r="AM597" t="s">
        <v>7782</v>
      </c>
      <c r="AN597" t="s">
        <v>5645</v>
      </c>
      <c r="AO597" t="s">
        <v>5645</v>
      </c>
      <c r="AP597" t="s">
        <v>5646</v>
      </c>
      <c r="AQ597" t="s">
        <v>5647</v>
      </c>
      <c r="AR597">
        <v>41400</v>
      </c>
      <c r="AS597">
        <v>2621574383</v>
      </c>
      <c r="AT597" t="s">
        <v>7760</v>
      </c>
      <c r="AU597" t="s">
        <v>10</v>
      </c>
      <c r="AV597" t="s">
        <v>7761</v>
      </c>
      <c r="AW597" t="s">
        <v>7761</v>
      </c>
      <c r="AX597" t="s">
        <v>7783</v>
      </c>
      <c r="AY597" t="s">
        <v>7763</v>
      </c>
      <c r="BA597" t="s">
        <v>186</v>
      </c>
      <c r="BB597" t="s">
        <v>187</v>
      </c>
      <c r="BC597" t="s">
        <v>188</v>
      </c>
      <c r="BD597">
        <v>518103</v>
      </c>
      <c r="BE597" t="s">
        <v>7793</v>
      </c>
      <c r="BF597" t="s">
        <v>7764</v>
      </c>
      <c r="BG597" t="b">
        <v>0</v>
      </c>
      <c r="BH597" s="6" t="s">
        <v>7784</v>
      </c>
      <c r="BI597" t="s">
        <v>7785</v>
      </c>
      <c r="BJ597">
        <v>4453163192</v>
      </c>
      <c r="BK597" t="s">
        <v>162</v>
      </c>
      <c r="BL597" t="s">
        <v>3585</v>
      </c>
      <c r="BM597" s="2"/>
      <c r="BR597" t="s">
        <v>7797</v>
      </c>
      <c r="BS597" t="s">
        <v>103</v>
      </c>
      <c r="BU597">
        <v>0</v>
      </c>
      <c r="BV597">
        <v>0</v>
      </c>
      <c r="BW597">
        <v>0</v>
      </c>
      <c r="BX597">
        <v>0</v>
      </c>
      <c r="BY597">
        <v>0</v>
      </c>
      <c r="BZ597">
        <v>0</v>
      </c>
      <c r="CA597">
        <v>0</v>
      </c>
      <c r="CF597" s="2"/>
      <c r="CH597" s="2"/>
      <c r="CK597" t="s">
        <v>7786</v>
      </c>
      <c r="CL597">
        <v>44026.377094907402</v>
      </c>
      <c r="CO597" t="s">
        <v>11</v>
      </c>
      <c r="CP597" t="s">
        <v>7798</v>
      </c>
      <c r="CQ597" t="s">
        <v>11</v>
      </c>
      <c r="CR597">
        <v>11609.15</v>
      </c>
      <c r="CV597" t="s">
        <v>190</v>
      </c>
      <c r="CW597" t="s">
        <v>12</v>
      </c>
      <c r="CX597" t="s">
        <v>12</v>
      </c>
      <c r="CY597" t="s">
        <v>12</v>
      </c>
      <c r="DA597" t="s">
        <v>104</v>
      </c>
      <c r="DD597" t="s">
        <v>93</v>
      </c>
      <c r="DQ597" t="s">
        <v>94</v>
      </c>
      <c r="DR597" t="s">
        <v>94</v>
      </c>
      <c r="DS597" t="s">
        <v>94</v>
      </c>
      <c r="DT597" t="s">
        <v>94</v>
      </c>
      <c r="DU597" t="s">
        <v>94</v>
      </c>
      <c r="DV597" t="s">
        <v>94</v>
      </c>
      <c r="DW597" t="s">
        <v>94</v>
      </c>
      <c r="DX597" s="2" t="s">
        <v>94</v>
      </c>
      <c r="DY597" t="s">
        <v>94</v>
      </c>
      <c r="DZ597" t="s">
        <v>94</v>
      </c>
      <c r="EA597" t="s">
        <v>94</v>
      </c>
      <c r="EB597" t="s">
        <v>94</v>
      </c>
      <c r="EC597" t="s">
        <v>94</v>
      </c>
      <c r="ED597" t="s">
        <v>94</v>
      </c>
      <c r="EE597" t="s">
        <v>89</v>
      </c>
      <c r="EF597" t="s">
        <v>94</v>
      </c>
      <c r="EG597" t="s">
        <v>7244</v>
      </c>
      <c r="EJ597" t="s">
        <v>166</v>
      </c>
      <c r="EK597" t="b">
        <v>0</v>
      </c>
      <c r="EL597" t="b">
        <v>0</v>
      </c>
      <c r="EM597" t="b">
        <v>0</v>
      </c>
    </row>
    <row r="598" spans="3:143" ht="15">
      <c r="C598" s="82">
        <v>13</v>
      </c>
      <c r="D598" s="5"/>
      <c r="E598" s="4">
        <v>2</v>
      </c>
      <c r="F598" s="5">
        <v>43</v>
      </c>
      <c r="G598" s="5" t="s">
        <v>7803</v>
      </c>
      <c r="H598" s="4" t="s">
        <v>7804</v>
      </c>
      <c r="I598" s="81" t="s">
        <v>164</v>
      </c>
      <c r="J598" s="21" t="b">
        <v>1</v>
      </c>
      <c r="K598" s="22" t="s">
        <v>7767</v>
      </c>
      <c r="L598" s="84" t="s">
        <v>7756</v>
      </c>
      <c r="M598" s="23" t="s">
        <v>447</v>
      </c>
      <c r="N598" s="23">
        <v>44025</v>
      </c>
      <c r="O598" s="24" t="s">
        <v>102</v>
      </c>
      <c r="P598" s="24" t="s">
        <v>480</v>
      </c>
      <c r="Q598" s="24">
        <v>2</v>
      </c>
      <c r="R598" s="24">
        <v>43</v>
      </c>
      <c r="S598" t="s">
        <v>528</v>
      </c>
      <c r="T598">
        <v>10</v>
      </c>
      <c r="U598" s="2"/>
      <c r="W598" s="2"/>
      <c r="AB598" t="s">
        <v>9</v>
      </c>
      <c r="AC598" t="s">
        <v>5640</v>
      </c>
      <c r="AD598" t="s">
        <v>191</v>
      </c>
      <c r="AE598">
        <v>815954</v>
      </c>
      <c r="AF598">
        <v>815954</v>
      </c>
      <c r="AG598" t="s">
        <v>183</v>
      </c>
      <c r="AH598" t="s">
        <v>7768</v>
      </c>
      <c r="AI598" t="s">
        <v>7768</v>
      </c>
      <c r="AJ598" t="s">
        <v>2322</v>
      </c>
      <c r="AK598" t="s">
        <v>2323</v>
      </c>
      <c r="AL598" t="s">
        <v>7769</v>
      </c>
      <c r="AM598" t="s">
        <v>7770</v>
      </c>
      <c r="AN598" t="s">
        <v>7771</v>
      </c>
      <c r="AO598" t="s">
        <v>7772</v>
      </c>
      <c r="AP598" t="s">
        <v>5646</v>
      </c>
      <c r="AQ598" t="s">
        <v>5647</v>
      </c>
      <c r="AR598">
        <v>41455</v>
      </c>
      <c r="AS598">
        <v>2622902625</v>
      </c>
      <c r="AT598" t="s">
        <v>7773</v>
      </c>
      <c r="AU598" t="s">
        <v>10</v>
      </c>
      <c r="AV598" t="s">
        <v>7774</v>
      </c>
      <c r="AW598" t="s">
        <v>7774</v>
      </c>
      <c r="AX598" t="s">
        <v>7775</v>
      </c>
      <c r="AY598" s="2" t="s">
        <v>7776</v>
      </c>
      <c r="AZ598" t="s">
        <v>7777</v>
      </c>
      <c r="BA598" t="s">
        <v>726</v>
      </c>
      <c r="BB598" t="s">
        <v>192</v>
      </c>
      <c r="BC598" t="s">
        <v>188</v>
      </c>
      <c r="BD598">
        <v>523121</v>
      </c>
      <c r="BE598" t="s">
        <v>7778</v>
      </c>
      <c r="BF598" t="s">
        <v>4639</v>
      </c>
      <c r="BG598" t="b">
        <v>0</v>
      </c>
      <c r="BH598" s="6" t="s">
        <v>7779</v>
      </c>
      <c r="BI598" t="s">
        <v>7780</v>
      </c>
      <c r="BJ598">
        <v>4453163191</v>
      </c>
      <c r="BK598" t="s">
        <v>162</v>
      </c>
      <c r="BL598" t="s">
        <v>161</v>
      </c>
      <c r="BM598" s="2"/>
      <c r="BR598" t="s">
        <v>180</v>
      </c>
      <c r="BS598" t="s">
        <v>103</v>
      </c>
      <c r="BU598">
        <v>0</v>
      </c>
      <c r="BV598">
        <v>0</v>
      </c>
      <c r="BW598">
        <v>0</v>
      </c>
      <c r="BX598">
        <v>0</v>
      </c>
      <c r="BY598">
        <v>0</v>
      </c>
      <c r="BZ598">
        <v>0</v>
      </c>
      <c r="CA598">
        <v>0</v>
      </c>
      <c r="CF598" s="2"/>
      <c r="CH598" s="2"/>
      <c r="CK598" t="s">
        <v>2710</v>
      </c>
      <c r="CL598">
        <v>44025.377256944441</v>
      </c>
      <c r="CO598" t="s">
        <v>11</v>
      </c>
      <c r="CP598" t="s">
        <v>7805</v>
      </c>
      <c r="CQ598" t="s">
        <v>11</v>
      </c>
      <c r="CR598">
        <v>79.84</v>
      </c>
      <c r="CV598" t="s">
        <v>190</v>
      </c>
      <c r="CW598" t="s">
        <v>12</v>
      </c>
      <c r="CX598" t="s">
        <v>12</v>
      </c>
      <c r="CY598" t="s">
        <v>12</v>
      </c>
      <c r="DA598" t="s">
        <v>104</v>
      </c>
      <c r="DD598" t="s">
        <v>93</v>
      </c>
      <c r="DQ598" t="s">
        <v>94</v>
      </c>
      <c r="DR598" t="s">
        <v>94</v>
      </c>
      <c r="DS598" t="s">
        <v>94</v>
      </c>
      <c r="DT598" t="s">
        <v>94</v>
      </c>
      <c r="DU598" t="s">
        <v>94</v>
      </c>
      <c r="DV598" t="s">
        <v>94</v>
      </c>
      <c r="DW598" t="s">
        <v>94</v>
      </c>
      <c r="DX598" s="2" t="s">
        <v>94</v>
      </c>
      <c r="DY598" t="s">
        <v>94</v>
      </c>
      <c r="DZ598" t="s">
        <v>94</v>
      </c>
      <c r="EA598" t="s">
        <v>94</v>
      </c>
      <c r="EB598" t="s">
        <v>94</v>
      </c>
      <c r="EC598" t="s">
        <v>94</v>
      </c>
      <c r="ED598" t="s">
        <v>94</v>
      </c>
      <c r="EE598" t="s">
        <v>89</v>
      </c>
      <c r="EF598" t="s">
        <v>94</v>
      </c>
      <c r="EG598" t="s">
        <v>7244</v>
      </c>
      <c r="EJ598" t="s">
        <v>166</v>
      </c>
      <c r="EK598" t="b">
        <v>0</v>
      </c>
      <c r="EL598" t="b">
        <v>0</v>
      </c>
      <c r="EM598" t="b">
        <v>0</v>
      </c>
    </row>
    <row r="599" spans="3:143" ht="15">
      <c r="C599" s="82">
        <v>12</v>
      </c>
      <c r="D599" s="5">
        <v>12</v>
      </c>
      <c r="E599" s="4">
        <v>1</v>
      </c>
      <c r="F599" s="5">
        <v>219</v>
      </c>
      <c r="G599" s="5" t="s">
        <v>7807</v>
      </c>
      <c r="H599" s="4" t="s">
        <v>7792</v>
      </c>
      <c r="I599" s="81" t="s">
        <v>164</v>
      </c>
      <c r="J599" s="21" t="b">
        <v>1</v>
      </c>
      <c r="K599" s="22" t="s">
        <v>7806</v>
      </c>
      <c r="L599" s="84" t="s">
        <v>7756</v>
      </c>
      <c r="M599" s="23" t="s">
        <v>447</v>
      </c>
      <c r="N599" s="23">
        <v>44025</v>
      </c>
      <c r="O599" s="24" t="s">
        <v>102</v>
      </c>
      <c r="P599" s="24" t="s">
        <v>480</v>
      </c>
      <c r="Q599" s="24">
        <v>1</v>
      </c>
      <c r="R599" s="24">
        <v>438</v>
      </c>
      <c r="S599" t="s">
        <v>528</v>
      </c>
      <c r="T599">
        <v>1454</v>
      </c>
      <c r="U599" s="2"/>
      <c r="W599" s="2"/>
      <c r="AB599" t="s">
        <v>9</v>
      </c>
      <c r="AC599" t="s">
        <v>5640</v>
      </c>
      <c r="AD599" t="s">
        <v>182</v>
      </c>
      <c r="AE599">
        <v>2038948</v>
      </c>
      <c r="AF599">
        <v>2038948</v>
      </c>
      <c r="AG599" t="s">
        <v>183</v>
      </c>
      <c r="AH599" t="s">
        <v>7757</v>
      </c>
      <c r="AI599" t="s">
        <v>7757</v>
      </c>
      <c r="AJ599" t="s">
        <v>2322</v>
      </c>
      <c r="AK599" t="s">
        <v>2323</v>
      </c>
      <c r="AL599" t="s">
        <v>7758</v>
      </c>
      <c r="AM599" t="s">
        <v>7759</v>
      </c>
      <c r="AN599" t="s">
        <v>5645</v>
      </c>
      <c r="AO599" t="s">
        <v>5645</v>
      </c>
      <c r="AP599" t="s">
        <v>5646</v>
      </c>
      <c r="AQ599" t="s">
        <v>5647</v>
      </c>
      <c r="AR599">
        <v>41400</v>
      </c>
      <c r="AS599">
        <v>2621574383</v>
      </c>
      <c r="AT599" t="s">
        <v>7760</v>
      </c>
      <c r="AU599" t="s">
        <v>10</v>
      </c>
      <c r="AV599" t="s">
        <v>7761</v>
      </c>
      <c r="AW599" t="s">
        <v>7761</v>
      </c>
      <c r="AX599" t="s">
        <v>7762</v>
      </c>
      <c r="AY599" s="2" t="s">
        <v>7763</v>
      </c>
      <c r="BA599" t="s">
        <v>186</v>
      </c>
      <c r="BB599" t="s">
        <v>187</v>
      </c>
      <c r="BC599" t="s">
        <v>188</v>
      </c>
      <c r="BD599">
        <v>518103</v>
      </c>
      <c r="BE599">
        <v>86075561163858</v>
      </c>
      <c r="BF599" t="s">
        <v>7764</v>
      </c>
      <c r="BG599" t="b">
        <v>0</v>
      </c>
      <c r="BH599" s="6" t="s">
        <v>7765</v>
      </c>
      <c r="BI599" t="s">
        <v>7766</v>
      </c>
      <c r="BJ599">
        <v>4453163191</v>
      </c>
      <c r="BK599" t="s">
        <v>162</v>
      </c>
      <c r="BL599" t="s">
        <v>161</v>
      </c>
      <c r="BM599" s="2"/>
      <c r="BR599">
        <v>87</v>
      </c>
      <c r="BS599" t="s">
        <v>103</v>
      </c>
      <c r="BU599">
        <v>0</v>
      </c>
      <c r="BV599">
        <v>0</v>
      </c>
      <c r="BW599">
        <v>0</v>
      </c>
      <c r="BX599">
        <v>0</v>
      </c>
      <c r="BY599">
        <v>0</v>
      </c>
      <c r="BZ599">
        <v>0</v>
      </c>
      <c r="CA599">
        <v>0</v>
      </c>
      <c r="CF599" s="2"/>
      <c r="CH599" s="2"/>
      <c r="CK599" t="s">
        <v>2710</v>
      </c>
      <c r="CL599">
        <v>44025.37709490741</v>
      </c>
      <c r="CO599" t="s">
        <v>11</v>
      </c>
      <c r="CP599">
        <v>11608.15</v>
      </c>
      <c r="CQ599" t="s">
        <v>11</v>
      </c>
      <c r="CR599">
        <v>11608.15</v>
      </c>
      <c r="CV599" t="s">
        <v>190</v>
      </c>
      <c r="CW599" t="s">
        <v>12</v>
      </c>
      <c r="CX599" t="s">
        <v>12</v>
      </c>
      <c r="CY599" t="s">
        <v>12</v>
      </c>
      <c r="DA599" t="s">
        <v>104</v>
      </c>
      <c r="DD599" t="s">
        <v>93</v>
      </c>
      <c r="DQ599" t="s">
        <v>94</v>
      </c>
      <c r="DR599" t="s">
        <v>94</v>
      </c>
      <c r="DS599" t="s">
        <v>94</v>
      </c>
      <c r="DT599" t="s">
        <v>94</v>
      </c>
      <c r="DU599" t="s">
        <v>94</v>
      </c>
      <c r="DV599" t="s">
        <v>94</v>
      </c>
      <c r="DW599" t="s">
        <v>94</v>
      </c>
      <c r="DX599" s="2" t="s">
        <v>94</v>
      </c>
      <c r="DY599" t="s">
        <v>94</v>
      </c>
      <c r="DZ599" t="s">
        <v>94</v>
      </c>
      <c r="EA599" t="s">
        <v>94</v>
      </c>
      <c r="EB599" t="s">
        <v>94</v>
      </c>
      <c r="EC599" t="s">
        <v>94</v>
      </c>
      <c r="ED599" t="s">
        <v>94</v>
      </c>
      <c r="EE599" t="s">
        <v>89</v>
      </c>
      <c r="EF599" t="s">
        <v>94</v>
      </c>
      <c r="EG599" t="s">
        <v>7244</v>
      </c>
      <c r="EJ599" t="s">
        <v>166</v>
      </c>
      <c r="EK599" t="b">
        <v>0</v>
      </c>
      <c r="EL599" t="b">
        <v>0</v>
      </c>
      <c r="EM599" t="b">
        <v>0</v>
      </c>
    </row>
    <row r="600" spans="3:143" ht="15">
      <c r="C600" s="82">
        <v>12</v>
      </c>
      <c r="D600" s="5">
        <v>60.5</v>
      </c>
      <c r="E600" s="4">
        <v>1</v>
      </c>
      <c r="F600" s="5">
        <v>60.5</v>
      </c>
      <c r="G600" s="5" t="s">
        <v>7832</v>
      </c>
      <c r="H600" s="4" t="s">
        <v>7833</v>
      </c>
      <c r="I600" s="81" t="s">
        <v>920</v>
      </c>
      <c r="J600" s="21"/>
      <c r="K600" s="22" t="s">
        <v>7808</v>
      </c>
      <c r="L600" s="84" t="s">
        <v>7809</v>
      </c>
      <c r="M600" s="23" t="s">
        <v>905</v>
      </c>
      <c r="N600" s="23">
        <v>44044</v>
      </c>
      <c r="O600" s="24" t="s">
        <v>102</v>
      </c>
      <c r="P600" s="24" t="s">
        <v>480</v>
      </c>
      <c r="Q600" s="24">
        <v>1</v>
      </c>
      <c r="R600" s="24">
        <v>69</v>
      </c>
      <c r="S600" t="s">
        <v>319</v>
      </c>
      <c r="T600">
        <v>3390</v>
      </c>
      <c r="U600" s="2"/>
      <c r="W600" s="2"/>
      <c r="AB600" t="s">
        <v>9</v>
      </c>
      <c r="AC600" t="s">
        <v>354</v>
      </c>
      <c r="AD600" t="s">
        <v>182</v>
      </c>
      <c r="AE600">
        <v>9332</v>
      </c>
      <c r="AF600">
        <v>9332</v>
      </c>
      <c r="AG600" t="s">
        <v>183</v>
      </c>
      <c r="AH600" t="s">
        <v>7810</v>
      </c>
      <c r="AI600" t="s">
        <v>7810</v>
      </c>
      <c r="AJ600" t="s">
        <v>356</v>
      </c>
      <c r="AK600" t="s">
        <v>357</v>
      </c>
      <c r="AL600" t="s">
        <v>7811</v>
      </c>
      <c r="AM600" t="s">
        <v>7812</v>
      </c>
      <c r="AO600" t="s">
        <v>7813</v>
      </c>
      <c r="AP600" t="s">
        <v>361</v>
      </c>
      <c r="AQ600" t="s">
        <v>362</v>
      </c>
      <c r="AR600">
        <v>7570418</v>
      </c>
      <c r="AS600">
        <v>97239420103</v>
      </c>
      <c r="AT600" t="s">
        <v>7814</v>
      </c>
      <c r="AU600" t="s">
        <v>10</v>
      </c>
      <c r="AV600" t="s">
        <v>7815</v>
      </c>
      <c r="AW600" t="s">
        <v>7815</v>
      </c>
      <c r="AX600" t="s">
        <v>7816</v>
      </c>
      <c r="AY600" s="2" t="s">
        <v>7817</v>
      </c>
      <c r="AZ600" t="s">
        <v>7818</v>
      </c>
      <c r="BA600" t="s">
        <v>186</v>
      </c>
      <c r="BB600" t="s">
        <v>187</v>
      </c>
      <c r="BC600" t="s">
        <v>188</v>
      </c>
      <c r="BD600">
        <v>518109</v>
      </c>
      <c r="BE600">
        <v>8675523956710</v>
      </c>
      <c r="BF600" t="s">
        <v>7819</v>
      </c>
      <c r="BG600" t="b">
        <v>0</v>
      </c>
      <c r="BH600" s="6" t="s">
        <v>7820</v>
      </c>
      <c r="BI600" t="s">
        <v>7821</v>
      </c>
      <c r="BJ600">
        <v>4453163191</v>
      </c>
      <c r="BK600" t="s">
        <v>162</v>
      </c>
      <c r="BL600" t="s">
        <v>161</v>
      </c>
      <c r="BM600" s="2"/>
      <c r="BR600" t="s">
        <v>189</v>
      </c>
      <c r="BS600" t="s">
        <v>103</v>
      </c>
      <c r="BU600">
        <v>0</v>
      </c>
      <c r="BV600">
        <v>0</v>
      </c>
      <c r="BW600">
        <v>0</v>
      </c>
      <c r="BX600">
        <v>0</v>
      </c>
      <c r="BY600">
        <v>0</v>
      </c>
      <c r="BZ600">
        <v>0</v>
      </c>
      <c r="CA600">
        <v>0</v>
      </c>
      <c r="CF600" s="2"/>
      <c r="CH600" s="2"/>
      <c r="CK600" t="s">
        <v>2710</v>
      </c>
      <c r="CL600">
        <v>44044.567141203705</v>
      </c>
      <c r="CO600" t="s">
        <v>11</v>
      </c>
      <c r="CP600">
        <v>23723.9</v>
      </c>
      <c r="CQ600" t="s">
        <v>11</v>
      </c>
      <c r="CR600">
        <v>23723.9</v>
      </c>
      <c r="CV600" t="s">
        <v>190</v>
      </c>
      <c r="CW600" t="s">
        <v>12</v>
      </c>
      <c r="CX600" t="s">
        <v>12</v>
      </c>
      <c r="CY600" t="s">
        <v>12</v>
      </c>
      <c r="DA600" t="s">
        <v>104</v>
      </c>
      <c r="DD600" t="s">
        <v>93</v>
      </c>
      <c r="DQ600" t="s">
        <v>94</v>
      </c>
      <c r="DR600" t="s">
        <v>94</v>
      </c>
      <c r="DS600" t="s">
        <v>94</v>
      </c>
      <c r="DT600" t="s">
        <v>94</v>
      </c>
      <c r="DU600" t="s">
        <v>94</v>
      </c>
      <c r="DV600" t="s">
        <v>94</v>
      </c>
      <c r="DW600" t="s">
        <v>94</v>
      </c>
      <c r="DX600" s="2" t="s">
        <v>94</v>
      </c>
      <c r="DY600" t="s">
        <v>94</v>
      </c>
      <c r="DZ600" t="s">
        <v>94</v>
      </c>
      <c r="EA600" t="s">
        <v>94</v>
      </c>
      <c r="EB600" t="s">
        <v>94</v>
      </c>
      <c r="EC600" t="s">
        <v>94</v>
      </c>
      <c r="ED600" t="s">
        <v>94</v>
      </c>
      <c r="EE600" t="s">
        <v>89</v>
      </c>
      <c r="EF600" t="s">
        <v>94</v>
      </c>
      <c r="EG600" t="s">
        <v>7244</v>
      </c>
      <c r="EJ600" t="s">
        <v>166</v>
      </c>
      <c r="EK600" t="b">
        <v>0</v>
      </c>
      <c r="EL600" t="b">
        <v>0</v>
      </c>
      <c r="EM600" t="b">
        <v>0</v>
      </c>
    </row>
    <row r="601" spans="3:143" ht="15">
      <c r="C601" s="82">
        <v>114</v>
      </c>
      <c r="D601" s="5"/>
      <c r="E601" s="4">
        <v>1</v>
      </c>
      <c r="F601" s="5">
        <v>7.95</v>
      </c>
      <c r="G601" s="5" t="s">
        <v>7834</v>
      </c>
      <c r="H601" s="4" t="s">
        <v>7835</v>
      </c>
      <c r="I601" s="81" t="s">
        <v>466</v>
      </c>
      <c r="J601" s="21"/>
      <c r="K601" s="22" t="s">
        <v>7822</v>
      </c>
      <c r="L601" s="84" t="s">
        <v>7823</v>
      </c>
      <c r="M601" s="23" t="s">
        <v>409</v>
      </c>
      <c r="N601" s="23">
        <v>44043</v>
      </c>
      <c r="O601" s="24" t="s">
        <v>102</v>
      </c>
      <c r="P601" s="24" t="s">
        <v>480</v>
      </c>
      <c r="Q601" s="24">
        <v>1</v>
      </c>
      <c r="R601" s="24">
        <v>7.95</v>
      </c>
      <c r="S601" t="s">
        <v>528</v>
      </c>
      <c r="T601">
        <v>60</v>
      </c>
      <c r="U601" s="2"/>
      <c r="W601" s="2"/>
      <c r="AB601" t="s">
        <v>9</v>
      </c>
      <c r="AC601" t="s">
        <v>3118</v>
      </c>
      <c r="AD601" t="s">
        <v>209</v>
      </c>
      <c r="AE601">
        <v>98953</v>
      </c>
      <c r="AF601">
        <v>98953</v>
      </c>
      <c r="AG601" t="s">
        <v>183</v>
      </c>
      <c r="AH601" t="s">
        <v>7824</v>
      </c>
      <c r="AI601" t="s">
        <v>7824</v>
      </c>
      <c r="AJ601" t="s">
        <v>601</v>
      </c>
      <c r="AK601" t="s">
        <v>602</v>
      </c>
      <c r="AL601" t="s">
        <v>7825</v>
      </c>
      <c r="AO601" t="s">
        <v>7826</v>
      </c>
      <c r="AP601" t="s">
        <v>3122</v>
      </c>
      <c r="AQ601" t="s">
        <v>1293</v>
      </c>
      <c r="AR601">
        <v>10070</v>
      </c>
      <c r="AS601">
        <v>119278167</v>
      </c>
      <c r="AT601" t="s">
        <v>7827</v>
      </c>
      <c r="AU601" t="s">
        <v>10</v>
      </c>
      <c r="AV601" t="s">
        <v>7828</v>
      </c>
      <c r="AW601" t="s">
        <v>7828</v>
      </c>
      <c r="AX601" t="s">
        <v>7829</v>
      </c>
      <c r="AY601" s="2"/>
      <c r="BA601" t="s">
        <v>520</v>
      </c>
      <c r="BB601" t="s">
        <v>223</v>
      </c>
      <c r="BC601" t="s">
        <v>188</v>
      </c>
      <c r="BD601">
        <v>510170</v>
      </c>
      <c r="BE601">
        <v>13688850515</v>
      </c>
      <c r="BF601" t="s">
        <v>7828</v>
      </c>
      <c r="BG601" t="b">
        <v>0</v>
      </c>
      <c r="BH601" s="6" t="s">
        <v>7830</v>
      </c>
      <c r="BI601" t="s">
        <v>7831</v>
      </c>
      <c r="BJ601">
        <v>4453163191</v>
      </c>
      <c r="BK601" t="s">
        <v>162</v>
      </c>
      <c r="BL601" t="s">
        <v>161</v>
      </c>
      <c r="BM601" s="2"/>
      <c r="BR601" t="s">
        <v>180</v>
      </c>
      <c r="BS601" t="s">
        <v>103</v>
      </c>
      <c r="BU601">
        <v>0</v>
      </c>
      <c r="BV601">
        <v>0</v>
      </c>
      <c r="BW601">
        <v>0</v>
      </c>
      <c r="BX601">
        <v>0</v>
      </c>
      <c r="BY601">
        <v>0</v>
      </c>
      <c r="BZ601">
        <v>0</v>
      </c>
      <c r="CA601">
        <v>0</v>
      </c>
      <c r="CF601" s="2"/>
      <c r="CH601" s="2"/>
      <c r="CK601" t="s">
        <v>2710</v>
      </c>
      <c r="CL601">
        <v>44043.378750000003</v>
      </c>
      <c r="CO601" t="s">
        <v>11</v>
      </c>
      <c r="CP601">
        <v>479.08</v>
      </c>
      <c r="CQ601" t="s">
        <v>11</v>
      </c>
      <c r="CR601">
        <v>479.08</v>
      </c>
      <c r="CV601" t="s">
        <v>190</v>
      </c>
      <c r="CW601" t="s">
        <v>12</v>
      </c>
      <c r="CX601" t="s">
        <v>12</v>
      </c>
      <c r="CY601" t="s">
        <v>12</v>
      </c>
      <c r="DA601" t="s">
        <v>104</v>
      </c>
      <c r="DD601" t="s">
        <v>93</v>
      </c>
      <c r="DQ601" t="s">
        <v>94</v>
      </c>
      <c r="DR601" t="s">
        <v>94</v>
      </c>
      <c r="DS601" t="s">
        <v>94</v>
      </c>
      <c r="DT601" t="s">
        <v>94</v>
      </c>
      <c r="DU601" t="s">
        <v>94</v>
      </c>
      <c r="DV601" t="s">
        <v>94</v>
      </c>
      <c r="DW601" t="s">
        <v>94</v>
      </c>
      <c r="DX601" s="2" t="s">
        <v>94</v>
      </c>
      <c r="DY601" t="s">
        <v>94</v>
      </c>
      <c r="DZ601" t="s">
        <v>94</v>
      </c>
      <c r="EA601" t="s">
        <v>94</v>
      </c>
      <c r="EB601" t="s">
        <v>94</v>
      </c>
      <c r="EC601" t="s">
        <v>94</v>
      </c>
      <c r="ED601" t="s">
        <v>94</v>
      </c>
      <c r="EE601" t="s">
        <v>89</v>
      </c>
      <c r="EF601" t="s">
        <v>425</v>
      </c>
      <c r="EG601" t="s">
        <v>7244</v>
      </c>
      <c r="EJ601" t="s">
        <v>166</v>
      </c>
      <c r="EK601" t="b">
        <v>0</v>
      </c>
      <c r="EL601" t="b">
        <v>0</v>
      </c>
      <c r="EM601" t="b">
        <v>0</v>
      </c>
    </row>
    <row r="602" spans="3:143" ht="15">
      <c r="C602" s="82">
        <v>3</v>
      </c>
      <c r="D602" s="5"/>
      <c r="E602" s="4">
        <v>2</v>
      </c>
      <c r="F602" s="5">
        <v>38</v>
      </c>
      <c r="G602" s="5" t="s">
        <v>7886</v>
      </c>
      <c r="H602" s="4" t="s">
        <v>7887</v>
      </c>
      <c r="I602" s="81" t="s">
        <v>817</v>
      </c>
      <c r="J602" s="21"/>
      <c r="K602" s="22" t="s">
        <v>7836</v>
      </c>
      <c r="L602" s="84" t="s">
        <v>7837</v>
      </c>
      <c r="M602" s="23" t="s">
        <v>817</v>
      </c>
      <c r="N602" s="23">
        <v>44045</v>
      </c>
      <c r="O602" s="24" t="s">
        <v>102</v>
      </c>
      <c r="P602" s="24" t="s">
        <v>181</v>
      </c>
      <c r="Q602" s="24">
        <v>2</v>
      </c>
      <c r="R602" s="24">
        <v>38</v>
      </c>
      <c r="S602" t="s">
        <v>11</v>
      </c>
      <c r="T602">
        <v>2135</v>
      </c>
      <c r="U602" s="2" t="s">
        <v>163</v>
      </c>
      <c r="V602">
        <v>44045.81045138889</v>
      </c>
      <c r="W602" s="2" t="s">
        <v>444</v>
      </c>
      <c r="X602">
        <v>44045.821712962963</v>
      </c>
      <c r="AB602" t="s">
        <v>9</v>
      </c>
      <c r="AC602" t="s">
        <v>7838</v>
      </c>
      <c r="AD602" t="s">
        <v>182</v>
      </c>
      <c r="AE602">
        <v>2443841</v>
      </c>
      <c r="AF602">
        <v>2443841</v>
      </c>
      <c r="AH602" t="s">
        <v>7839</v>
      </c>
      <c r="AI602" t="s">
        <v>7840</v>
      </c>
      <c r="AJ602" t="s">
        <v>184</v>
      </c>
      <c r="AK602" t="s">
        <v>185</v>
      </c>
      <c r="AL602" t="s">
        <v>7841</v>
      </c>
      <c r="AM602" t="s">
        <v>7842</v>
      </c>
      <c r="AO602" t="s">
        <v>7843</v>
      </c>
      <c r="AP602" t="s">
        <v>7844</v>
      </c>
      <c r="AQ602" t="s">
        <v>7845</v>
      </c>
      <c r="AR602" t="s">
        <v>7846</v>
      </c>
      <c r="AS602">
        <v>1582584000</v>
      </c>
      <c r="AT602" t="s">
        <v>7847</v>
      </c>
      <c r="AU602" t="s">
        <v>10</v>
      </c>
      <c r="AV602" t="s">
        <v>7848</v>
      </c>
      <c r="AW602" t="s">
        <v>7848</v>
      </c>
      <c r="AX602" t="s">
        <v>7849</v>
      </c>
      <c r="AY602" s="2" t="s">
        <v>7850</v>
      </c>
      <c r="BA602" t="s">
        <v>1002</v>
      </c>
      <c r="BB602" t="s">
        <v>187</v>
      </c>
      <c r="BC602" t="s">
        <v>188</v>
      </c>
      <c r="BD602">
        <v>518115</v>
      </c>
      <c r="BE602" t="s">
        <v>7888</v>
      </c>
      <c r="BF602" t="s">
        <v>7851</v>
      </c>
      <c r="BG602" t="b">
        <v>0</v>
      </c>
      <c r="BH602" s="6" t="s">
        <v>7852</v>
      </c>
      <c r="BI602" t="s">
        <v>7853</v>
      </c>
      <c r="BJ602">
        <v>4453163191</v>
      </c>
      <c r="BK602" t="s">
        <v>162</v>
      </c>
      <c r="BL602" t="s">
        <v>161</v>
      </c>
      <c r="BM602" s="2"/>
      <c r="BO602" t="s">
        <v>89</v>
      </c>
      <c r="BP602">
        <v>8409919990</v>
      </c>
      <c r="BR602" t="s">
        <v>189</v>
      </c>
      <c r="BS602" t="s">
        <v>103</v>
      </c>
      <c r="BU602">
        <v>106.75</v>
      </c>
      <c r="BV602">
        <v>291.43</v>
      </c>
      <c r="BW602">
        <v>0</v>
      </c>
      <c r="BX602">
        <v>0</v>
      </c>
      <c r="BY602">
        <v>0</v>
      </c>
      <c r="BZ602">
        <v>0</v>
      </c>
      <c r="CA602">
        <v>398.18</v>
      </c>
      <c r="CF602" s="2"/>
      <c r="CH602" s="2"/>
      <c r="CJ602">
        <v>5.3142020950137901E+17</v>
      </c>
      <c r="CK602" t="s">
        <v>1849</v>
      </c>
      <c r="CL602">
        <v>44045.583749999998</v>
      </c>
      <c r="CO602" t="s">
        <v>11</v>
      </c>
      <c r="CP602">
        <v>2135</v>
      </c>
      <c r="CQ602" t="s">
        <v>11</v>
      </c>
      <c r="CR602">
        <v>2135</v>
      </c>
      <c r="CV602" t="s">
        <v>190</v>
      </c>
      <c r="CW602" t="s">
        <v>12</v>
      </c>
      <c r="CX602" t="s">
        <v>12</v>
      </c>
      <c r="CY602" t="s">
        <v>12</v>
      </c>
      <c r="DA602" t="s">
        <v>104</v>
      </c>
      <c r="DD602" t="s">
        <v>93</v>
      </c>
      <c r="DQ602" t="s">
        <v>94</v>
      </c>
      <c r="DR602" t="s">
        <v>94</v>
      </c>
      <c r="DS602" t="s">
        <v>94</v>
      </c>
      <c r="DT602" t="s">
        <v>94</v>
      </c>
      <c r="DU602" t="s">
        <v>94</v>
      </c>
      <c r="DV602" t="s">
        <v>94</v>
      </c>
      <c r="DW602" t="s">
        <v>94</v>
      </c>
      <c r="DX602" s="2" t="s">
        <v>94</v>
      </c>
      <c r="DY602" t="s">
        <v>94</v>
      </c>
      <c r="DZ602" t="s">
        <v>94</v>
      </c>
      <c r="EA602" t="s">
        <v>94</v>
      </c>
      <c r="EB602" t="s">
        <v>94</v>
      </c>
      <c r="EC602" t="s">
        <v>94</v>
      </c>
      <c r="ED602" t="s">
        <v>94</v>
      </c>
      <c r="EE602" t="s">
        <v>89</v>
      </c>
      <c r="EF602" t="s">
        <v>94</v>
      </c>
      <c r="EG602" t="s">
        <v>7244</v>
      </c>
      <c r="EJ602" t="s">
        <v>166</v>
      </c>
      <c r="EK602" t="b">
        <v>0</v>
      </c>
      <c r="EL602" t="b">
        <v>0</v>
      </c>
      <c r="EM602" t="b">
        <v>0</v>
      </c>
    </row>
    <row r="603" spans="3:143">
      <c r="C603" s="4">
        <v>3</v>
      </c>
      <c r="D603" s="4"/>
      <c r="E603" s="4">
        <v>1</v>
      </c>
      <c r="F603" s="4">
        <v>4</v>
      </c>
      <c r="G603" s="5" t="s">
        <v>7886</v>
      </c>
      <c r="H603" s="4" t="s">
        <v>7889</v>
      </c>
      <c r="I603" s="4" t="s">
        <v>817</v>
      </c>
      <c r="J603" s="5"/>
      <c r="K603" s="22" t="s">
        <v>7854</v>
      </c>
      <c r="L603" s="84" t="s">
        <v>7837</v>
      </c>
      <c r="M603" s="23" t="s">
        <v>817</v>
      </c>
      <c r="N603" s="23">
        <v>44045</v>
      </c>
      <c r="O603" s="24" t="s">
        <v>102</v>
      </c>
      <c r="P603" s="24" t="s">
        <v>181</v>
      </c>
      <c r="Q603" s="24">
        <v>1</v>
      </c>
      <c r="R603" s="24">
        <v>4</v>
      </c>
      <c r="S603" t="s">
        <v>372</v>
      </c>
      <c r="T603">
        <v>71.400000000000006</v>
      </c>
      <c r="U603" s="2" t="s">
        <v>163</v>
      </c>
      <c r="V603">
        <v>44045.804583333331</v>
      </c>
      <c r="W603" s="2" t="s">
        <v>444</v>
      </c>
      <c r="X603">
        <v>44045.821712962963</v>
      </c>
      <c r="AB603" t="s">
        <v>9</v>
      </c>
      <c r="AC603" t="s">
        <v>7855</v>
      </c>
      <c r="AD603" t="s">
        <v>182</v>
      </c>
      <c r="AE603">
        <v>1506773</v>
      </c>
      <c r="AF603">
        <v>1506773</v>
      </c>
      <c r="AG603" t="s">
        <v>183</v>
      </c>
      <c r="AH603" t="s">
        <v>7856</v>
      </c>
      <c r="AI603" t="s">
        <v>7856</v>
      </c>
      <c r="AJ603" t="s">
        <v>184</v>
      </c>
      <c r="AK603" t="s">
        <v>185</v>
      </c>
      <c r="AL603" t="s">
        <v>7857</v>
      </c>
      <c r="AM603" t="s">
        <v>7858</v>
      </c>
      <c r="AO603" t="s">
        <v>7859</v>
      </c>
      <c r="AP603" t="s">
        <v>4014</v>
      </c>
      <c r="AQ603" t="s">
        <v>454</v>
      </c>
      <c r="AR603" t="s">
        <v>7860</v>
      </c>
      <c r="AS603">
        <v>8454597165</v>
      </c>
      <c r="AT603" t="s">
        <v>7861</v>
      </c>
      <c r="AU603" t="s">
        <v>10</v>
      </c>
      <c r="AV603" t="s">
        <v>7862</v>
      </c>
      <c r="AW603" t="s">
        <v>7862</v>
      </c>
      <c r="AX603" t="s">
        <v>7863</v>
      </c>
      <c r="AY603" t="s">
        <v>7864</v>
      </c>
      <c r="AZ603" t="s">
        <v>7865</v>
      </c>
      <c r="BA603" t="s">
        <v>194</v>
      </c>
      <c r="BB603" t="s">
        <v>272</v>
      </c>
      <c r="BC603" t="s">
        <v>188</v>
      </c>
      <c r="BD603">
        <v>518028</v>
      </c>
      <c r="BE603" t="s">
        <v>7866</v>
      </c>
      <c r="BF603" t="s">
        <v>7867</v>
      </c>
      <c r="BG603" t="b">
        <v>0</v>
      </c>
      <c r="BH603" s="6" t="s">
        <v>7868</v>
      </c>
      <c r="BI603" t="s">
        <v>7869</v>
      </c>
      <c r="BJ603">
        <v>4453163191</v>
      </c>
      <c r="BK603" t="s">
        <v>162</v>
      </c>
      <c r="BL603" t="s">
        <v>161</v>
      </c>
      <c r="BM603" s="2"/>
      <c r="BO603" t="s">
        <v>89</v>
      </c>
      <c r="BP603">
        <v>9013803020</v>
      </c>
      <c r="BR603" t="s">
        <v>189</v>
      </c>
      <c r="BS603" t="s">
        <v>103</v>
      </c>
      <c r="BU603">
        <v>0</v>
      </c>
      <c r="BV603">
        <v>85.74</v>
      </c>
      <c r="BW603">
        <v>0</v>
      </c>
      <c r="BX603">
        <v>0</v>
      </c>
      <c r="BY603">
        <v>0</v>
      </c>
      <c r="BZ603">
        <v>0</v>
      </c>
      <c r="CA603">
        <v>85.74</v>
      </c>
      <c r="CF603" s="2"/>
      <c r="CH603" s="2"/>
      <c r="CJ603">
        <v>5.3142020950137901E+17</v>
      </c>
      <c r="CK603" t="s">
        <v>1849</v>
      </c>
      <c r="CL603">
        <v>44045.373935185184</v>
      </c>
      <c r="CO603" t="s">
        <v>11</v>
      </c>
      <c r="CP603">
        <v>628.1</v>
      </c>
      <c r="CQ603" t="s">
        <v>11</v>
      </c>
      <c r="CR603">
        <v>628.1</v>
      </c>
      <c r="CV603" t="s">
        <v>190</v>
      </c>
      <c r="CW603" t="s">
        <v>12</v>
      </c>
      <c r="CX603" t="s">
        <v>12</v>
      </c>
      <c r="CY603" t="s">
        <v>12</v>
      </c>
      <c r="DA603" t="s">
        <v>104</v>
      </c>
      <c r="DD603" t="s">
        <v>93</v>
      </c>
      <c r="DQ603" t="s">
        <v>94</v>
      </c>
      <c r="DR603" t="s">
        <v>94</v>
      </c>
      <c r="DS603" t="s">
        <v>94</v>
      </c>
      <c r="DT603" t="s">
        <v>94</v>
      </c>
      <c r="DU603" t="s">
        <v>94</v>
      </c>
      <c r="DV603" t="s">
        <v>94</v>
      </c>
      <c r="DW603" t="s">
        <v>94</v>
      </c>
      <c r="DX603" s="2" t="s">
        <v>94</v>
      </c>
      <c r="DY603" t="s">
        <v>94</v>
      </c>
      <c r="DZ603" t="s">
        <v>94</v>
      </c>
      <c r="EA603" t="s">
        <v>94</v>
      </c>
      <c r="EB603" t="s">
        <v>94</v>
      </c>
      <c r="EC603" t="s">
        <v>94</v>
      </c>
      <c r="ED603" t="s">
        <v>94</v>
      </c>
      <c r="EE603" t="s">
        <v>89</v>
      </c>
      <c r="EF603" t="s">
        <v>94</v>
      </c>
      <c r="EG603" t="s">
        <v>7244</v>
      </c>
      <c r="EJ603" t="s">
        <v>166</v>
      </c>
      <c r="EK603" t="b">
        <v>0</v>
      </c>
      <c r="EL603" t="b">
        <v>0</v>
      </c>
      <c r="EM603" t="b">
        <v>0</v>
      </c>
    </row>
    <row r="604" spans="3:143" ht="15">
      <c r="C604" s="82">
        <v>23</v>
      </c>
      <c r="D604" s="5"/>
      <c r="E604" s="4">
        <v>1</v>
      </c>
      <c r="F604" s="5">
        <v>0.5</v>
      </c>
      <c r="G604" s="5" t="s">
        <v>7890</v>
      </c>
      <c r="H604" s="4" t="s">
        <v>7891</v>
      </c>
      <c r="I604" s="81" t="s">
        <v>817</v>
      </c>
      <c r="J604" s="21"/>
      <c r="K604" s="22" t="s">
        <v>7870</v>
      </c>
      <c r="L604" s="84" t="s">
        <v>7871</v>
      </c>
      <c r="M604" s="23" t="s">
        <v>817</v>
      </c>
      <c r="N604" s="23">
        <v>44038</v>
      </c>
      <c r="O604" s="24" t="s">
        <v>102</v>
      </c>
      <c r="P604" s="24" t="s">
        <v>179</v>
      </c>
      <c r="Q604" s="24">
        <v>1</v>
      </c>
      <c r="R604" s="24">
        <v>0.5</v>
      </c>
      <c r="S604" t="s">
        <v>528</v>
      </c>
      <c r="T604">
        <v>37</v>
      </c>
      <c r="U604" s="2" t="s">
        <v>163</v>
      </c>
      <c r="V604">
        <v>44038.8</v>
      </c>
      <c r="W604" s="2" t="s">
        <v>444</v>
      </c>
      <c r="X604">
        <v>44038.86</v>
      </c>
      <c r="AB604" t="s">
        <v>9</v>
      </c>
      <c r="AC604" t="s">
        <v>7872</v>
      </c>
      <c r="AD604" t="s">
        <v>182</v>
      </c>
      <c r="AE604">
        <v>820991</v>
      </c>
      <c r="AF604">
        <v>820991</v>
      </c>
      <c r="AG604" t="s">
        <v>183</v>
      </c>
      <c r="AH604" t="s">
        <v>7873</v>
      </c>
      <c r="AI604" t="s">
        <v>7873</v>
      </c>
      <c r="AJ604" t="s">
        <v>2322</v>
      </c>
      <c r="AK604" t="s">
        <v>2323</v>
      </c>
      <c r="AL604" t="s">
        <v>7874</v>
      </c>
      <c r="AM604" t="s">
        <v>7875</v>
      </c>
      <c r="AO604" t="s">
        <v>7876</v>
      </c>
      <c r="AP604" t="s">
        <v>7877</v>
      </c>
      <c r="AQ604" t="s">
        <v>7876</v>
      </c>
      <c r="AR604" t="s">
        <v>7892</v>
      </c>
      <c r="AS604">
        <v>902742662002</v>
      </c>
      <c r="AT604" t="s">
        <v>7878</v>
      </c>
      <c r="AU604" t="s">
        <v>10</v>
      </c>
      <c r="AV604" t="s">
        <v>7879</v>
      </c>
      <c r="AW604" t="s">
        <v>7879</v>
      </c>
      <c r="AX604" t="s">
        <v>7880</v>
      </c>
      <c r="AY604" s="2" t="s">
        <v>7881</v>
      </c>
      <c r="AZ604" t="s">
        <v>7882</v>
      </c>
      <c r="BA604" t="s">
        <v>1678</v>
      </c>
      <c r="BB604" t="s">
        <v>272</v>
      </c>
      <c r="BC604" t="s">
        <v>188</v>
      </c>
      <c r="BD604">
        <v>518001</v>
      </c>
      <c r="BE604" t="s">
        <v>7893</v>
      </c>
      <c r="BF604" t="s">
        <v>7883</v>
      </c>
      <c r="BG604" t="b">
        <v>0</v>
      </c>
      <c r="BH604" s="6" t="s">
        <v>7884</v>
      </c>
      <c r="BI604" t="s">
        <v>7885</v>
      </c>
      <c r="BJ604">
        <v>4453163191</v>
      </c>
      <c r="BK604" t="s">
        <v>162</v>
      </c>
      <c r="BL604" t="s">
        <v>161</v>
      </c>
      <c r="BM604" s="2"/>
      <c r="BO604" t="s">
        <v>89</v>
      </c>
      <c r="BP604">
        <v>69120090</v>
      </c>
      <c r="BR604" t="s">
        <v>180</v>
      </c>
      <c r="BS604" t="s">
        <v>103</v>
      </c>
      <c r="BU604">
        <v>0</v>
      </c>
      <c r="BV604">
        <v>0</v>
      </c>
      <c r="BW604">
        <v>0</v>
      </c>
      <c r="BX604">
        <v>0</v>
      </c>
      <c r="BY604">
        <v>0</v>
      </c>
      <c r="BZ604">
        <v>0</v>
      </c>
      <c r="CA604">
        <v>0</v>
      </c>
      <c r="CF604" s="2"/>
      <c r="CH604" s="2"/>
      <c r="CJ604">
        <v>5.3142020950133402E+17</v>
      </c>
      <c r="CK604" t="s">
        <v>1849</v>
      </c>
      <c r="CL604">
        <v>44038.609479166669</v>
      </c>
      <c r="CO604" t="s">
        <v>11</v>
      </c>
      <c r="CP604">
        <v>295.43</v>
      </c>
      <c r="CQ604" t="s">
        <v>11</v>
      </c>
      <c r="CR604">
        <v>295.43</v>
      </c>
      <c r="CV604" t="s">
        <v>190</v>
      </c>
      <c r="CW604" t="s">
        <v>12</v>
      </c>
      <c r="CX604" t="s">
        <v>12</v>
      </c>
      <c r="CY604" t="s">
        <v>12</v>
      </c>
      <c r="DA604" t="s">
        <v>104</v>
      </c>
      <c r="DD604" t="s">
        <v>93</v>
      </c>
      <c r="DQ604" t="s">
        <v>94</v>
      </c>
      <c r="DR604" t="s">
        <v>94</v>
      </c>
      <c r="DS604" t="s">
        <v>94</v>
      </c>
      <c r="DT604" t="s">
        <v>94</v>
      </c>
      <c r="DU604" t="s">
        <v>94</v>
      </c>
      <c r="DV604" t="s">
        <v>94</v>
      </c>
      <c r="DW604" t="s">
        <v>94</v>
      </c>
      <c r="DX604" s="2" t="s">
        <v>94</v>
      </c>
      <c r="DY604" t="s">
        <v>94</v>
      </c>
      <c r="DZ604" t="s">
        <v>94</v>
      </c>
      <c r="EA604" t="s">
        <v>94</v>
      </c>
      <c r="EB604" t="s">
        <v>94</v>
      </c>
      <c r="EC604" t="s">
        <v>94</v>
      </c>
      <c r="ED604" t="s">
        <v>94</v>
      </c>
      <c r="EE604" t="s">
        <v>89</v>
      </c>
      <c r="EF604" t="s">
        <v>425</v>
      </c>
      <c r="EG604" t="s">
        <v>7244</v>
      </c>
      <c r="EJ604" t="s">
        <v>166</v>
      </c>
      <c r="EK604" t="b">
        <v>0</v>
      </c>
      <c r="EL604" t="b">
        <v>0</v>
      </c>
      <c r="EM604" t="b">
        <v>0</v>
      </c>
    </row>
    <row r="605" spans="3:143" ht="15">
      <c r="C605" s="82">
        <v>3</v>
      </c>
      <c r="D605" s="5"/>
      <c r="E605" s="4">
        <v>3</v>
      </c>
      <c r="F605" s="5">
        <v>20</v>
      </c>
      <c r="G605" s="5" t="s">
        <v>7917</v>
      </c>
      <c r="H605" s="4" t="s">
        <v>7918</v>
      </c>
      <c r="I605" s="81" t="s">
        <v>164</v>
      </c>
      <c r="J605" s="21"/>
      <c r="K605" s="22" t="s">
        <v>7894</v>
      </c>
      <c r="L605" s="84" t="s">
        <v>7895</v>
      </c>
      <c r="M605" s="23" t="s">
        <v>164</v>
      </c>
      <c r="N605" s="23">
        <v>44039</v>
      </c>
      <c r="O605" s="24" t="s">
        <v>102</v>
      </c>
      <c r="P605" s="24" t="s">
        <v>480</v>
      </c>
      <c r="Q605" s="24">
        <v>3</v>
      </c>
      <c r="R605" s="24">
        <v>20</v>
      </c>
      <c r="S605" t="s">
        <v>528</v>
      </c>
      <c r="T605">
        <v>50</v>
      </c>
      <c r="U605" s="2"/>
      <c r="W605" s="2"/>
      <c r="AB605" t="s">
        <v>9</v>
      </c>
      <c r="AC605" t="s">
        <v>818</v>
      </c>
      <c r="AD605" t="s">
        <v>482</v>
      </c>
      <c r="AE605">
        <v>17319</v>
      </c>
      <c r="AF605">
        <v>17319</v>
      </c>
      <c r="AG605" t="s">
        <v>183</v>
      </c>
      <c r="AH605" t="s">
        <v>7896</v>
      </c>
      <c r="AI605" t="s">
        <v>7896</v>
      </c>
      <c r="AJ605" t="s">
        <v>821</v>
      </c>
      <c r="AK605" t="s">
        <v>822</v>
      </c>
      <c r="AL605" t="s">
        <v>7897</v>
      </c>
      <c r="AM605" t="s">
        <v>7898</v>
      </c>
      <c r="AO605" t="s">
        <v>7899</v>
      </c>
      <c r="AP605" t="s">
        <v>825</v>
      </c>
      <c r="AR605">
        <v>3300</v>
      </c>
      <c r="AS605">
        <v>-3216804239</v>
      </c>
      <c r="AT605" t="s">
        <v>7900</v>
      </c>
      <c r="AU605" t="s">
        <v>10</v>
      </c>
      <c r="AV605" t="s">
        <v>7901</v>
      </c>
      <c r="AW605" t="s">
        <v>7901</v>
      </c>
      <c r="AX605" t="s">
        <v>7902</v>
      </c>
      <c r="AY605" s="2" t="s">
        <v>7903</v>
      </c>
      <c r="BA605" t="s">
        <v>5695</v>
      </c>
      <c r="BB605" t="s">
        <v>7904</v>
      </c>
      <c r="BC605" t="s">
        <v>496</v>
      </c>
      <c r="BD605">
        <v>410100</v>
      </c>
      <c r="BE605">
        <v>-8673182928636</v>
      </c>
      <c r="BF605" t="s">
        <v>7905</v>
      </c>
      <c r="BG605" t="b">
        <v>0</v>
      </c>
      <c r="BH605" s="6" t="s">
        <v>7906</v>
      </c>
      <c r="BI605" t="s">
        <v>7907</v>
      </c>
      <c r="BJ605">
        <v>4453163191</v>
      </c>
      <c r="BK605" t="s">
        <v>162</v>
      </c>
      <c r="BL605" t="s">
        <v>161</v>
      </c>
      <c r="BM605" s="2"/>
      <c r="BR605" t="s">
        <v>189</v>
      </c>
      <c r="BS605" t="s">
        <v>103</v>
      </c>
      <c r="BU605">
        <v>0</v>
      </c>
      <c r="BV605">
        <v>0</v>
      </c>
      <c r="BW605">
        <v>0</v>
      </c>
      <c r="BX605">
        <v>0</v>
      </c>
      <c r="BY605">
        <v>0</v>
      </c>
      <c r="BZ605">
        <v>0</v>
      </c>
      <c r="CA605">
        <v>0</v>
      </c>
      <c r="CF605" s="2"/>
      <c r="CH605" s="2"/>
      <c r="CK605" t="s">
        <v>2710</v>
      </c>
      <c r="CL605">
        <v>44039.562777777777</v>
      </c>
      <c r="CO605" t="s">
        <v>11</v>
      </c>
      <c r="CP605">
        <v>399.24</v>
      </c>
      <c r="CQ605" t="s">
        <v>11</v>
      </c>
      <c r="CR605">
        <v>399.24</v>
      </c>
      <c r="CV605" t="s">
        <v>190</v>
      </c>
      <c r="CW605" t="s">
        <v>12</v>
      </c>
      <c r="CX605" t="s">
        <v>12</v>
      </c>
      <c r="CY605" t="s">
        <v>12</v>
      </c>
      <c r="DA605" t="s">
        <v>104</v>
      </c>
      <c r="DD605" t="s">
        <v>93</v>
      </c>
      <c r="DQ605" t="s">
        <v>94</v>
      </c>
      <c r="DR605" t="s">
        <v>94</v>
      </c>
      <c r="DS605" t="s">
        <v>94</v>
      </c>
      <c r="DT605" t="s">
        <v>94</v>
      </c>
      <c r="DU605" t="s">
        <v>94</v>
      </c>
      <c r="DV605" t="s">
        <v>94</v>
      </c>
      <c r="DW605" t="s">
        <v>94</v>
      </c>
      <c r="DX605" s="2" t="s">
        <v>94</v>
      </c>
      <c r="DY605" t="s">
        <v>94</v>
      </c>
      <c r="DZ605" t="s">
        <v>94</v>
      </c>
      <c r="EA605" t="s">
        <v>94</v>
      </c>
      <c r="EB605" t="s">
        <v>94</v>
      </c>
      <c r="EC605" t="s">
        <v>94</v>
      </c>
      <c r="ED605" t="s">
        <v>94</v>
      </c>
      <c r="EE605" t="s">
        <v>89</v>
      </c>
      <c r="EF605" t="s">
        <v>425</v>
      </c>
      <c r="EG605" t="s">
        <v>7244</v>
      </c>
      <c r="EJ605" t="s">
        <v>166</v>
      </c>
      <c r="EK605" t="b">
        <v>0</v>
      </c>
      <c r="EL605" t="b">
        <v>0</v>
      </c>
      <c r="EM605" t="b">
        <v>0</v>
      </c>
    </row>
    <row r="606" spans="3:143" ht="15">
      <c r="C606" s="82">
        <v>424</v>
      </c>
      <c r="D606" s="5"/>
      <c r="E606" s="4">
        <v>1</v>
      </c>
      <c r="F606" s="5">
        <v>15.9</v>
      </c>
      <c r="G606" s="5" t="s">
        <v>7919</v>
      </c>
      <c r="H606" s="4" t="s">
        <v>7920</v>
      </c>
      <c r="I606" s="81" t="s">
        <v>466</v>
      </c>
      <c r="J606" s="21"/>
      <c r="K606" s="22" t="s">
        <v>7908</v>
      </c>
      <c r="L606" s="84" t="s">
        <v>7909</v>
      </c>
      <c r="M606" s="23" t="s">
        <v>409</v>
      </c>
      <c r="N606" s="23">
        <v>44047</v>
      </c>
      <c r="O606" s="24" t="s">
        <v>102</v>
      </c>
      <c r="P606" s="24" t="s">
        <v>181</v>
      </c>
      <c r="Q606" s="24">
        <v>1</v>
      </c>
      <c r="R606" s="24">
        <v>15.9</v>
      </c>
      <c r="S606" t="s">
        <v>11</v>
      </c>
      <c r="T606">
        <v>3000</v>
      </c>
      <c r="U606" s="2" t="s">
        <v>163</v>
      </c>
      <c r="V606">
        <v>44047.879988425928</v>
      </c>
      <c r="W606" s="2" t="s">
        <v>427</v>
      </c>
      <c r="X606">
        <v>44047.903425925928</v>
      </c>
      <c r="AB606" t="s">
        <v>9</v>
      </c>
      <c r="AC606" t="s">
        <v>2530</v>
      </c>
      <c r="AD606" t="s">
        <v>241</v>
      </c>
      <c r="AE606">
        <v>395044</v>
      </c>
      <c r="AF606">
        <v>395044</v>
      </c>
      <c r="AG606" t="s">
        <v>183</v>
      </c>
      <c r="AH606" t="s">
        <v>2531</v>
      </c>
      <c r="AI606" t="s">
        <v>2531</v>
      </c>
      <c r="AJ606" t="s">
        <v>601</v>
      </c>
      <c r="AK606" t="s">
        <v>602</v>
      </c>
      <c r="AL606" t="s">
        <v>2532</v>
      </c>
      <c r="AO606" t="s">
        <v>2533</v>
      </c>
      <c r="AP606" t="s">
        <v>2534</v>
      </c>
      <c r="AQ606" t="s">
        <v>2535</v>
      </c>
      <c r="AR606">
        <v>41012</v>
      </c>
      <c r="AS606">
        <v>59653209</v>
      </c>
      <c r="AT606" t="s">
        <v>2536</v>
      </c>
      <c r="AU606" t="s">
        <v>10</v>
      </c>
      <c r="AV606" t="s">
        <v>7910</v>
      </c>
      <c r="AW606" t="s">
        <v>7910</v>
      </c>
      <c r="AX606" t="s">
        <v>7911</v>
      </c>
      <c r="AY606" s="2" t="s">
        <v>7912</v>
      </c>
      <c r="AZ606" t="s">
        <v>7913</v>
      </c>
      <c r="BA606" t="s">
        <v>4339</v>
      </c>
      <c r="BB606" t="s">
        <v>4340</v>
      </c>
      <c r="BC606" t="s">
        <v>188</v>
      </c>
      <c r="BD606">
        <v>516127</v>
      </c>
      <c r="BE606">
        <v>86075269280390</v>
      </c>
      <c r="BF606" t="s">
        <v>7914</v>
      </c>
      <c r="BG606" t="b">
        <v>0</v>
      </c>
      <c r="BH606" s="6" t="s">
        <v>7915</v>
      </c>
      <c r="BI606" t="s">
        <v>7916</v>
      </c>
      <c r="BJ606">
        <v>4453163191</v>
      </c>
      <c r="BK606" t="s">
        <v>162</v>
      </c>
      <c r="BL606" t="s">
        <v>161</v>
      </c>
      <c r="BM606" s="2"/>
      <c r="BO606" t="s">
        <v>89</v>
      </c>
      <c r="BP606">
        <v>6204320090</v>
      </c>
      <c r="BR606" t="s">
        <v>180</v>
      </c>
      <c r="BS606" t="s">
        <v>103</v>
      </c>
      <c r="BU606">
        <v>180</v>
      </c>
      <c r="BV606">
        <v>413.4</v>
      </c>
      <c r="BW606">
        <v>0</v>
      </c>
      <c r="BX606">
        <v>0</v>
      </c>
      <c r="BY606">
        <v>0</v>
      </c>
      <c r="BZ606">
        <v>0</v>
      </c>
      <c r="CA606">
        <v>593.4</v>
      </c>
      <c r="CB606" t="s">
        <v>444</v>
      </c>
      <c r="CF606" s="2"/>
      <c r="CH606" s="2"/>
      <c r="CJ606">
        <v>5.3142020950139002E+17</v>
      </c>
      <c r="CK606" t="s">
        <v>2261</v>
      </c>
      <c r="CL606">
        <v>44047.378703703704</v>
      </c>
      <c r="CO606" t="s">
        <v>11</v>
      </c>
      <c r="CP606">
        <v>3000</v>
      </c>
      <c r="CQ606" t="s">
        <v>11</v>
      </c>
      <c r="CR606">
        <v>3000</v>
      </c>
      <c r="CV606" t="s">
        <v>190</v>
      </c>
      <c r="CW606" t="s">
        <v>12</v>
      </c>
      <c r="CX606" t="s">
        <v>12</v>
      </c>
      <c r="CY606" t="s">
        <v>12</v>
      </c>
      <c r="DA606" t="s">
        <v>104</v>
      </c>
      <c r="DD606" t="s">
        <v>93</v>
      </c>
      <c r="DQ606" t="s">
        <v>94</v>
      </c>
      <c r="DR606" t="s">
        <v>94</v>
      </c>
      <c r="DS606" t="s">
        <v>94</v>
      </c>
      <c r="DT606" t="s">
        <v>94</v>
      </c>
      <c r="DU606" t="s">
        <v>94</v>
      </c>
      <c r="DV606" t="s">
        <v>94</v>
      </c>
      <c r="DW606" t="s">
        <v>94</v>
      </c>
      <c r="DX606" s="2" t="s">
        <v>94</v>
      </c>
      <c r="DY606" t="s">
        <v>94</v>
      </c>
      <c r="DZ606" t="s">
        <v>94</v>
      </c>
      <c r="EA606" t="s">
        <v>94</v>
      </c>
      <c r="EB606" t="s">
        <v>94</v>
      </c>
      <c r="EC606" t="s">
        <v>94</v>
      </c>
      <c r="ED606" t="s">
        <v>94</v>
      </c>
      <c r="EE606" t="s">
        <v>89</v>
      </c>
      <c r="EF606" t="s">
        <v>94</v>
      </c>
      <c r="EG606" t="s">
        <v>7244</v>
      </c>
      <c r="EJ606" t="s">
        <v>166</v>
      </c>
      <c r="EK606" t="b">
        <v>0</v>
      </c>
      <c r="EL606" t="b">
        <v>0</v>
      </c>
      <c r="EM606" t="b">
        <v>0</v>
      </c>
    </row>
    <row r="607" spans="3:143" ht="15">
      <c r="C607" s="82">
        <v>3</v>
      </c>
      <c r="D607" s="5"/>
      <c r="E607" s="4">
        <v>6</v>
      </c>
      <c r="F607" s="5">
        <v>33.299999999999997</v>
      </c>
      <c r="G607" s="5" t="s">
        <v>7940</v>
      </c>
      <c r="H607" s="4" t="s">
        <v>7941</v>
      </c>
      <c r="I607" s="81" t="s">
        <v>466</v>
      </c>
      <c r="J607" s="21"/>
      <c r="K607" s="22" t="s">
        <v>7921</v>
      </c>
      <c r="L607" s="84" t="s">
        <v>7922</v>
      </c>
      <c r="M607" s="23" t="s">
        <v>466</v>
      </c>
      <c r="N607" s="23">
        <v>44050</v>
      </c>
      <c r="O607" s="24" t="s">
        <v>102</v>
      </c>
      <c r="P607" s="24" t="s">
        <v>181</v>
      </c>
      <c r="Q607" s="24">
        <v>6</v>
      </c>
      <c r="R607" s="24">
        <v>33.299999999999997</v>
      </c>
      <c r="S607" t="s">
        <v>7923</v>
      </c>
      <c r="T607">
        <v>19600</v>
      </c>
      <c r="U607" s="2" t="s">
        <v>163</v>
      </c>
      <c r="V607">
        <v>44050.808831018519</v>
      </c>
      <c r="W607" s="2" t="s">
        <v>427</v>
      </c>
      <c r="X607">
        <v>44050.818171296298</v>
      </c>
      <c r="AB607" t="s">
        <v>9</v>
      </c>
      <c r="AC607" t="s">
        <v>7924</v>
      </c>
      <c r="AD607" t="s">
        <v>209</v>
      </c>
      <c r="AE607">
        <v>9000071</v>
      </c>
      <c r="AF607">
        <v>9000071</v>
      </c>
      <c r="AG607" t="s">
        <v>183</v>
      </c>
      <c r="AH607" t="s">
        <v>7925</v>
      </c>
      <c r="AI607" t="s">
        <v>7925</v>
      </c>
      <c r="AJ607" t="s">
        <v>211</v>
      </c>
      <c r="AK607" t="s">
        <v>212</v>
      </c>
      <c r="AL607" t="s">
        <v>7926</v>
      </c>
      <c r="AM607" t="s">
        <v>7927</v>
      </c>
      <c r="AO607" t="s">
        <v>7928</v>
      </c>
      <c r="AP607" t="s">
        <v>7929</v>
      </c>
      <c r="AQ607" t="s">
        <v>3544</v>
      </c>
      <c r="AR607">
        <v>602105</v>
      </c>
      <c r="AS607">
        <v>8939850812</v>
      </c>
      <c r="AT607" t="s">
        <v>7930</v>
      </c>
      <c r="AU607" t="s">
        <v>10</v>
      </c>
      <c r="AV607" t="s">
        <v>7931</v>
      </c>
      <c r="AW607" t="s">
        <v>7931</v>
      </c>
      <c r="AX607" t="s">
        <v>7932</v>
      </c>
      <c r="AY607" s="2" t="s">
        <v>7933</v>
      </c>
      <c r="BA607" t="s">
        <v>520</v>
      </c>
      <c r="BB607" t="s">
        <v>223</v>
      </c>
      <c r="BC607" t="s">
        <v>188</v>
      </c>
      <c r="BD607">
        <v>510663</v>
      </c>
      <c r="BE607">
        <v>-8618818855330</v>
      </c>
      <c r="BF607" t="s">
        <v>7934</v>
      </c>
      <c r="BG607" t="b">
        <v>0</v>
      </c>
      <c r="BH607" s="6" t="s">
        <v>7935</v>
      </c>
      <c r="BI607" t="s">
        <v>7936</v>
      </c>
      <c r="BJ607">
        <v>4453163191</v>
      </c>
      <c r="BK607" t="s">
        <v>162</v>
      </c>
      <c r="BL607" t="s">
        <v>161</v>
      </c>
      <c r="BM607" s="2"/>
      <c r="BO607" t="s">
        <v>89</v>
      </c>
      <c r="BP607">
        <v>87089190</v>
      </c>
      <c r="BR607" t="s">
        <v>180</v>
      </c>
      <c r="BS607" t="s">
        <v>103</v>
      </c>
      <c r="BU607">
        <v>109.53</v>
      </c>
      <c r="BV607">
        <v>251.55</v>
      </c>
      <c r="BW607">
        <v>0</v>
      </c>
      <c r="BX607">
        <v>0</v>
      </c>
      <c r="BY607">
        <v>0</v>
      </c>
      <c r="BZ607">
        <v>0</v>
      </c>
      <c r="CA607">
        <v>361.08</v>
      </c>
      <c r="CB607" t="s">
        <v>7937</v>
      </c>
      <c r="CF607" s="2"/>
      <c r="CH607" s="2"/>
      <c r="CJ607">
        <v>5.3142020950141402E+17</v>
      </c>
      <c r="CK607" t="s">
        <v>4402</v>
      </c>
      <c r="CL607">
        <v>44050.380335648151</v>
      </c>
      <c r="CO607" t="s">
        <v>11</v>
      </c>
      <c r="CP607">
        <v>1825.49</v>
      </c>
      <c r="CQ607" t="s">
        <v>11</v>
      </c>
      <c r="CR607">
        <v>1825.49</v>
      </c>
      <c r="CV607" t="s">
        <v>190</v>
      </c>
      <c r="CW607" t="s">
        <v>12</v>
      </c>
      <c r="CX607" t="s">
        <v>12</v>
      </c>
      <c r="CY607" t="s">
        <v>12</v>
      </c>
      <c r="DA607" t="s">
        <v>104</v>
      </c>
      <c r="DD607" t="s">
        <v>93</v>
      </c>
      <c r="DQ607" t="s">
        <v>94</v>
      </c>
      <c r="DR607" t="s">
        <v>94</v>
      </c>
      <c r="DS607" t="s">
        <v>94</v>
      </c>
      <c r="DT607" t="s">
        <v>94</v>
      </c>
      <c r="DU607" t="s">
        <v>94</v>
      </c>
      <c r="DV607" t="s">
        <v>94</v>
      </c>
      <c r="DW607" t="s">
        <v>94</v>
      </c>
      <c r="DX607" s="2" t="s">
        <v>94</v>
      </c>
      <c r="DY607" t="s">
        <v>94</v>
      </c>
      <c r="DZ607" t="s">
        <v>94</v>
      </c>
      <c r="EA607" t="s">
        <v>94</v>
      </c>
      <c r="EB607" t="s">
        <v>94</v>
      </c>
      <c r="EC607" t="s">
        <v>94</v>
      </c>
      <c r="ED607" t="s">
        <v>94</v>
      </c>
      <c r="EE607" t="s">
        <v>89</v>
      </c>
      <c r="EF607" t="s">
        <v>94</v>
      </c>
      <c r="EG607" t="s">
        <v>7244</v>
      </c>
      <c r="EJ607" t="s">
        <v>166</v>
      </c>
      <c r="EK607" t="b">
        <v>0</v>
      </c>
      <c r="EL607" t="b">
        <v>0</v>
      </c>
      <c r="EM607" t="b">
        <v>0</v>
      </c>
    </row>
    <row r="608" spans="3:143">
      <c r="C608" s="4">
        <v>3</v>
      </c>
      <c r="D608" s="4"/>
      <c r="E608" s="4">
        <v>4</v>
      </c>
      <c r="F608" s="4">
        <v>23.8</v>
      </c>
      <c r="G608" s="5" t="s">
        <v>7940</v>
      </c>
      <c r="H608" s="4" t="s">
        <v>7942</v>
      </c>
      <c r="I608" s="4" t="s">
        <v>466</v>
      </c>
      <c r="J608" s="5"/>
      <c r="K608" s="22" t="s">
        <v>7938</v>
      </c>
      <c r="L608" s="84" t="s">
        <v>7922</v>
      </c>
      <c r="M608" s="23" t="s">
        <v>466</v>
      </c>
      <c r="N608" s="23">
        <v>44050</v>
      </c>
      <c r="O608" s="24" t="s">
        <v>102</v>
      </c>
      <c r="P608" s="24" t="s">
        <v>181</v>
      </c>
      <c r="Q608" s="24">
        <v>4</v>
      </c>
      <c r="R608" s="24">
        <v>23.8</v>
      </c>
      <c r="S608" t="s">
        <v>7923</v>
      </c>
      <c r="T608">
        <v>14400</v>
      </c>
      <c r="U608" s="2" t="s">
        <v>163</v>
      </c>
      <c r="V608">
        <v>44050.808819444443</v>
      </c>
      <c r="W608" s="2" t="s">
        <v>427</v>
      </c>
      <c r="X608">
        <v>44050.818171296298</v>
      </c>
      <c r="AB608" t="s">
        <v>9</v>
      </c>
      <c r="AC608" t="s">
        <v>7924</v>
      </c>
      <c r="AD608" t="s">
        <v>209</v>
      </c>
      <c r="AE608">
        <v>9000071</v>
      </c>
      <c r="AF608">
        <v>9000071</v>
      </c>
      <c r="AG608" t="s">
        <v>183</v>
      </c>
      <c r="AH608" t="s">
        <v>7925</v>
      </c>
      <c r="AI608" t="s">
        <v>7925</v>
      </c>
      <c r="AJ608" t="s">
        <v>211</v>
      </c>
      <c r="AK608" t="s">
        <v>212</v>
      </c>
      <c r="AL608" t="s">
        <v>7926</v>
      </c>
      <c r="AM608" t="s">
        <v>7927</v>
      </c>
      <c r="AO608" t="s">
        <v>7928</v>
      </c>
      <c r="AP608" t="s">
        <v>7929</v>
      </c>
      <c r="AQ608" t="s">
        <v>3544</v>
      </c>
      <c r="AR608">
        <v>602105</v>
      </c>
      <c r="AS608">
        <v>8939850812</v>
      </c>
      <c r="AT608" t="s">
        <v>7930</v>
      </c>
      <c r="AU608" t="s">
        <v>10</v>
      </c>
      <c r="AV608" t="s">
        <v>7931</v>
      </c>
      <c r="AW608" t="s">
        <v>7931</v>
      </c>
      <c r="AX608" t="s">
        <v>7932</v>
      </c>
      <c r="AY608" t="s">
        <v>7933</v>
      </c>
      <c r="BA608" t="s">
        <v>520</v>
      </c>
      <c r="BB608" t="s">
        <v>223</v>
      </c>
      <c r="BC608" t="s">
        <v>188</v>
      </c>
      <c r="BD608">
        <v>510663</v>
      </c>
      <c r="BE608">
        <v>-8618818855330</v>
      </c>
      <c r="BF608" t="s">
        <v>7934</v>
      </c>
      <c r="BG608" t="b">
        <v>0</v>
      </c>
      <c r="BH608" s="6" t="s">
        <v>7935</v>
      </c>
      <c r="BI608" t="s">
        <v>7939</v>
      </c>
      <c r="BJ608">
        <v>4453163191</v>
      </c>
      <c r="BK608" t="s">
        <v>162</v>
      </c>
      <c r="BL608" t="s">
        <v>161</v>
      </c>
      <c r="BM608" s="2"/>
      <c r="BO608" t="s">
        <v>89</v>
      </c>
      <c r="BP608">
        <v>87089190</v>
      </c>
      <c r="BR608" t="s">
        <v>180</v>
      </c>
      <c r="BS608" t="s">
        <v>103</v>
      </c>
      <c r="BU608">
        <v>80.47</v>
      </c>
      <c r="BV608">
        <v>184.81</v>
      </c>
      <c r="BW608">
        <v>0</v>
      </c>
      <c r="BX608">
        <v>0</v>
      </c>
      <c r="BY608">
        <v>0</v>
      </c>
      <c r="BZ608">
        <v>0</v>
      </c>
      <c r="CA608">
        <v>265.27999999999997</v>
      </c>
      <c r="CB608" t="s">
        <v>7937</v>
      </c>
      <c r="CF608" s="2"/>
      <c r="CH608" s="2"/>
      <c r="CJ608">
        <v>5.3142020950141402E+17</v>
      </c>
      <c r="CK608" t="s">
        <v>4402</v>
      </c>
      <c r="CL608">
        <v>44050.380347222221</v>
      </c>
      <c r="CO608" t="s">
        <v>11</v>
      </c>
      <c r="CP608">
        <v>1341.17</v>
      </c>
      <c r="CQ608" t="s">
        <v>11</v>
      </c>
      <c r="CR608">
        <v>1341.17</v>
      </c>
      <c r="CV608" t="s">
        <v>190</v>
      </c>
      <c r="CW608" t="s">
        <v>12</v>
      </c>
      <c r="CX608" t="s">
        <v>12</v>
      </c>
      <c r="CY608" t="s">
        <v>12</v>
      </c>
      <c r="DA608" t="s">
        <v>104</v>
      </c>
      <c r="DD608" t="s">
        <v>93</v>
      </c>
      <c r="DQ608" t="s">
        <v>94</v>
      </c>
      <c r="DR608" t="s">
        <v>94</v>
      </c>
      <c r="DS608" t="s">
        <v>94</v>
      </c>
      <c r="DT608" t="s">
        <v>94</v>
      </c>
      <c r="DU608" t="s">
        <v>94</v>
      </c>
      <c r="DV608" t="s">
        <v>94</v>
      </c>
      <c r="DW608" t="s">
        <v>94</v>
      </c>
      <c r="DX608" s="2" t="s">
        <v>94</v>
      </c>
      <c r="DY608" t="s">
        <v>94</v>
      </c>
      <c r="DZ608" t="s">
        <v>94</v>
      </c>
      <c r="EA608" t="s">
        <v>94</v>
      </c>
      <c r="EB608" t="s">
        <v>94</v>
      </c>
      <c r="EC608" t="s">
        <v>94</v>
      </c>
      <c r="ED608" t="s">
        <v>94</v>
      </c>
      <c r="EE608" t="s">
        <v>89</v>
      </c>
      <c r="EF608" t="s">
        <v>94</v>
      </c>
      <c r="EG608" t="s">
        <v>7244</v>
      </c>
      <c r="EJ608" t="s">
        <v>166</v>
      </c>
      <c r="EK608" t="b">
        <v>0</v>
      </c>
      <c r="EL608" t="b">
        <v>0</v>
      </c>
      <c r="EM608" t="b">
        <v>0</v>
      </c>
    </row>
    <row r="609" spans="3:143" ht="15">
      <c r="C609" s="82">
        <v>23</v>
      </c>
      <c r="D609" s="5"/>
      <c r="E609" s="4">
        <v>1</v>
      </c>
      <c r="F609" s="5">
        <v>25.98</v>
      </c>
      <c r="G609" s="5" t="s">
        <v>7961</v>
      </c>
      <c r="H609" s="4" t="s">
        <v>7962</v>
      </c>
      <c r="I609" s="81" t="s">
        <v>920</v>
      </c>
      <c r="J609" s="21"/>
      <c r="K609" s="22" t="s">
        <v>7943</v>
      </c>
      <c r="L609" s="84" t="s">
        <v>7944</v>
      </c>
      <c r="M609" s="23" t="s">
        <v>920</v>
      </c>
      <c r="N609" s="23">
        <v>44059</v>
      </c>
      <c r="O609" s="24" t="s">
        <v>102</v>
      </c>
      <c r="P609" s="24" t="s">
        <v>181</v>
      </c>
      <c r="Q609" s="24">
        <v>1</v>
      </c>
      <c r="R609" s="24">
        <v>25.98</v>
      </c>
      <c r="S609" t="s">
        <v>11</v>
      </c>
      <c r="T609">
        <v>1200</v>
      </c>
      <c r="U609" s="2" t="s">
        <v>163</v>
      </c>
      <c r="V609">
        <v>44059.432881944442</v>
      </c>
      <c r="W609" s="2" t="s">
        <v>444</v>
      </c>
      <c r="X609">
        <v>44059.454236111109</v>
      </c>
      <c r="AB609" t="s">
        <v>9</v>
      </c>
      <c r="AC609" t="s">
        <v>7945</v>
      </c>
      <c r="AD609" t="s">
        <v>182</v>
      </c>
      <c r="AE609">
        <v>61272</v>
      </c>
      <c r="AF609">
        <v>61272</v>
      </c>
      <c r="AG609" t="s">
        <v>183</v>
      </c>
      <c r="AH609" t="s">
        <v>7946</v>
      </c>
      <c r="AI609" t="s">
        <v>7946</v>
      </c>
      <c r="AJ609" t="s">
        <v>863</v>
      </c>
      <c r="AK609" t="s">
        <v>864</v>
      </c>
      <c r="AL609" t="s">
        <v>7947</v>
      </c>
      <c r="AM609" t="s">
        <v>7948</v>
      </c>
      <c r="AN609" t="s">
        <v>7949</v>
      </c>
      <c r="AO609" t="s">
        <v>7950</v>
      </c>
      <c r="AP609" t="s">
        <v>7951</v>
      </c>
      <c r="AQ609" t="s">
        <v>7952</v>
      </c>
      <c r="AR609">
        <v>415500</v>
      </c>
      <c r="AS609">
        <v>741019571</v>
      </c>
      <c r="AT609" t="s">
        <v>7953</v>
      </c>
      <c r="AU609" t="s">
        <v>10</v>
      </c>
      <c r="AV609" t="s">
        <v>7954</v>
      </c>
      <c r="AW609" t="s">
        <v>7954</v>
      </c>
      <c r="AX609" t="s">
        <v>7955</v>
      </c>
      <c r="AY609" s="2" t="s">
        <v>7956</v>
      </c>
      <c r="AZ609" t="s">
        <v>7957</v>
      </c>
      <c r="BA609" t="s">
        <v>186</v>
      </c>
      <c r="BB609" t="s">
        <v>187</v>
      </c>
      <c r="BC609" t="s">
        <v>188</v>
      </c>
      <c r="BD609">
        <v>518103</v>
      </c>
      <c r="BE609">
        <v>-86075585241121</v>
      </c>
      <c r="BF609" t="s">
        <v>7958</v>
      </c>
      <c r="BG609" t="b">
        <v>0</v>
      </c>
      <c r="BH609" s="6" t="s">
        <v>7959</v>
      </c>
      <c r="BI609" t="s">
        <v>7960</v>
      </c>
      <c r="BJ609">
        <v>4453163191</v>
      </c>
      <c r="BK609" t="s">
        <v>162</v>
      </c>
      <c r="BL609" t="s">
        <v>161</v>
      </c>
      <c r="BM609" s="2"/>
      <c r="BO609" t="s">
        <v>89</v>
      </c>
      <c r="BP609">
        <v>39022000</v>
      </c>
      <c r="BR609" t="s">
        <v>189</v>
      </c>
      <c r="BS609" t="s">
        <v>103</v>
      </c>
      <c r="BU609">
        <v>78</v>
      </c>
      <c r="BV609">
        <v>166.14</v>
      </c>
      <c r="BW609">
        <v>0</v>
      </c>
      <c r="BX609">
        <v>0</v>
      </c>
      <c r="BY609">
        <v>0</v>
      </c>
      <c r="BZ609">
        <v>0</v>
      </c>
      <c r="CA609">
        <v>244.14</v>
      </c>
      <c r="CF609" s="2"/>
      <c r="CH609" s="2"/>
      <c r="CJ609">
        <v>5.3142020950147002E+17</v>
      </c>
      <c r="CK609" t="s">
        <v>2648</v>
      </c>
      <c r="CL609">
        <v>44058.395358796297</v>
      </c>
      <c r="CO609" t="s">
        <v>11</v>
      </c>
      <c r="CP609">
        <v>1200</v>
      </c>
      <c r="CQ609" t="s">
        <v>11</v>
      </c>
      <c r="CR609">
        <v>1200</v>
      </c>
      <c r="CV609" t="s">
        <v>190</v>
      </c>
      <c r="CW609" t="s">
        <v>12</v>
      </c>
      <c r="CX609" t="s">
        <v>12</v>
      </c>
      <c r="CY609" t="s">
        <v>12</v>
      </c>
      <c r="DA609" t="s">
        <v>104</v>
      </c>
      <c r="DD609" t="s">
        <v>93</v>
      </c>
      <c r="DQ609" t="s">
        <v>94</v>
      </c>
      <c r="DR609" t="s">
        <v>94</v>
      </c>
      <c r="DS609" t="s">
        <v>94</v>
      </c>
      <c r="DT609" t="s">
        <v>94</v>
      </c>
      <c r="DU609" t="s">
        <v>94</v>
      </c>
      <c r="DV609" t="s">
        <v>94</v>
      </c>
      <c r="DW609" t="s">
        <v>94</v>
      </c>
      <c r="DX609" s="2" t="s">
        <v>94</v>
      </c>
      <c r="DY609" t="s">
        <v>94</v>
      </c>
      <c r="DZ609" t="s">
        <v>94</v>
      </c>
      <c r="EA609" t="s">
        <v>94</v>
      </c>
      <c r="EB609" t="s">
        <v>94</v>
      </c>
      <c r="EC609" t="s">
        <v>94</v>
      </c>
      <c r="ED609" t="s">
        <v>94</v>
      </c>
      <c r="EE609" t="s">
        <v>89</v>
      </c>
      <c r="EF609" t="s">
        <v>425</v>
      </c>
      <c r="EG609" t="s">
        <v>7244</v>
      </c>
      <c r="EJ609" t="s">
        <v>166</v>
      </c>
      <c r="EK609" t="b">
        <v>0</v>
      </c>
      <c r="EL609" t="b">
        <v>0</v>
      </c>
      <c r="EM609" t="b">
        <v>0</v>
      </c>
    </row>
    <row r="610" spans="3:143" ht="15">
      <c r="C610" s="82">
        <v>12132</v>
      </c>
      <c r="D610" s="5"/>
      <c r="E610" s="4">
        <v>1</v>
      </c>
      <c r="F610" s="5">
        <v>3.8</v>
      </c>
      <c r="G610" s="5" t="s">
        <v>7974</v>
      </c>
      <c r="H610" s="4" t="s">
        <v>7975</v>
      </c>
      <c r="I610" s="81" t="s">
        <v>920</v>
      </c>
      <c r="J610" s="21"/>
      <c r="K610" s="22" t="s">
        <v>7963</v>
      </c>
      <c r="L610" s="84" t="s">
        <v>7944</v>
      </c>
      <c r="M610" s="23" t="s">
        <v>920</v>
      </c>
      <c r="N610" s="23">
        <v>44059</v>
      </c>
      <c r="O610" s="24" t="s">
        <v>102</v>
      </c>
      <c r="P610" s="24" t="s">
        <v>181</v>
      </c>
      <c r="Q610" s="24">
        <v>1</v>
      </c>
      <c r="R610" s="24">
        <v>3.8</v>
      </c>
      <c r="S610" t="s">
        <v>319</v>
      </c>
      <c r="T610">
        <v>80</v>
      </c>
      <c r="U610" s="2" t="s">
        <v>163</v>
      </c>
      <c r="V610">
        <v>44059.432847222219</v>
      </c>
      <c r="W610" s="2" t="s">
        <v>444</v>
      </c>
      <c r="X610">
        <v>44059.439085648148</v>
      </c>
      <c r="AB610" t="s">
        <v>9</v>
      </c>
      <c r="AC610" t="s">
        <v>7527</v>
      </c>
      <c r="AD610" t="s">
        <v>819</v>
      </c>
      <c r="AE610" t="s">
        <v>183</v>
      </c>
      <c r="AF610" t="s">
        <v>183</v>
      </c>
      <c r="AG610">
        <v>29311</v>
      </c>
      <c r="AH610" t="s">
        <v>7964</v>
      </c>
      <c r="AI610" t="s">
        <v>7964</v>
      </c>
      <c r="AJ610" t="s">
        <v>601</v>
      </c>
      <c r="AK610" t="s">
        <v>602</v>
      </c>
      <c r="AL610" t="s">
        <v>7965</v>
      </c>
      <c r="AO610" t="s">
        <v>7966</v>
      </c>
      <c r="AP610" t="s">
        <v>4138</v>
      </c>
      <c r="AR610">
        <v>40</v>
      </c>
      <c r="AS610">
        <v>0</v>
      </c>
      <c r="AU610" t="s">
        <v>10</v>
      </c>
      <c r="AV610" t="s">
        <v>7967</v>
      </c>
      <c r="AW610" t="s">
        <v>7967</v>
      </c>
      <c r="AX610" t="s">
        <v>7968</v>
      </c>
      <c r="AY610" s="2" t="s">
        <v>7969</v>
      </c>
      <c r="BA610" t="s">
        <v>1561</v>
      </c>
      <c r="BB610" t="s">
        <v>832</v>
      </c>
      <c r="BC610" t="s">
        <v>188</v>
      </c>
      <c r="BD610">
        <v>519015</v>
      </c>
      <c r="BE610">
        <v>13258842546</v>
      </c>
      <c r="BF610" t="s">
        <v>7970</v>
      </c>
      <c r="BG610" t="b">
        <v>0</v>
      </c>
      <c r="BH610" s="6" t="s">
        <v>7971</v>
      </c>
      <c r="BI610" t="s">
        <v>7973</v>
      </c>
      <c r="BJ610">
        <v>4453163191</v>
      </c>
      <c r="BK610" t="s">
        <v>162</v>
      </c>
      <c r="BL610" t="s">
        <v>161</v>
      </c>
      <c r="BM610" s="2"/>
      <c r="BN610" t="s">
        <v>7972</v>
      </c>
      <c r="BO610" t="s">
        <v>89</v>
      </c>
      <c r="BP610">
        <v>8521909090</v>
      </c>
      <c r="BR610" t="s">
        <v>180</v>
      </c>
      <c r="BS610" t="s">
        <v>103</v>
      </c>
      <c r="BU610">
        <v>0</v>
      </c>
      <c r="BV610">
        <v>72.78</v>
      </c>
      <c r="BW610">
        <v>0</v>
      </c>
      <c r="BX610">
        <v>0</v>
      </c>
      <c r="BY610">
        <v>0</v>
      </c>
      <c r="BZ610">
        <v>0</v>
      </c>
      <c r="CA610">
        <v>72.78</v>
      </c>
      <c r="CF610" s="2"/>
      <c r="CH610" s="2"/>
      <c r="CJ610">
        <v>5.3142020950146899E+17</v>
      </c>
      <c r="CK610" t="s">
        <v>2648</v>
      </c>
      <c r="CL610">
        <v>44058.398032407407</v>
      </c>
      <c r="CO610" t="s">
        <v>11</v>
      </c>
      <c r="CP610">
        <v>559.86</v>
      </c>
      <c r="CQ610" t="s">
        <v>11</v>
      </c>
      <c r="CR610">
        <v>559.86</v>
      </c>
      <c r="CV610" t="s">
        <v>525</v>
      </c>
      <c r="CW610" t="s">
        <v>12</v>
      </c>
      <c r="CX610" t="s">
        <v>12</v>
      </c>
      <c r="CY610" t="s">
        <v>12</v>
      </c>
      <c r="DA610" t="s">
        <v>104</v>
      </c>
      <c r="DD610" t="s">
        <v>93</v>
      </c>
      <c r="DQ610" t="s">
        <v>94</v>
      </c>
      <c r="DR610" t="s">
        <v>94</v>
      </c>
      <c r="DS610" t="s">
        <v>94</v>
      </c>
      <c r="DT610" t="s">
        <v>94</v>
      </c>
      <c r="DU610" t="s">
        <v>94</v>
      </c>
      <c r="DV610" t="s">
        <v>94</v>
      </c>
      <c r="DW610" t="s">
        <v>94</v>
      </c>
      <c r="DX610" s="2" t="s">
        <v>94</v>
      </c>
      <c r="DY610" t="s">
        <v>94</v>
      </c>
      <c r="DZ610" t="s">
        <v>94</v>
      </c>
      <c r="EA610" t="s">
        <v>94</v>
      </c>
      <c r="EB610" t="s">
        <v>94</v>
      </c>
      <c r="EC610" t="s">
        <v>94</v>
      </c>
      <c r="ED610" t="s">
        <v>94</v>
      </c>
      <c r="EE610" t="s">
        <v>89</v>
      </c>
      <c r="EF610" t="s">
        <v>94</v>
      </c>
      <c r="EG610" t="s">
        <v>543</v>
      </c>
      <c r="EJ610" t="s">
        <v>166</v>
      </c>
      <c r="EK610" t="b">
        <v>0</v>
      </c>
      <c r="EL610" t="b">
        <v>0</v>
      </c>
      <c r="EM610" t="b">
        <v>0</v>
      </c>
    </row>
    <row r="611" spans="3:143" ht="15">
      <c r="C611" s="82">
        <v>23</v>
      </c>
      <c r="D611" s="5"/>
      <c r="E611" s="4">
        <v>3</v>
      </c>
      <c r="F611" s="5">
        <v>46.85</v>
      </c>
      <c r="G611" s="5" t="s">
        <v>8008</v>
      </c>
      <c r="H611" s="4" t="s">
        <v>2391</v>
      </c>
      <c r="I611" s="81" t="s">
        <v>817</v>
      </c>
      <c r="J611" s="21"/>
      <c r="K611" s="22" t="s">
        <v>7976</v>
      </c>
      <c r="L611" s="84" t="s">
        <v>7977</v>
      </c>
      <c r="M611" s="23" t="s">
        <v>817</v>
      </c>
      <c r="N611" s="23">
        <v>44024</v>
      </c>
      <c r="O611" s="24" t="s">
        <v>102</v>
      </c>
      <c r="P611" s="24" t="s">
        <v>480</v>
      </c>
      <c r="Q611" s="24">
        <v>3</v>
      </c>
      <c r="R611" s="24">
        <v>46.85</v>
      </c>
      <c r="S611" t="s">
        <v>319</v>
      </c>
      <c r="T611">
        <v>250</v>
      </c>
      <c r="U611" s="2"/>
      <c r="W611" s="2"/>
      <c r="AB611" t="s">
        <v>9</v>
      </c>
      <c r="AC611" t="s">
        <v>2909</v>
      </c>
      <c r="AD611" t="s">
        <v>182</v>
      </c>
      <c r="AE611">
        <v>558532</v>
      </c>
      <c r="AF611">
        <v>558532</v>
      </c>
      <c r="AG611" t="s">
        <v>8009</v>
      </c>
      <c r="AH611" t="s">
        <v>7978</v>
      </c>
      <c r="AI611" t="s">
        <v>7978</v>
      </c>
      <c r="AJ611" t="s">
        <v>2786</v>
      </c>
      <c r="AK611" t="s">
        <v>2787</v>
      </c>
      <c r="AL611" t="s">
        <v>7979</v>
      </c>
      <c r="AM611" t="s">
        <v>7980</v>
      </c>
      <c r="AN611" t="s">
        <v>7981</v>
      </c>
      <c r="AO611" t="s">
        <v>7982</v>
      </c>
      <c r="AP611" t="s">
        <v>2914</v>
      </c>
      <c r="AQ611" t="s">
        <v>2792</v>
      </c>
      <c r="AR611">
        <v>15847</v>
      </c>
      <c r="AS611">
        <v>-82314549327</v>
      </c>
      <c r="AT611" t="s">
        <v>7983</v>
      </c>
      <c r="AU611" t="s">
        <v>10</v>
      </c>
      <c r="AV611" t="s">
        <v>7984</v>
      </c>
      <c r="AW611" t="s">
        <v>7984</v>
      </c>
      <c r="AX611" t="s">
        <v>7985</v>
      </c>
      <c r="AY611" s="2" t="s">
        <v>7986</v>
      </c>
      <c r="AZ611" t="s">
        <v>7987</v>
      </c>
      <c r="BA611" t="s">
        <v>194</v>
      </c>
      <c r="BB611" t="s">
        <v>272</v>
      </c>
      <c r="BC611" t="s">
        <v>188</v>
      </c>
      <c r="BD611">
        <v>518055</v>
      </c>
      <c r="BE611" t="s">
        <v>7988</v>
      </c>
      <c r="BF611" t="s">
        <v>7989</v>
      </c>
      <c r="BG611" t="b">
        <v>0</v>
      </c>
      <c r="BH611" s="6" t="s">
        <v>7990</v>
      </c>
      <c r="BI611" t="s">
        <v>7991</v>
      </c>
      <c r="BJ611">
        <v>4453163191</v>
      </c>
      <c r="BK611" t="s">
        <v>162</v>
      </c>
      <c r="BL611" t="s">
        <v>161</v>
      </c>
      <c r="BM611" s="2"/>
      <c r="BN611" t="s">
        <v>7992</v>
      </c>
      <c r="BR611" t="s">
        <v>180</v>
      </c>
      <c r="BS611" t="s">
        <v>103</v>
      </c>
      <c r="BU611">
        <v>0</v>
      </c>
      <c r="BV611">
        <v>0</v>
      </c>
      <c r="BW611">
        <v>0</v>
      </c>
      <c r="BX611">
        <v>0</v>
      </c>
      <c r="BY611">
        <v>0</v>
      </c>
      <c r="BZ611">
        <v>0</v>
      </c>
      <c r="CA611">
        <v>0</v>
      </c>
      <c r="CF611" s="2"/>
      <c r="CH611" s="2"/>
      <c r="CK611" t="s">
        <v>445</v>
      </c>
      <c r="CL611">
        <v>44024.376851851855</v>
      </c>
      <c r="CO611" t="s">
        <v>11</v>
      </c>
      <c r="CP611">
        <v>1749.55</v>
      </c>
      <c r="CQ611" t="s">
        <v>11</v>
      </c>
      <c r="CR611">
        <v>1749.55</v>
      </c>
      <c r="CV611" t="s">
        <v>525</v>
      </c>
      <c r="CW611" t="s">
        <v>12</v>
      </c>
      <c r="CX611" t="s">
        <v>12</v>
      </c>
      <c r="CY611" t="s">
        <v>12</v>
      </c>
      <c r="DA611" t="s">
        <v>104</v>
      </c>
      <c r="DD611" t="s">
        <v>93</v>
      </c>
      <c r="DQ611" t="s">
        <v>94</v>
      </c>
      <c r="DR611" t="s">
        <v>94</v>
      </c>
      <c r="DS611" t="s">
        <v>94</v>
      </c>
      <c r="DT611" t="s">
        <v>94</v>
      </c>
      <c r="DU611" t="s">
        <v>94</v>
      </c>
      <c r="DV611" t="s">
        <v>94</v>
      </c>
      <c r="DW611" t="s">
        <v>94</v>
      </c>
      <c r="DX611" s="2" t="s">
        <v>94</v>
      </c>
      <c r="DY611" t="s">
        <v>94</v>
      </c>
      <c r="DZ611" t="s">
        <v>94</v>
      </c>
      <c r="EA611" t="s">
        <v>94</v>
      </c>
      <c r="EB611" t="s">
        <v>94</v>
      </c>
      <c r="EC611" t="s">
        <v>94</v>
      </c>
      <c r="ED611" t="s">
        <v>94</v>
      </c>
      <c r="EE611" t="s">
        <v>89</v>
      </c>
      <c r="EF611" t="s">
        <v>425</v>
      </c>
      <c r="EG611" t="s">
        <v>7993</v>
      </c>
      <c r="EJ611" t="s">
        <v>166</v>
      </c>
      <c r="EK611" t="b">
        <v>0</v>
      </c>
      <c r="EL611" t="b">
        <v>0</v>
      </c>
      <c r="EM611" t="b">
        <v>0</v>
      </c>
    </row>
    <row r="612" spans="3:143">
      <c r="C612" s="4">
        <v>23</v>
      </c>
      <c r="D612" s="4"/>
      <c r="E612" s="4">
        <v>2</v>
      </c>
      <c r="F612" s="4">
        <v>35.450000000000003</v>
      </c>
      <c r="G612" s="5" t="s">
        <v>8010</v>
      </c>
      <c r="H612" s="4" t="s">
        <v>8011</v>
      </c>
      <c r="I612" s="4" t="s">
        <v>817</v>
      </c>
      <c r="J612" s="5"/>
      <c r="K612" s="22" t="s">
        <v>7994</v>
      </c>
      <c r="L612" s="84" t="s">
        <v>7995</v>
      </c>
      <c r="M612" s="23" t="s">
        <v>817</v>
      </c>
      <c r="N612" s="23">
        <v>44059</v>
      </c>
      <c r="O612" s="24" t="s">
        <v>102</v>
      </c>
      <c r="P612" s="24" t="s">
        <v>181</v>
      </c>
      <c r="Q612" s="24">
        <v>2</v>
      </c>
      <c r="R612" s="24">
        <v>35.450000000000003</v>
      </c>
      <c r="S612" t="s">
        <v>11</v>
      </c>
      <c r="T612">
        <v>4830</v>
      </c>
      <c r="U612" s="2" t="s">
        <v>163</v>
      </c>
      <c r="V612">
        <v>44059.829247685186</v>
      </c>
      <c r="W612" s="2" t="s">
        <v>427</v>
      </c>
      <c r="X612">
        <v>44059.83289351852</v>
      </c>
      <c r="AB612" t="s">
        <v>9</v>
      </c>
      <c r="AC612" t="s">
        <v>428</v>
      </c>
      <c r="AD612" t="s">
        <v>200</v>
      </c>
      <c r="AE612">
        <v>520199</v>
      </c>
      <c r="AF612">
        <v>520199</v>
      </c>
      <c r="AG612" t="s">
        <v>183</v>
      </c>
      <c r="AH612" t="s">
        <v>7996</v>
      </c>
      <c r="AI612" t="s">
        <v>7996</v>
      </c>
      <c r="AJ612" t="s">
        <v>373</v>
      </c>
      <c r="AK612" t="s">
        <v>430</v>
      </c>
      <c r="AL612" t="s">
        <v>7997</v>
      </c>
      <c r="AM612" t="s">
        <v>7998</v>
      </c>
      <c r="AO612" t="s">
        <v>7999</v>
      </c>
      <c r="AP612" t="s">
        <v>435</v>
      </c>
      <c r="AR612">
        <v>22050</v>
      </c>
      <c r="AS612">
        <v>222721036</v>
      </c>
      <c r="AT612" t="s">
        <v>8000</v>
      </c>
      <c r="AU612" t="s">
        <v>10</v>
      </c>
      <c r="AV612" t="s">
        <v>8001</v>
      </c>
      <c r="AW612" t="s">
        <v>8001</v>
      </c>
      <c r="AX612" t="s">
        <v>8002</v>
      </c>
      <c r="AY612" t="s">
        <v>8003</v>
      </c>
      <c r="AZ612" t="s">
        <v>8004</v>
      </c>
      <c r="BA612" t="s">
        <v>2092</v>
      </c>
      <c r="BB612" t="s">
        <v>2093</v>
      </c>
      <c r="BC612" t="s">
        <v>188</v>
      </c>
      <c r="BD612">
        <v>528100</v>
      </c>
      <c r="BE612" t="s">
        <v>8012</v>
      </c>
      <c r="BF612" t="s">
        <v>8005</v>
      </c>
      <c r="BG612" t="b">
        <v>0</v>
      </c>
      <c r="BH612" s="6" t="s">
        <v>8006</v>
      </c>
      <c r="BI612" t="s">
        <v>8007</v>
      </c>
      <c r="BJ612">
        <v>4453163191</v>
      </c>
      <c r="BK612" t="s">
        <v>162</v>
      </c>
      <c r="BL612" t="s">
        <v>161</v>
      </c>
      <c r="BM612" s="2"/>
      <c r="BO612" t="s">
        <v>89</v>
      </c>
      <c r="BP612">
        <v>83014000</v>
      </c>
      <c r="BR612" t="s">
        <v>180</v>
      </c>
      <c r="BS612" t="s">
        <v>103</v>
      </c>
      <c r="BU612">
        <v>434.7</v>
      </c>
      <c r="BV612">
        <v>684.41</v>
      </c>
      <c r="BW612">
        <v>0</v>
      </c>
      <c r="BX612">
        <v>0</v>
      </c>
      <c r="BY612">
        <v>0</v>
      </c>
      <c r="BZ612">
        <v>0</v>
      </c>
      <c r="CA612">
        <v>1119.1099999999999</v>
      </c>
      <c r="CB612" t="s">
        <v>444</v>
      </c>
      <c r="CF612" s="2"/>
      <c r="CH612" s="2"/>
      <c r="CJ612">
        <v>5.3142020950147002E+17</v>
      </c>
      <c r="CK612" t="s">
        <v>1849</v>
      </c>
      <c r="CL612">
        <v>44059.37363425926</v>
      </c>
      <c r="CO612" t="s">
        <v>11</v>
      </c>
      <c r="CP612">
        <v>4830</v>
      </c>
      <c r="CQ612" t="s">
        <v>11</v>
      </c>
      <c r="CR612">
        <v>4830</v>
      </c>
      <c r="CV612" t="s">
        <v>190</v>
      </c>
      <c r="CW612" t="s">
        <v>12</v>
      </c>
      <c r="CX612" t="s">
        <v>12</v>
      </c>
      <c r="CY612" t="s">
        <v>12</v>
      </c>
      <c r="DA612" t="s">
        <v>104</v>
      </c>
      <c r="DD612" t="s">
        <v>93</v>
      </c>
      <c r="DQ612" t="s">
        <v>94</v>
      </c>
      <c r="DR612" t="s">
        <v>94</v>
      </c>
      <c r="DS612" t="s">
        <v>94</v>
      </c>
      <c r="DT612" t="s">
        <v>94</v>
      </c>
      <c r="DU612" t="s">
        <v>94</v>
      </c>
      <c r="DV612" t="s">
        <v>94</v>
      </c>
      <c r="DW612" t="s">
        <v>94</v>
      </c>
      <c r="DX612" s="2" t="s">
        <v>94</v>
      </c>
      <c r="DY612" t="s">
        <v>94</v>
      </c>
      <c r="DZ612" t="s">
        <v>94</v>
      </c>
      <c r="EA612" t="s">
        <v>94</v>
      </c>
      <c r="EB612" t="s">
        <v>94</v>
      </c>
      <c r="EC612" t="s">
        <v>94</v>
      </c>
      <c r="ED612" t="s">
        <v>94</v>
      </c>
      <c r="EE612" t="s">
        <v>89</v>
      </c>
      <c r="EF612" t="s">
        <v>425</v>
      </c>
      <c r="EG612" t="s">
        <v>7244</v>
      </c>
      <c r="EJ612" t="s">
        <v>166</v>
      </c>
      <c r="EK612" t="b">
        <v>0</v>
      </c>
      <c r="EL612" t="b">
        <v>0</v>
      </c>
      <c r="EM612" t="b">
        <v>0</v>
      </c>
    </row>
    <row r="613" spans="3:143" ht="15">
      <c r="C613" s="82">
        <v>23</v>
      </c>
      <c r="D613" s="5"/>
      <c r="E613" s="4">
        <v>3</v>
      </c>
      <c r="F613" s="5">
        <v>46.85</v>
      </c>
      <c r="G613" s="5" t="s">
        <v>8013</v>
      </c>
      <c r="H613" s="4" t="s">
        <v>2391</v>
      </c>
      <c r="I613" s="81" t="s">
        <v>817</v>
      </c>
      <c r="J613" s="21"/>
      <c r="K613" s="22" t="s">
        <v>7976</v>
      </c>
      <c r="L613" s="84" t="s">
        <v>7977</v>
      </c>
      <c r="M613" s="23" t="s">
        <v>817</v>
      </c>
      <c r="N613" s="23">
        <v>44024</v>
      </c>
      <c r="O613" s="24" t="s">
        <v>102</v>
      </c>
      <c r="P613" s="24" t="s">
        <v>480</v>
      </c>
      <c r="Q613" s="24">
        <v>3</v>
      </c>
      <c r="R613" s="24">
        <v>46.85</v>
      </c>
      <c r="S613" t="s">
        <v>319</v>
      </c>
      <c r="T613">
        <v>250</v>
      </c>
      <c r="U613" s="2"/>
      <c r="W613" s="2"/>
      <c r="AB613" t="s">
        <v>9</v>
      </c>
      <c r="AC613" t="s">
        <v>2909</v>
      </c>
      <c r="AD613" t="s">
        <v>182</v>
      </c>
      <c r="AE613">
        <v>558532</v>
      </c>
      <c r="AF613">
        <v>558532</v>
      </c>
      <c r="AG613" t="s">
        <v>8009</v>
      </c>
      <c r="AH613" t="s">
        <v>7978</v>
      </c>
      <c r="AI613" t="s">
        <v>7978</v>
      </c>
      <c r="AJ613" t="s">
        <v>2786</v>
      </c>
      <c r="AK613" t="s">
        <v>2787</v>
      </c>
      <c r="AL613" t="s">
        <v>7979</v>
      </c>
      <c r="AM613" t="s">
        <v>7980</v>
      </c>
      <c r="AN613" t="s">
        <v>7981</v>
      </c>
      <c r="AO613" t="s">
        <v>7982</v>
      </c>
      <c r="AP613" t="s">
        <v>2914</v>
      </c>
      <c r="AQ613" t="s">
        <v>2792</v>
      </c>
      <c r="AR613">
        <v>15847</v>
      </c>
      <c r="AS613">
        <v>-82314549327</v>
      </c>
      <c r="AT613" t="s">
        <v>7983</v>
      </c>
      <c r="AU613" t="s">
        <v>10</v>
      </c>
      <c r="AV613" t="s">
        <v>7984</v>
      </c>
      <c r="AW613" t="s">
        <v>7984</v>
      </c>
      <c r="AX613" t="s">
        <v>7985</v>
      </c>
      <c r="AY613" s="2" t="s">
        <v>7986</v>
      </c>
      <c r="AZ613" t="s">
        <v>7987</v>
      </c>
      <c r="BA613" t="s">
        <v>194</v>
      </c>
      <c r="BB613" t="s">
        <v>272</v>
      </c>
      <c r="BC613" t="s">
        <v>188</v>
      </c>
      <c r="BD613">
        <v>518055</v>
      </c>
      <c r="BE613" t="s">
        <v>7988</v>
      </c>
      <c r="BF613" t="s">
        <v>7989</v>
      </c>
      <c r="BG613" t="b">
        <v>0</v>
      </c>
      <c r="BH613" s="6" t="s">
        <v>7990</v>
      </c>
      <c r="BI613" t="s">
        <v>7991</v>
      </c>
      <c r="BJ613">
        <v>4453163191</v>
      </c>
      <c r="BK613" t="s">
        <v>162</v>
      </c>
      <c r="BL613" t="s">
        <v>161</v>
      </c>
      <c r="BM613" s="2"/>
      <c r="BN613" t="s">
        <v>7992</v>
      </c>
      <c r="BR613" t="s">
        <v>180</v>
      </c>
      <c r="BS613" t="s">
        <v>103</v>
      </c>
      <c r="BU613">
        <v>0</v>
      </c>
      <c r="BV613">
        <v>0</v>
      </c>
      <c r="BW613">
        <v>0</v>
      </c>
      <c r="BX613">
        <v>0</v>
      </c>
      <c r="BY613">
        <v>0</v>
      </c>
      <c r="BZ613">
        <v>0</v>
      </c>
      <c r="CA613">
        <v>0</v>
      </c>
      <c r="CF613" s="2"/>
      <c r="CH613" s="2"/>
      <c r="CK613" t="s">
        <v>445</v>
      </c>
      <c r="CL613">
        <v>44024.376851851855</v>
      </c>
      <c r="CO613" t="s">
        <v>11</v>
      </c>
      <c r="CP613">
        <v>1749.55</v>
      </c>
      <c r="CQ613" t="s">
        <v>11</v>
      </c>
      <c r="CR613">
        <v>1749.55</v>
      </c>
      <c r="CV613" t="s">
        <v>525</v>
      </c>
      <c r="CW613" t="s">
        <v>12</v>
      </c>
      <c r="CX613" t="s">
        <v>12</v>
      </c>
      <c r="CY613" t="s">
        <v>12</v>
      </c>
      <c r="DA613" t="s">
        <v>104</v>
      </c>
      <c r="DD613" t="s">
        <v>93</v>
      </c>
      <c r="DQ613" t="s">
        <v>94</v>
      </c>
      <c r="DR613" t="s">
        <v>94</v>
      </c>
      <c r="DS613" t="s">
        <v>94</v>
      </c>
      <c r="DT613" t="s">
        <v>94</v>
      </c>
      <c r="DU613" t="s">
        <v>94</v>
      </c>
      <c r="DV613" t="s">
        <v>94</v>
      </c>
      <c r="DW613" t="s">
        <v>94</v>
      </c>
      <c r="DX613" s="2" t="s">
        <v>94</v>
      </c>
      <c r="DY613" t="s">
        <v>94</v>
      </c>
      <c r="DZ613" t="s">
        <v>94</v>
      </c>
      <c r="EA613" t="s">
        <v>94</v>
      </c>
      <c r="EB613" t="s">
        <v>94</v>
      </c>
      <c r="EC613" t="s">
        <v>94</v>
      </c>
      <c r="ED613" t="s">
        <v>94</v>
      </c>
      <c r="EE613" t="s">
        <v>89</v>
      </c>
      <c r="EF613" t="s">
        <v>425</v>
      </c>
      <c r="EG613" t="s">
        <v>7993</v>
      </c>
      <c r="EJ613" t="s">
        <v>166</v>
      </c>
      <c r="EK613" t="b">
        <v>0</v>
      </c>
      <c r="EL613" t="b">
        <v>0</v>
      </c>
      <c r="EM613" t="b">
        <v>0</v>
      </c>
    </row>
    <row r="614" spans="3:143" ht="15">
      <c r="C614" s="82">
        <v>325</v>
      </c>
      <c r="D614" s="5"/>
      <c r="E614" s="4">
        <v>2</v>
      </c>
      <c r="F614" s="5">
        <v>35.450000000000003</v>
      </c>
      <c r="G614" s="5" t="s">
        <v>8014</v>
      </c>
      <c r="H614" s="4" t="s">
        <v>8011</v>
      </c>
      <c r="I614" s="81" t="s">
        <v>817</v>
      </c>
      <c r="J614" s="21"/>
      <c r="K614" s="22" t="s">
        <v>7994</v>
      </c>
      <c r="L614" s="84" t="s">
        <v>7995</v>
      </c>
      <c r="M614" s="23" t="s">
        <v>817</v>
      </c>
      <c r="N614" s="23">
        <v>44059</v>
      </c>
      <c r="O614" s="24" t="s">
        <v>102</v>
      </c>
      <c r="P614" s="24" t="s">
        <v>181</v>
      </c>
      <c r="Q614" s="24">
        <v>2</v>
      </c>
      <c r="R614" s="24">
        <v>35.450000000000003</v>
      </c>
      <c r="S614" t="s">
        <v>11</v>
      </c>
      <c r="T614">
        <v>4830</v>
      </c>
      <c r="U614" s="2" t="s">
        <v>163</v>
      </c>
      <c r="V614">
        <v>44059.829247685186</v>
      </c>
      <c r="W614" s="2" t="s">
        <v>427</v>
      </c>
      <c r="X614">
        <v>44059.83289351852</v>
      </c>
      <c r="AB614" t="s">
        <v>9</v>
      </c>
      <c r="AC614" t="s">
        <v>428</v>
      </c>
      <c r="AD614" t="s">
        <v>200</v>
      </c>
      <c r="AE614">
        <v>520199</v>
      </c>
      <c r="AF614">
        <v>520199</v>
      </c>
      <c r="AG614" t="s">
        <v>183</v>
      </c>
      <c r="AH614" t="s">
        <v>7996</v>
      </c>
      <c r="AI614" t="s">
        <v>7996</v>
      </c>
      <c r="AJ614" t="s">
        <v>373</v>
      </c>
      <c r="AK614" t="s">
        <v>430</v>
      </c>
      <c r="AL614" t="s">
        <v>7997</v>
      </c>
      <c r="AM614" t="s">
        <v>7998</v>
      </c>
      <c r="AO614" t="s">
        <v>7999</v>
      </c>
      <c r="AP614" t="s">
        <v>435</v>
      </c>
      <c r="AR614">
        <v>22050</v>
      </c>
      <c r="AS614">
        <v>222721036</v>
      </c>
      <c r="AT614" t="s">
        <v>8000</v>
      </c>
      <c r="AU614" t="s">
        <v>10</v>
      </c>
      <c r="AV614" t="s">
        <v>8001</v>
      </c>
      <c r="AW614" t="s">
        <v>8001</v>
      </c>
      <c r="AX614" t="s">
        <v>8002</v>
      </c>
      <c r="AY614" s="2" t="s">
        <v>8003</v>
      </c>
      <c r="AZ614" t="s">
        <v>8004</v>
      </c>
      <c r="BA614" t="s">
        <v>2092</v>
      </c>
      <c r="BB614" t="s">
        <v>2093</v>
      </c>
      <c r="BC614" t="s">
        <v>188</v>
      </c>
      <c r="BD614">
        <v>528100</v>
      </c>
      <c r="BE614" t="s">
        <v>8012</v>
      </c>
      <c r="BF614" t="s">
        <v>8005</v>
      </c>
      <c r="BG614" t="b">
        <v>0</v>
      </c>
      <c r="BH614" s="6" t="s">
        <v>8006</v>
      </c>
      <c r="BI614" t="s">
        <v>8007</v>
      </c>
      <c r="BJ614">
        <v>4453163191</v>
      </c>
      <c r="BK614" t="s">
        <v>162</v>
      </c>
      <c r="BL614" t="s">
        <v>161</v>
      </c>
      <c r="BM614" s="2"/>
      <c r="BO614" t="s">
        <v>89</v>
      </c>
      <c r="BP614">
        <v>83014000</v>
      </c>
      <c r="BR614" t="s">
        <v>180</v>
      </c>
      <c r="BS614" t="s">
        <v>103</v>
      </c>
      <c r="BU614">
        <v>434.7</v>
      </c>
      <c r="BV614">
        <v>684.41</v>
      </c>
      <c r="BW614">
        <v>0</v>
      </c>
      <c r="BX614">
        <v>0</v>
      </c>
      <c r="BY614">
        <v>0</v>
      </c>
      <c r="BZ614">
        <v>0</v>
      </c>
      <c r="CA614">
        <v>1119.1099999999999</v>
      </c>
      <c r="CB614" t="s">
        <v>444</v>
      </c>
      <c r="CF614" s="2"/>
      <c r="CH614" s="2"/>
      <c r="CJ614">
        <v>5.3142020950147002E+17</v>
      </c>
      <c r="CK614" t="s">
        <v>1849</v>
      </c>
      <c r="CL614">
        <v>44059.37363425926</v>
      </c>
      <c r="CO614" t="s">
        <v>11</v>
      </c>
      <c r="CP614">
        <v>4830</v>
      </c>
      <c r="CQ614" t="s">
        <v>11</v>
      </c>
      <c r="CR614">
        <v>4830</v>
      </c>
      <c r="CV614" t="s">
        <v>190</v>
      </c>
      <c r="CW614" t="s">
        <v>12</v>
      </c>
      <c r="CX614" t="s">
        <v>12</v>
      </c>
      <c r="CY614" t="s">
        <v>12</v>
      </c>
      <c r="DA614" t="s">
        <v>104</v>
      </c>
      <c r="DD614" t="s">
        <v>93</v>
      </c>
      <c r="DQ614" t="s">
        <v>94</v>
      </c>
      <c r="DR614" t="s">
        <v>94</v>
      </c>
      <c r="DS614" t="s">
        <v>94</v>
      </c>
      <c r="DT614" t="s">
        <v>94</v>
      </c>
      <c r="DU614" t="s">
        <v>94</v>
      </c>
      <c r="DV614" t="s">
        <v>94</v>
      </c>
      <c r="DW614" t="s">
        <v>94</v>
      </c>
      <c r="DX614" s="2" t="s">
        <v>94</v>
      </c>
      <c r="DY614" t="s">
        <v>94</v>
      </c>
      <c r="DZ614" t="s">
        <v>94</v>
      </c>
      <c r="EA614" t="s">
        <v>94</v>
      </c>
      <c r="EB614" t="s">
        <v>94</v>
      </c>
      <c r="EC614" t="s">
        <v>94</v>
      </c>
      <c r="ED614" t="s">
        <v>94</v>
      </c>
      <c r="EE614" t="s">
        <v>89</v>
      </c>
      <c r="EF614" t="s">
        <v>425</v>
      </c>
      <c r="EG614" t="s">
        <v>7244</v>
      </c>
      <c r="EJ614" t="s">
        <v>166</v>
      </c>
      <c r="EK614" t="b">
        <v>0</v>
      </c>
      <c r="EL614" t="b">
        <v>0</v>
      </c>
      <c r="EM614" t="b">
        <v>0</v>
      </c>
    </row>
    <row r="615" spans="3:143" ht="15">
      <c r="C615" s="82">
        <v>1321</v>
      </c>
      <c r="D615" s="5"/>
      <c r="E615" s="4">
        <v>1</v>
      </c>
      <c r="F615" s="5">
        <v>20</v>
      </c>
      <c r="G615" s="5" t="s">
        <v>8026</v>
      </c>
      <c r="H615" s="4" t="s">
        <v>1651</v>
      </c>
      <c r="I615" s="81" t="s">
        <v>817</v>
      </c>
      <c r="J615" s="21"/>
      <c r="K615" s="22" t="s">
        <v>8015</v>
      </c>
      <c r="L615" s="84" t="s">
        <v>8016</v>
      </c>
      <c r="M615" s="23" t="s">
        <v>817</v>
      </c>
      <c r="N615" s="23">
        <v>44031</v>
      </c>
      <c r="O615" s="24" t="s">
        <v>102</v>
      </c>
      <c r="P615" s="24" t="s">
        <v>181</v>
      </c>
      <c r="Q615" s="24">
        <v>1</v>
      </c>
      <c r="R615" s="24">
        <v>20</v>
      </c>
      <c r="S615" t="s">
        <v>11</v>
      </c>
      <c r="T615">
        <v>2799</v>
      </c>
      <c r="U615" s="2" t="s">
        <v>163</v>
      </c>
      <c r="V615">
        <v>44058.430567129632</v>
      </c>
      <c r="W615" s="2" t="s">
        <v>427</v>
      </c>
      <c r="X615">
        <v>44058.4534375</v>
      </c>
      <c r="AB615" t="s">
        <v>9</v>
      </c>
      <c r="AC615" t="s">
        <v>6283</v>
      </c>
      <c r="AD615" t="s">
        <v>182</v>
      </c>
      <c r="AE615" t="s">
        <v>183</v>
      </c>
      <c r="AF615" t="s">
        <v>183</v>
      </c>
      <c r="AG615" t="s">
        <v>183</v>
      </c>
      <c r="AH615" t="s">
        <v>8017</v>
      </c>
      <c r="AI615" t="s">
        <v>8017</v>
      </c>
      <c r="AJ615" t="s">
        <v>369</v>
      </c>
      <c r="AK615" t="s">
        <v>370</v>
      </c>
      <c r="AL615" t="s">
        <v>8018</v>
      </c>
      <c r="AO615" t="s">
        <v>8019</v>
      </c>
      <c r="AP615" t="s">
        <v>6287</v>
      </c>
      <c r="AQ615" t="s">
        <v>996</v>
      </c>
      <c r="AR615">
        <v>2042</v>
      </c>
      <c r="AS615">
        <v>0</v>
      </c>
      <c r="AT615" t="s">
        <v>8020</v>
      </c>
      <c r="AU615" t="s">
        <v>10</v>
      </c>
      <c r="AV615" t="s">
        <v>8021</v>
      </c>
      <c r="AW615" t="s">
        <v>8021</v>
      </c>
      <c r="AX615" t="s">
        <v>8022</v>
      </c>
      <c r="AY615" s="2"/>
      <c r="BA615" t="s">
        <v>194</v>
      </c>
      <c r="BB615" t="s">
        <v>272</v>
      </c>
      <c r="BC615" t="s">
        <v>188</v>
      </c>
      <c r="BD615">
        <v>518034</v>
      </c>
      <c r="BE615">
        <v>8675525312250</v>
      </c>
      <c r="BF615" t="s">
        <v>8023</v>
      </c>
      <c r="BG615" t="b">
        <v>0</v>
      </c>
      <c r="BH615" s="6" t="s">
        <v>8024</v>
      </c>
      <c r="BI615" t="s">
        <v>8025</v>
      </c>
      <c r="BJ615">
        <v>4453163191</v>
      </c>
      <c r="BK615" t="s">
        <v>162</v>
      </c>
      <c r="BL615" t="s">
        <v>161</v>
      </c>
      <c r="BM615" s="2"/>
      <c r="BO615" t="s">
        <v>89</v>
      </c>
      <c r="BP615">
        <v>85340010</v>
      </c>
      <c r="BR615" t="s">
        <v>180</v>
      </c>
      <c r="BS615" t="s">
        <v>103</v>
      </c>
      <c r="BU615">
        <v>0</v>
      </c>
      <c r="BV615">
        <v>363.87</v>
      </c>
      <c r="BW615">
        <v>0</v>
      </c>
      <c r="BX615">
        <v>0</v>
      </c>
      <c r="BY615">
        <v>0</v>
      </c>
      <c r="BZ615">
        <v>0</v>
      </c>
      <c r="CA615">
        <v>363.87</v>
      </c>
      <c r="CB615" t="s">
        <v>6600</v>
      </c>
      <c r="CF615" s="2"/>
      <c r="CH615" s="2"/>
      <c r="CJ615">
        <v>5.3142020950128902E+17</v>
      </c>
      <c r="CK615" t="s">
        <v>1849</v>
      </c>
      <c r="CL615">
        <v>44031.538287037038</v>
      </c>
      <c r="CO615" t="s">
        <v>11</v>
      </c>
      <c r="CP615">
        <v>2799</v>
      </c>
      <c r="CQ615" t="s">
        <v>11</v>
      </c>
      <c r="CR615">
        <v>2799</v>
      </c>
      <c r="CV615" t="s">
        <v>190</v>
      </c>
      <c r="CW615" t="s">
        <v>12</v>
      </c>
      <c r="CX615" t="s">
        <v>12</v>
      </c>
      <c r="CY615" t="s">
        <v>12</v>
      </c>
      <c r="DA615" t="s">
        <v>104</v>
      </c>
      <c r="DD615" t="s">
        <v>93</v>
      </c>
      <c r="DQ615" t="s">
        <v>94</v>
      </c>
      <c r="DR615" t="s">
        <v>94</v>
      </c>
      <c r="DS615" t="s">
        <v>94</v>
      </c>
      <c r="DT615" t="s">
        <v>94</v>
      </c>
      <c r="DU615" t="s">
        <v>94</v>
      </c>
      <c r="DV615" t="s">
        <v>94</v>
      </c>
      <c r="DW615" t="s">
        <v>94</v>
      </c>
      <c r="DX615" s="2" t="s">
        <v>94</v>
      </c>
      <c r="DY615" t="s">
        <v>94</v>
      </c>
      <c r="DZ615" t="s">
        <v>94</v>
      </c>
      <c r="EA615" t="s">
        <v>94</v>
      </c>
      <c r="EB615" t="s">
        <v>94</v>
      </c>
      <c r="EC615" t="s">
        <v>94</v>
      </c>
      <c r="ED615" t="s">
        <v>94</v>
      </c>
      <c r="EE615" t="s">
        <v>89</v>
      </c>
      <c r="EF615" t="s">
        <v>425</v>
      </c>
      <c r="EG615" t="s">
        <v>7993</v>
      </c>
      <c r="EJ615" t="s">
        <v>526</v>
      </c>
      <c r="EK615" t="b">
        <v>0</v>
      </c>
      <c r="EL615" t="b">
        <v>0</v>
      </c>
      <c r="EM615" t="b">
        <v>0</v>
      </c>
    </row>
    <row r="616" spans="3:143" ht="15">
      <c r="C616" s="82">
        <v>3</v>
      </c>
      <c r="D616" s="5"/>
      <c r="E616" s="4">
        <v>1</v>
      </c>
      <c r="F616" s="5">
        <v>0.3</v>
      </c>
      <c r="G616" s="5" t="s">
        <v>8044</v>
      </c>
      <c r="H616" s="4" t="s">
        <v>8045</v>
      </c>
      <c r="I616" s="81" t="s">
        <v>920</v>
      </c>
      <c r="J616" s="21"/>
      <c r="K616" s="22" t="s">
        <v>8027</v>
      </c>
      <c r="L616" s="84" t="s">
        <v>7944</v>
      </c>
      <c r="M616" s="23" t="s">
        <v>920</v>
      </c>
      <c r="N616" s="23">
        <v>44059</v>
      </c>
      <c r="O616" s="24" t="s">
        <v>102</v>
      </c>
      <c r="P616" s="24" t="s">
        <v>179</v>
      </c>
      <c r="Q616" s="24">
        <v>1</v>
      </c>
      <c r="R616" s="24">
        <v>0.3</v>
      </c>
      <c r="S616" t="s">
        <v>319</v>
      </c>
      <c r="T616">
        <v>40</v>
      </c>
      <c r="U616" s="2" t="s">
        <v>163</v>
      </c>
      <c r="V616">
        <v>44059.432893518519</v>
      </c>
      <c r="W616" s="2" t="s">
        <v>444</v>
      </c>
      <c r="X616">
        <v>44059.439085648148</v>
      </c>
      <c r="AB616" t="s">
        <v>9</v>
      </c>
      <c r="AC616" t="s">
        <v>8028</v>
      </c>
      <c r="AD616" t="s">
        <v>191</v>
      </c>
      <c r="AE616">
        <v>1154645</v>
      </c>
      <c r="AF616">
        <v>1154645</v>
      </c>
      <c r="AG616" t="s">
        <v>183</v>
      </c>
      <c r="AH616" t="s">
        <v>8029</v>
      </c>
      <c r="AI616" t="s">
        <v>8029</v>
      </c>
      <c r="AJ616" t="s">
        <v>184</v>
      </c>
      <c r="AK616" t="s">
        <v>185</v>
      </c>
      <c r="AL616" t="s">
        <v>8030</v>
      </c>
      <c r="AM616" t="s">
        <v>8031</v>
      </c>
      <c r="AO616" t="s">
        <v>8032</v>
      </c>
      <c r="AP616" t="s">
        <v>8033</v>
      </c>
      <c r="AQ616" t="s">
        <v>8034</v>
      </c>
      <c r="AR616" t="s">
        <v>8035</v>
      </c>
      <c r="AS616">
        <v>2892660118</v>
      </c>
      <c r="AT616" t="s">
        <v>8036</v>
      </c>
      <c r="AU616" t="s">
        <v>10</v>
      </c>
      <c r="AV616" t="s">
        <v>8037</v>
      </c>
      <c r="AW616" t="s">
        <v>8037</v>
      </c>
      <c r="AX616" t="s">
        <v>8038</v>
      </c>
      <c r="AY616" s="2" t="s">
        <v>8039</v>
      </c>
      <c r="AZ616" t="s">
        <v>8040</v>
      </c>
      <c r="BA616" t="s">
        <v>726</v>
      </c>
      <c r="BB616" t="s">
        <v>192</v>
      </c>
      <c r="BC616" t="s">
        <v>188</v>
      </c>
      <c r="BD616">
        <v>523866</v>
      </c>
      <c r="BE616">
        <v>8613650225767</v>
      </c>
      <c r="BF616" t="s">
        <v>8041</v>
      </c>
      <c r="BG616" t="b">
        <v>0</v>
      </c>
      <c r="BH616" s="6" t="s">
        <v>8042</v>
      </c>
      <c r="BI616" t="s">
        <v>8043</v>
      </c>
      <c r="BJ616">
        <v>4453163191</v>
      </c>
      <c r="BK616" t="s">
        <v>162</v>
      </c>
      <c r="BL616" t="s">
        <v>161</v>
      </c>
      <c r="BM616" s="2"/>
      <c r="BO616" t="s">
        <v>89</v>
      </c>
      <c r="BP616">
        <v>9018909991</v>
      </c>
      <c r="BR616" t="s">
        <v>180</v>
      </c>
      <c r="BS616" t="s">
        <v>103</v>
      </c>
      <c r="BU616">
        <v>0</v>
      </c>
      <c r="BV616">
        <v>0</v>
      </c>
      <c r="BW616">
        <v>0</v>
      </c>
      <c r="BX616">
        <v>0</v>
      </c>
      <c r="BY616">
        <v>0</v>
      </c>
      <c r="BZ616">
        <v>0</v>
      </c>
      <c r="CA616">
        <v>0</v>
      </c>
      <c r="CF616" s="2"/>
      <c r="CH616" s="2"/>
      <c r="CJ616">
        <v>5.3142020950147002E+17</v>
      </c>
      <c r="CK616" t="s">
        <v>2648</v>
      </c>
      <c r="CL616">
        <v>44058.396805555552</v>
      </c>
      <c r="CO616" t="s">
        <v>11</v>
      </c>
      <c r="CP616">
        <v>279.93</v>
      </c>
      <c r="CQ616" t="s">
        <v>11</v>
      </c>
      <c r="CR616">
        <v>279.93</v>
      </c>
      <c r="CV616" t="s">
        <v>190</v>
      </c>
      <c r="CW616" t="s">
        <v>12</v>
      </c>
      <c r="CX616" t="s">
        <v>12</v>
      </c>
      <c r="CY616" t="s">
        <v>12</v>
      </c>
      <c r="DA616" t="s">
        <v>104</v>
      </c>
      <c r="DD616" t="s">
        <v>93</v>
      </c>
      <c r="DQ616" t="s">
        <v>94</v>
      </c>
      <c r="DR616" t="s">
        <v>94</v>
      </c>
      <c r="DS616" t="s">
        <v>94</v>
      </c>
      <c r="DT616" t="s">
        <v>94</v>
      </c>
      <c r="DU616" t="s">
        <v>94</v>
      </c>
      <c r="DV616" t="s">
        <v>94</v>
      </c>
      <c r="DW616" t="s">
        <v>94</v>
      </c>
      <c r="DX616" s="2" t="s">
        <v>94</v>
      </c>
      <c r="DY616" t="s">
        <v>94</v>
      </c>
      <c r="DZ616" t="s">
        <v>94</v>
      </c>
      <c r="EA616" t="s">
        <v>94</v>
      </c>
      <c r="EB616" t="s">
        <v>94</v>
      </c>
      <c r="EC616" t="s">
        <v>94</v>
      </c>
      <c r="ED616" t="s">
        <v>94</v>
      </c>
      <c r="EE616" t="s">
        <v>89</v>
      </c>
      <c r="EF616" t="s">
        <v>425</v>
      </c>
      <c r="EG616" t="s">
        <v>7244</v>
      </c>
      <c r="EJ616" t="s">
        <v>166</v>
      </c>
      <c r="EK616" t="b">
        <v>0</v>
      </c>
      <c r="EL616" t="b">
        <v>0</v>
      </c>
      <c r="EM616" t="b">
        <v>0</v>
      </c>
    </row>
    <row r="617" spans="3:143" ht="15">
      <c r="C617" s="82">
        <v>123</v>
      </c>
      <c r="D617" s="5"/>
      <c r="E617" s="4">
        <v>1</v>
      </c>
      <c r="F617" s="5">
        <v>0.5</v>
      </c>
      <c r="G617" s="5" t="s">
        <v>8059</v>
      </c>
      <c r="H617" s="4" t="s">
        <v>8060</v>
      </c>
      <c r="I617" s="81" t="s">
        <v>164</v>
      </c>
      <c r="J617" s="21"/>
      <c r="K617" s="22" t="s">
        <v>8046</v>
      </c>
      <c r="L617" s="84" t="s">
        <v>8047</v>
      </c>
      <c r="M617" s="23" t="s">
        <v>447</v>
      </c>
      <c r="N617" s="23">
        <v>44060</v>
      </c>
      <c r="O617" s="24" t="s">
        <v>102</v>
      </c>
      <c r="P617" s="24" t="s">
        <v>179</v>
      </c>
      <c r="Q617" s="24">
        <v>1</v>
      </c>
      <c r="R617" s="24">
        <v>0.5</v>
      </c>
      <c r="S617" t="s">
        <v>319</v>
      </c>
      <c r="T617">
        <v>30</v>
      </c>
      <c r="U617" s="2" t="s">
        <v>163</v>
      </c>
      <c r="V617">
        <v>44060.797962962963</v>
      </c>
      <c r="W617" s="2" t="s">
        <v>427</v>
      </c>
      <c r="X617">
        <v>44060.811909722222</v>
      </c>
      <c r="AB617" t="s">
        <v>9</v>
      </c>
      <c r="AC617" t="s">
        <v>354</v>
      </c>
      <c r="AD617" t="s">
        <v>182</v>
      </c>
      <c r="AE617">
        <v>21066</v>
      </c>
      <c r="AF617">
        <v>21066</v>
      </c>
      <c r="AG617" t="s">
        <v>183</v>
      </c>
      <c r="AH617" t="s">
        <v>8048</v>
      </c>
      <c r="AI617" t="s">
        <v>8048</v>
      </c>
      <c r="AJ617" t="s">
        <v>356</v>
      </c>
      <c r="AK617" t="s">
        <v>357</v>
      </c>
      <c r="AL617" t="s">
        <v>8049</v>
      </c>
      <c r="AM617" t="s">
        <v>8050</v>
      </c>
      <c r="AO617" t="s">
        <v>8051</v>
      </c>
      <c r="AP617" t="s">
        <v>361</v>
      </c>
      <c r="AQ617" t="s">
        <v>362</v>
      </c>
      <c r="AR617">
        <v>6085000</v>
      </c>
      <c r="AS617">
        <v>-547508530</v>
      </c>
      <c r="AT617" t="s">
        <v>8052</v>
      </c>
      <c r="AU617" t="s">
        <v>10</v>
      </c>
      <c r="AV617" t="s">
        <v>8053</v>
      </c>
      <c r="AW617" t="s">
        <v>8053</v>
      </c>
      <c r="AX617" t="s">
        <v>8054</v>
      </c>
      <c r="AY617" s="2" t="s">
        <v>8055</v>
      </c>
      <c r="BA617" t="s">
        <v>194</v>
      </c>
      <c r="BB617" t="s">
        <v>187</v>
      </c>
      <c r="BC617" t="s">
        <v>188</v>
      </c>
      <c r="BD617">
        <v>518125</v>
      </c>
      <c r="BE617">
        <v>-15814097557</v>
      </c>
      <c r="BF617" t="s">
        <v>8056</v>
      </c>
      <c r="BG617" t="b">
        <v>0</v>
      </c>
      <c r="BH617" s="6" t="s">
        <v>8057</v>
      </c>
      <c r="BI617" t="s">
        <v>8058</v>
      </c>
      <c r="BJ617">
        <v>4453163191</v>
      </c>
      <c r="BK617" t="s">
        <v>162</v>
      </c>
      <c r="BL617" t="s">
        <v>161</v>
      </c>
      <c r="BM617" s="2"/>
      <c r="BO617" t="s">
        <v>89</v>
      </c>
      <c r="BP617">
        <v>7218990090</v>
      </c>
      <c r="BR617" t="s">
        <v>180</v>
      </c>
      <c r="BS617" t="s">
        <v>103</v>
      </c>
      <c r="BU617">
        <v>0</v>
      </c>
      <c r="BV617">
        <v>0</v>
      </c>
      <c r="BW617">
        <v>0</v>
      </c>
      <c r="BX617">
        <v>0</v>
      </c>
      <c r="BY617">
        <v>0</v>
      </c>
      <c r="BZ617">
        <v>0</v>
      </c>
      <c r="CA617">
        <v>0</v>
      </c>
      <c r="CB617" t="s">
        <v>444</v>
      </c>
      <c r="CF617" s="2"/>
      <c r="CH617" s="2"/>
      <c r="CJ617">
        <v>5.3142020950147302E+17</v>
      </c>
      <c r="CK617" t="s">
        <v>1849</v>
      </c>
      <c r="CL617">
        <v>44060.375138888892</v>
      </c>
      <c r="CO617" t="s">
        <v>11</v>
      </c>
      <c r="CP617">
        <v>209.95</v>
      </c>
      <c r="CQ617" t="s">
        <v>11</v>
      </c>
      <c r="CR617">
        <v>209.95</v>
      </c>
      <c r="CV617" t="s">
        <v>190</v>
      </c>
      <c r="CW617" t="s">
        <v>12</v>
      </c>
      <c r="CX617" t="s">
        <v>12</v>
      </c>
      <c r="CY617" t="s">
        <v>12</v>
      </c>
      <c r="DA617" t="s">
        <v>104</v>
      </c>
      <c r="DD617" t="s">
        <v>93</v>
      </c>
      <c r="DQ617" t="s">
        <v>94</v>
      </c>
      <c r="DR617" t="s">
        <v>94</v>
      </c>
      <c r="DS617" t="s">
        <v>94</v>
      </c>
      <c r="DT617" t="s">
        <v>94</v>
      </c>
      <c r="DU617" t="s">
        <v>94</v>
      </c>
      <c r="DV617" t="s">
        <v>94</v>
      </c>
      <c r="DW617" t="s">
        <v>94</v>
      </c>
      <c r="DX617" s="2" t="s">
        <v>94</v>
      </c>
      <c r="DY617" t="s">
        <v>94</v>
      </c>
      <c r="DZ617" t="s">
        <v>94</v>
      </c>
      <c r="EA617" t="s">
        <v>94</v>
      </c>
      <c r="EB617" t="s">
        <v>94</v>
      </c>
      <c r="EC617" t="s">
        <v>94</v>
      </c>
      <c r="ED617" t="s">
        <v>94</v>
      </c>
      <c r="EE617" t="s">
        <v>89</v>
      </c>
      <c r="EF617" t="s">
        <v>94</v>
      </c>
      <c r="EG617" t="s">
        <v>7244</v>
      </c>
      <c r="EJ617" t="s">
        <v>166</v>
      </c>
      <c r="EK617" t="b">
        <v>0</v>
      </c>
      <c r="EL617" t="b">
        <v>0</v>
      </c>
      <c r="EM617" t="b">
        <v>0</v>
      </c>
    </row>
    <row r="618" spans="3:143" ht="15">
      <c r="C618" s="82">
        <v>211</v>
      </c>
      <c r="D618" s="5"/>
      <c r="E618" s="4">
        <v>6</v>
      </c>
      <c r="F618" s="5">
        <v>84</v>
      </c>
      <c r="G618" s="5" t="s">
        <v>8084</v>
      </c>
      <c r="H618" s="4" t="s">
        <v>812</v>
      </c>
      <c r="I618" s="81" t="s">
        <v>164</v>
      </c>
      <c r="J618" s="21"/>
      <c r="K618" s="22" t="s">
        <v>8061</v>
      </c>
      <c r="L618" s="84" t="s">
        <v>8047</v>
      </c>
      <c r="M618" s="23" t="s">
        <v>447</v>
      </c>
      <c r="N618" s="23">
        <v>44060</v>
      </c>
      <c r="O618" s="24" t="s">
        <v>102</v>
      </c>
      <c r="P618" s="24" t="s">
        <v>480</v>
      </c>
      <c r="Q618" s="24">
        <v>6</v>
      </c>
      <c r="R618" s="24">
        <v>84</v>
      </c>
      <c r="S618" t="s">
        <v>319</v>
      </c>
      <c r="T618">
        <v>231.7</v>
      </c>
      <c r="U618" s="2"/>
      <c r="W618" s="2"/>
      <c r="AB618" t="s">
        <v>9</v>
      </c>
      <c r="AC618" t="s">
        <v>7855</v>
      </c>
      <c r="AD618" t="s">
        <v>182</v>
      </c>
      <c r="AE618">
        <v>1506773</v>
      </c>
      <c r="AF618">
        <v>1506773</v>
      </c>
      <c r="AG618" t="s">
        <v>183</v>
      </c>
      <c r="AH618" t="s">
        <v>7856</v>
      </c>
      <c r="AI618" t="s">
        <v>7856</v>
      </c>
      <c r="AJ618" t="s">
        <v>184</v>
      </c>
      <c r="AK618" t="s">
        <v>185</v>
      </c>
      <c r="AL618" t="s">
        <v>7857</v>
      </c>
      <c r="AM618" t="s">
        <v>7858</v>
      </c>
      <c r="AO618" t="s">
        <v>7859</v>
      </c>
      <c r="AP618" t="s">
        <v>4014</v>
      </c>
      <c r="AQ618" t="s">
        <v>454</v>
      </c>
      <c r="AR618" t="s">
        <v>7860</v>
      </c>
      <c r="AS618" t="s">
        <v>8085</v>
      </c>
      <c r="AT618" t="s">
        <v>7861</v>
      </c>
      <c r="AU618" t="s">
        <v>10</v>
      </c>
      <c r="AV618" t="s">
        <v>8062</v>
      </c>
      <c r="AW618" t="s">
        <v>8062</v>
      </c>
      <c r="AX618" t="s">
        <v>8063</v>
      </c>
      <c r="AY618" s="2" t="s">
        <v>8064</v>
      </c>
      <c r="AZ618" t="s">
        <v>8065</v>
      </c>
      <c r="BA618" t="s">
        <v>194</v>
      </c>
      <c r="BB618" t="s">
        <v>187</v>
      </c>
      <c r="BC618" t="s">
        <v>188</v>
      </c>
      <c r="BD618">
        <v>518131</v>
      </c>
      <c r="BE618" t="s">
        <v>8086</v>
      </c>
      <c r="BF618" t="s">
        <v>8066</v>
      </c>
      <c r="BG618" t="b">
        <v>0</v>
      </c>
      <c r="BH618" s="6" t="s">
        <v>8067</v>
      </c>
      <c r="BI618" t="s">
        <v>8068</v>
      </c>
      <c r="BJ618">
        <v>4453163191</v>
      </c>
      <c r="BK618" t="s">
        <v>162</v>
      </c>
      <c r="BL618" t="s">
        <v>161</v>
      </c>
      <c r="BM618" s="2"/>
      <c r="BR618" t="s">
        <v>189</v>
      </c>
      <c r="BS618" t="s">
        <v>103</v>
      </c>
      <c r="BU618">
        <v>0</v>
      </c>
      <c r="BV618">
        <v>0</v>
      </c>
      <c r="BW618">
        <v>0</v>
      </c>
      <c r="BX618">
        <v>0</v>
      </c>
      <c r="BY618">
        <v>0</v>
      </c>
      <c r="BZ618">
        <v>0</v>
      </c>
      <c r="CA618">
        <v>0</v>
      </c>
      <c r="CF618" s="2"/>
      <c r="CH618" s="2"/>
      <c r="CK618" t="s">
        <v>1849</v>
      </c>
      <c r="CL618">
        <v>44060.375057870369</v>
      </c>
      <c r="CO618" t="s">
        <v>11</v>
      </c>
      <c r="CP618">
        <v>1621.48</v>
      </c>
      <c r="CQ618" t="s">
        <v>11</v>
      </c>
      <c r="CR618">
        <v>1621.48</v>
      </c>
      <c r="CV618" t="s">
        <v>190</v>
      </c>
      <c r="CW618" t="s">
        <v>12</v>
      </c>
      <c r="CX618" t="s">
        <v>12</v>
      </c>
      <c r="CY618" t="s">
        <v>12</v>
      </c>
      <c r="DA618" t="s">
        <v>104</v>
      </c>
      <c r="DD618" t="s">
        <v>93</v>
      </c>
      <c r="DQ618" t="s">
        <v>94</v>
      </c>
      <c r="DR618" t="s">
        <v>94</v>
      </c>
      <c r="DS618" t="s">
        <v>94</v>
      </c>
      <c r="DT618" t="s">
        <v>94</v>
      </c>
      <c r="DU618" t="s">
        <v>94</v>
      </c>
      <c r="DV618" t="s">
        <v>94</v>
      </c>
      <c r="DW618" t="s">
        <v>94</v>
      </c>
      <c r="DX618" s="2" t="s">
        <v>94</v>
      </c>
      <c r="DY618" t="s">
        <v>94</v>
      </c>
      <c r="DZ618" t="s">
        <v>94</v>
      </c>
      <c r="EA618" t="s">
        <v>94</v>
      </c>
      <c r="EB618" t="s">
        <v>94</v>
      </c>
      <c r="EC618" t="s">
        <v>94</v>
      </c>
      <c r="ED618" t="s">
        <v>94</v>
      </c>
      <c r="EE618" t="s">
        <v>89</v>
      </c>
      <c r="EF618" t="s">
        <v>94</v>
      </c>
      <c r="EG618" t="s">
        <v>7244</v>
      </c>
      <c r="EJ618" t="s">
        <v>166</v>
      </c>
      <c r="EK618" t="b">
        <v>0</v>
      </c>
      <c r="EL618" t="b">
        <v>0</v>
      </c>
      <c r="EM618" t="b">
        <v>0</v>
      </c>
    </row>
    <row r="619" spans="3:143" ht="15">
      <c r="C619" s="82">
        <v>4124</v>
      </c>
      <c r="D619" s="5"/>
      <c r="E619" s="4">
        <v>1</v>
      </c>
      <c r="F619" s="5">
        <v>12.2</v>
      </c>
      <c r="G619" s="5" t="s">
        <v>8087</v>
      </c>
      <c r="H619" s="4" t="s">
        <v>8088</v>
      </c>
      <c r="I619" s="81" t="s">
        <v>164</v>
      </c>
      <c r="J619" s="21"/>
      <c r="K619" s="22" t="s">
        <v>8069</v>
      </c>
      <c r="L619" s="84" t="s">
        <v>8070</v>
      </c>
      <c r="M619" s="23" t="s">
        <v>447</v>
      </c>
      <c r="N619" s="23">
        <v>44063</v>
      </c>
      <c r="O619" s="24" t="s">
        <v>102</v>
      </c>
      <c r="P619" s="24" t="s">
        <v>181</v>
      </c>
      <c r="Q619" s="24">
        <v>1</v>
      </c>
      <c r="R619" s="24">
        <v>12.2</v>
      </c>
      <c r="S619" t="s">
        <v>4062</v>
      </c>
      <c r="T619">
        <v>71370</v>
      </c>
      <c r="U619" s="2" t="s">
        <v>163</v>
      </c>
      <c r="V619">
        <v>44063.795937499999</v>
      </c>
      <c r="W619" s="2" t="s">
        <v>444</v>
      </c>
      <c r="X619">
        <v>44063.811747685184</v>
      </c>
      <c r="AB619" t="s">
        <v>9</v>
      </c>
      <c r="AC619" t="s">
        <v>1531</v>
      </c>
      <c r="AD619" t="s">
        <v>209</v>
      </c>
      <c r="AE619">
        <v>519823</v>
      </c>
      <c r="AF619">
        <v>519823</v>
      </c>
      <c r="AG619" t="s">
        <v>8089</v>
      </c>
      <c r="AH619" t="s">
        <v>8071</v>
      </c>
      <c r="AI619" t="s">
        <v>8071</v>
      </c>
      <c r="AJ619" t="s">
        <v>1533</v>
      </c>
      <c r="AK619" t="s">
        <v>1534</v>
      </c>
      <c r="AL619" t="s">
        <v>8072</v>
      </c>
      <c r="AM619" t="s">
        <v>8073</v>
      </c>
      <c r="AO619" t="s">
        <v>8074</v>
      </c>
      <c r="AP619" t="s">
        <v>1538</v>
      </c>
      <c r="AQ619" t="s">
        <v>1539</v>
      </c>
      <c r="AR619" t="s">
        <v>8090</v>
      </c>
      <c r="AS619" t="s">
        <v>8075</v>
      </c>
      <c r="AT619" t="s">
        <v>8076</v>
      </c>
      <c r="AU619" t="s">
        <v>10</v>
      </c>
      <c r="AV619" t="s">
        <v>8077</v>
      </c>
      <c r="AW619" t="s">
        <v>8077</v>
      </c>
      <c r="AX619" t="s">
        <v>8078</v>
      </c>
      <c r="AY619" s="2" t="s">
        <v>8079</v>
      </c>
      <c r="BA619" t="s">
        <v>299</v>
      </c>
      <c r="BB619" t="s">
        <v>300</v>
      </c>
      <c r="BC619" t="s">
        <v>188</v>
      </c>
      <c r="BD619">
        <v>511495</v>
      </c>
      <c r="BE619" t="s">
        <v>8080</v>
      </c>
      <c r="BF619" t="s">
        <v>8081</v>
      </c>
      <c r="BG619" t="b">
        <v>0</v>
      </c>
      <c r="BH619" s="6" t="s">
        <v>6638</v>
      </c>
      <c r="BI619" t="s">
        <v>8082</v>
      </c>
      <c r="BJ619">
        <v>4453163191</v>
      </c>
      <c r="BK619" t="s">
        <v>162</v>
      </c>
      <c r="BL619" t="s">
        <v>161</v>
      </c>
      <c r="BM619" s="2"/>
      <c r="BN619" t="s">
        <v>8083</v>
      </c>
      <c r="BO619" t="s">
        <v>89</v>
      </c>
      <c r="BP619">
        <v>85452000</v>
      </c>
      <c r="BR619" t="s">
        <v>180</v>
      </c>
      <c r="BS619" t="s">
        <v>103</v>
      </c>
      <c r="BU619">
        <v>465.65</v>
      </c>
      <c r="BV619">
        <v>665.87</v>
      </c>
      <c r="BW619">
        <v>0</v>
      </c>
      <c r="BX619">
        <v>0</v>
      </c>
      <c r="BY619">
        <v>0</v>
      </c>
      <c r="BZ619">
        <v>0</v>
      </c>
      <c r="CA619">
        <v>1131.52</v>
      </c>
      <c r="CF619" s="2"/>
      <c r="CH619" s="2"/>
      <c r="CJ619">
        <v>5.3142020950149498E+17</v>
      </c>
      <c r="CK619" t="s">
        <v>4402</v>
      </c>
      <c r="CL619">
        <v>44063.377465277779</v>
      </c>
      <c r="CO619" t="s">
        <v>11</v>
      </c>
      <c r="CP619">
        <v>4656.46</v>
      </c>
      <c r="CQ619" t="s">
        <v>11</v>
      </c>
      <c r="CR619">
        <v>4656.46</v>
      </c>
      <c r="CV619" t="s">
        <v>525</v>
      </c>
      <c r="CW619" t="s">
        <v>12</v>
      </c>
      <c r="CX619" t="s">
        <v>12</v>
      </c>
      <c r="CY619" t="s">
        <v>12</v>
      </c>
      <c r="DA619" t="s">
        <v>104</v>
      </c>
      <c r="DD619" t="s">
        <v>93</v>
      </c>
      <c r="DQ619" t="s">
        <v>94</v>
      </c>
      <c r="DR619" t="s">
        <v>94</v>
      </c>
      <c r="DS619" t="s">
        <v>94</v>
      </c>
      <c r="DT619" t="s">
        <v>94</v>
      </c>
      <c r="DU619" t="s">
        <v>94</v>
      </c>
      <c r="DV619" t="s">
        <v>94</v>
      </c>
      <c r="DW619" t="s">
        <v>94</v>
      </c>
      <c r="DX619" s="2" t="s">
        <v>94</v>
      </c>
      <c r="DY619" t="s">
        <v>94</v>
      </c>
      <c r="DZ619" t="s">
        <v>94</v>
      </c>
      <c r="EA619" t="s">
        <v>94</v>
      </c>
      <c r="EB619" t="s">
        <v>94</v>
      </c>
      <c r="EC619" t="s">
        <v>94</v>
      </c>
      <c r="ED619" t="s">
        <v>94</v>
      </c>
      <c r="EE619" t="s">
        <v>89</v>
      </c>
      <c r="EF619" t="s">
        <v>425</v>
      </c>
      <c r="EG619" t="s">
        <v>7244</v>
      </c>
      <c r="EJ619" t="s">
        <v>166</v>
      </c>
      <c r="EK619" t="b">
        <v>0</v>
      </c>
      <c r="EL619" t="b">
        <v>0</v>
      </c>
      <c r="EM619" t="b">
        <v>0</v>
      </c>
    </row>
    <row r="620" spans="3:143" ht="15">
      <c r="C620" s="82">
        <v>1313</v>
      </c>
      <c r="D620" s="5">
        <v>71</v>
      </c>
      <c r="E620" s="4">
        <v>6</v>
      </c>
      <c r="F620" s="5">
        <v>71</v>
      </c>
      <c r="G620" s="5" t="s">
        <v>8091</v>
      </c>
      <c r="H620" s="4" t="s">
        <v>812</v>
      </c>
      <c r="I620" s="81" t="s">
        <v>164</v>
      </c>
      <c r="J620" s="21"/>
      <c r="K620" s="22" t="s">
        <v>8061</v>
      </c>
      <c r="L620" s="84" t="s">
        <v>8047</v>
      </c>
      <c r="M620" s="23" t="s">
        <v>447</v>
      </c>
      <c r="N620" s="23">
        <v>44060</v>
      </c>
      <c r="O620" s="24" t="s">
        <v>102</v>
      </c>
      <c r="P620" s="24" t="s">
        <v>480</v>
      </c>
      <c r="Q620" s="24">
        <v>6</v>
      </c>
      <c r="R620" s="24">
        <v>84</v>
      </c>
      <c r="S620" t="s">
        <v>319</v>
      </c>
      <c r="T620">
        <v>231.7</v>
      </c>
      <c r="U620" s="2"/>
      <c r="W620" s="2"/>
      <c r="AB620" t="s">
        <v>9</v>
      </c>
      <c r="AC620" t="s">
        <v>7855</v>
      </c>
      <c r="AD620" t="s">
        <v>182</v>
      </c>
      <c r="AE620">
        <v>1506773</v>
      </c>
      <c r="AF620">
        <v>1506773</v>
      </c>
      <c r="AG620" t="s">
        <v>183</v>
      </c>
      <c r="AH620" t="s">
        <v>7856</v>
      </c>
      <c r="AI620" t="s">
        <v>7856</v>
      </c>
      <c r="AJ620" t="s">
        <v>184</v>
      </c>
      <c r="AK620" t="s">
        <v>185</v>
      </c>
      <c r="AL620" t="s">
        <v>7857</v>
      </c>
      <c r="AM620" t="s">
        <v>7858</v>
      </c>
      <c r="AO620" t="s">
        <v>7859</v>
      </c>
      <c r="AP620" t="s">
        <v>4014</v>
      </c>
      <c r="AQ620" t="s">
        <v>454</v>
      </c>
      <c r="AR620" t="s">
        <v>7860</v>
      </c>
      <c r="AS620" t="s">
        <v>8085</v>
      </c>
      <c r="AT620" t="s">
        <v>7861</v>
      </c>
      <c r="AU620" t="s">
        <v>10</v>
      </c>
      <c r="AV620" t="s">
        <v>8062</v>
      </c>
      <c r="AW620" t="s">
        <v>8062</v>
      </c>
      <c r="AX620" t="s">
        <v>8063</v>
      </c>
      <c r="AY620" s="2" t="s">
        <v>8064</v>
      </c>
      <c r="AZ620" t="s">
        <v>8065</v>
      </c>
      <c r="BA620" t="s">
        <v>194</v>
      </c>
      <c r="BB620" t="s">
        <v>187</v>
      </c>
      <c r="BC620" t="s">
        <v>188</v>
      </c>
      <c r="BD620">
        <v>518131</v>
      </c>
      <c r="BE620" t="s">
        <v>8086</v>
      </c>
      <c r="BF620" t="s">
        <v>8066</v>
      </c>
      <c r="BG620" t="b">
        <v>0</v>
      </c>
      <c r="BH620" s="6" t="s">
        <v>8067</v>
      </c>
      <c r="BI620" t="s">
        <v>8068</v>
      </c>
      <c r="BJ620">
        <v>4453163191</v>
      </c>
      <c r="BK620" t="s">
        <v>162</v>
      </c>
      <c r="BL620" t="s">
        <v>161</v>
      </c>
      <c r="BM620" s="2"/>
      <c r="BR620" t="s">
        <v>189</v>
      </c>
      <c r="BS620" t="s">
        <v>103</v>
      </c>
      <c r="BU620">
        <v>0</v>
      </c>
      <c r="BV620">
        <v>0</v>
      </c>
      <c r="BW620">
        <v>0</v>
      </c>
      <c r="BX620">
        <v>0</v>
      </c>
      <c r="BY620">
        <v>0</v>
      </c>
      <c r="BZ620">
        <v>0</v>
      </c>
      <c r="CA620">
        <v>0</v>
      </c>
      <c r="CF620" s="2"/>
      <c r="CH620" s="2"/>
      <c r="CK620" t="s">
        <v>1849</v>
      </c>
      <c r="CL620">
        <v>44060.375057870369</v>
      </c>
      <c r="CO620" t="s">
        <v>11</v>
      </c>
      <c r="CP620">
        <v>1621.48</v>
      </c>
      <c r="CQ620" t="s">
        <v>11</v>
      </c>
      <c r="CR620">
        <v>1621.48</v>
      </c>
      <c r="CV620" t="s">
        <v>190</v>
      </c>
      <c r="CW620" t="s">
        <v>12</v>
      </c>
      <c r="CX620" t="s">
        <v>12</v>
      </c>
      <c r="CY620" t="s">
        <v>12</v>
      </c>
      <c r="DA620" t="s">
        <v>104</v>
      </c>
      <c r="DD620" t="s">
        <v>93</v>
      </c>
      <c r="DQ620" t="s">
        <v>94</v>
      </c>
      <c r="DR620" t="s">
        <v>94</v>
      </c>
      <c r="DS620" t="s">
        <v>94</v>
      </c>
      <c r="DT620" t="s">
        <v>94</v>
      </c>
      <c r="DU620" t="s">
        <v>94</v>
      </c>
      <c r="DV620" t="s">
        <v>94</v>
      </c>
      <c r="DW620" t="s">
        <v>94</v>
      </c>
      <c r="DX620" s="2" t="s">
        <v>94</v>
      </c>
      <c r="DY620" t="s">
        <v>94</v>
      </c>
      <c r="DZ620" t="s">
        <v>94</v>
      </c>
      <c r="EA620" t="s">
        <v>94</v>
      </c>
      <c r="EB620" t="s">
        <v>94</v>
      </c>
      <c r="EC620" t="s">
        <v>94</v>
      </c>
      <c r="ED620" t="s">
        <v>94</v>
      </c>
      <c r="EE620" t="s">
        <v>89</v>
      </c>
      <c r="EF620" t="s">
        <v>94</v>
      </c>
      <c r="EG620" t="s">
        <v>7244</v>
      </c>
      <c r="EJ620" t="s">
        <v>166</v>
      </c>
      <c r="EK620" t="b">
        <v>0</v>
      </c>
      <c r="EL620" t="b">
        <v>0</v>
      </c>
      <c r="EM620" t="b">
        <v>0</v>
      </c>
    </row>
    <row r="621" spans="3:143" ht="15">
      <c r="C621" s="82">
        <v>232</v>
      </c>
      <c r="D621" s="5"/>
      <c r="E621" s="4">
        <v>1</v>
      </c>
      <c r="F621" s="5">
        <v>0.46</v>
      </c>
      <c r="G621" s="5" t="s">
        <v>8105</v>
      </c>
      <c r="H621" s="4" t="s">
        <v>8106</v>
      </c>
      <c r="I621" s="81" t="s">
        <v>466</v>
      </c>
      <c r="J621" s="21"/>
      <c r="K621" s="22" t="s">
        <v>8092</v>
      </c>
      <c r="L621" s="84" t="s">
        <v>7823</v>
      </c>
      <c r="M621" s="23" t="s">
        <v>409</v>
      </c>
      <c r="N621" s="23">
        <v>44043</v>
      </c>
      <c r="O621" s="24" t="s">
        <v>102</v>
      </c>
      <c r="P621" s="24" t="s">
        <v>480</v>
      </c>
      <c r="Q621" s="24">
        <v>1</v>
      </c>
      <c r="R621" s="24">
        <v>0.46</v>
      </c>
      <c r="S621" t="s">
        <v>528</v>
      </c>
      <c r="T621">
        <v>10</v>
      </c>
      <c r="U621" s="2"/>
      <c r="W621" s="2"/>
      <c r="AB621" t="s">
        <v>9</v>
      </c>
      <c r="AC621" t="s">
        <v>3917</v>
      </c>
      <c r="AD621" t="s">
        <v>482</v>
      </c>
      <c r="AE621">
        <v>2024661</v>
      </c>
      <c r="AF621">
        <v>2024661</v>
      </c>
      <c r="AG621" t="s">
        <v>183</v>
      </c>
      <c r="AH621" t="s">
        <v>8093</v>
      </c>
      <c r="AI621" t="s">
        <v>8093</v>
      </c>
      <c r="AJ621" t="s">
        <v>2322</v>
      </c>
      <c r="AK621" t="s">
        <v>2323</v>
      </c>
      <c r="AL621" t="s">
        <v>8094</v>
      </c>
      <c r="AM621" t="s">
        <v>8095</v>
      </c>
      <c r="AN621" t="s">
        <v>8096</v>
      </c>
      <c r="AO621" t="s">
        <v>8097</v>
      </c>
      <c r="AP621" t="s">
        <v>3923</v>
      </c>
      <c r="AQ621" t="s">
        <v>3924</v>
      </c>
      <c r="AR621">
        <v>34485</v>
      </c>
      <c r="AS621">
        <v>2123953054</v>
      </c>
      <c r="AT621" t="s">
        <v>8098</v>
      </c>
      <c r="AU621" t="s">
        <v>10</v>
      </c>
      <c r="AV621" t="s">
        <v>8099</v>
      </c>
      <c r="AW621" t="s">
        <v>8100</v>
      </c>
      <c r="AX621" t="s">
        <v>8101</v>
      </c>
      <c r="AY621" s="2" t="s">
        <v>8102</v>
      </c>
      <c r="BA621" t="s">
        <v>5695</v>
      </c>
      <c r="BB621" t="s">
        <v>626</v>
      </c>
      <c r="BC621" t="s">
        <v>496</v>
      </c>
      <c r="BD621">
        <v>410004</v>
      </c>
      <c r="BE621">
        <v>8613808414132</v>
      </c>
      <c r="BF621" t="s">
        <v>8100</v>
      </c>
      <c r="BG621" t="b">
        <v>0</v>
      </c>
      <c r="BH621" s="6" t="s">
        <v>8103</v>
      </c>
      <c r="BI621" t="s">
        <v>8104</v>
      </c>
      <c r="BJ621">
        <v>4453163191</v>
      </c>
      <c r="BK621" t="s">
        <v>162</v>
      </c>
      <c r="BL621" t="s">
        <v>161</v>
      </c>
      <c r="BM621" s="2"/>
      <c r="BR621" t="s">
        <v>180</v>
      </c>
      <c r="BS621" t="s">
        <v>103</v>
      </c>
      <c r="BU621">
        <v>0</v>
      </c>
      <c r="BV621">
        <v>0</v>
      </c>
      <c r="BW621">
        <v>0</v>
      </c>
      <c r="BX621">
        <v>0</v>
      </c>
      <c r="BY621">
        <v>0</v>
      </c>
      <c r="BZ621">
        <v>0</v>
      </c>
      <c r="CA621">
        <v>0</v>
      </c>
      <c r="CF621" s="2"/>
      <c r="CH621" s="2"/>
      <c r="CK621" t="s">
        <v>2710</v>
      </c>
      <c r="CL621">
        <v>44043.377893518518</v>
      </c>
      <c r="CO621" t="s">
        <v>11</v>
      </c>
      <c r="CP621">
        <v>79.849999999999994</v>
      </c>
      <c r="CQ621" t="s">
        <v>11</v>
      </c>
      <c r="CR621">
        <v>79.849999999999994</v>
      </c>
      <c r="CV621" t="s">
        <v>190</v>
      </c>
      <c r="CW621" t="s">
        <v>12</v>
      </c>
      <c r="CX621" t="s">
        <v>12</v>
      </c>
      <c r="CY621" t="s">
        <v>12</v>
      </c>
      <c r="DA621" t="s">
        <v>104</v>
      </c>
      <c r="DD621" t="s">
        <v>93</v>
      </c>
      <c r="DQ621" t="s">
        <v>94</v>
      </c>
      <c r="DR621" t="s">
        <v>94</v>
      </c>
      <c r="DS621" t="s">
        <v>94</v>
      </c>
      <c r="DT621" t="s">
        <v>94</v>
      </c>
      <c r="DU621" t="s">
        <v>94</v>
      </c>
      <c r="DV621" t="s">
        <v>94</v>
      </c>
      <c r="DW621" t="s">
        <v>94</v>
      </c>
      <c r="DX621" s="2" t="s">
        <v>94</v>
      </c>
      <c r="DY621" t="s">
        <v>94</v>
      </c>
      <c r="DZ621" t="s">
        <v>94</v>
      </c>
      <c r="EA621" t="s">
        <v>94</v>
      </c>
      <c r="EB621" t="s">
        <v>94</v>
      </c>
      <c r="EC621" t="s">
        <v>94</v>
      </c>
      <c r="ED621" t="s">
        <v>94</v>
      </c>
      <c r="EE621" t="s">
        <v>89</v>
      </c>
      <c r="EF621" t="s">
        <v>425</v>
      </c>
      <c r="EG621" t="s">
        <v>7244</v>
      </c>
      <c r="EJ621" t="s">
        <v>166</v>
      </c>
      <c r="EK621" t="b">
        <v>0</v>
      </c>
      <c r="EL621" t="b">
        <v>0</v>
      </c>
      <c r="EM621" t="b">
        <v>0</v>
      </c>
    </row>
    <row r="622" spans="3:143" ht="15">
      <c r="C622" s="82">
        <v>131</v>
      </c>
      <c r="D622" s="5"/>
      <c r="E622" s="4">
        <v>1</v>
      </c>
      <c r="F622" s="5">
        <v>2.0499999999999998</v>
      </c>
      <c r="G622" s="5" t="s">
        <v>8121</v>
      </c>
      <c r="H622" s="4" t="s">
        <v>3654</v>
      </c>
      <c r="I622" s="81" t="s">
        <v>817</v>
      </c>
      <c r="J622" s="21"/>
      <c r="K622" s="22" t="s">
        <v>8107</v>
      </c>
      <c r="L622" s="84" t="s">
        <v>8108</v>
      </c>
      <c r="M622" s="23" t="s">
        <v>817</v>
      </c>
      <c r="N622" s="23">
        <v>44066</v>
      </c>
      <c r="O622" s="24" t="s">
        <v>102</v>
      </c>
      <c r="P622" s="24" t="s">
        <v>181</v>
      </c>
      <c r="Q622" s="24">
        <v>1</v>
      </c>
      <c r="R622" s="24">
        <v>2.0499999999999998</v>
      </c>
      <c r="S622" t="s">
        <v>319</v>
      </c>
      <c r="T622">
        <v>120</v>
      </c>
      <c r="U622" s="2" t="s">
        <v>163</v>
      </c>
      <c r="V622">
        <v>44066.795844907407</v>
      </c>
      <c r="W622" s="2" t="s">
        <v>427</v>
      </c>
      <c r="X622">
        <v>44066.814097222225</v>
      </c>
      <c r="AB622" t="s">
        <v>9</v>
      </c>
      <c r="AC622" t="s">
        <v>8109</v>
      </c>
      <c r="AD622" t="s">
        <v>182</v>
      </c>
      <c r="AE622">
        <v>27637</v>
      </c>
      <c r="AF622">
        <v>27637</v>
      </c>
      <c r="AH622" t="s">
        <v>8110</v>
      </c>
      <c r="AI622" t="s">
        <v>8110</v>
      </c>
      <c r="AJ622" t="s">
        <v>1214</v>
      </c>
      <c r="AK622" t="s">
        <v>1215</v>
      </c>
      <c r="AL622" t="s">
        <v>8111</v>
      </c>
      <c r="AO622" t="s">
        <v>8112</v>
      </c>
      <c r="AQ622" t="s">
        <v>2900</v>
      </c>
      <c r="AR622">
        <v>8620</v>
      </c>
      <c r="AS622">
        <v>449311010</v>
      </c>
      <c r="AT622" t="s">
        <v>8113</v>
      </c>
      <c r="AU622" t="s">
        <v>10</v>
      </c>
      <c r="AV622" t="s">
        <v>8114</v>
      </c>
      <c r="AW622" t="s">
        <v>8114</v>
      </c>
      <c r="AX622" t="s">
        <v>8115</v>
      </c>
      <c r="AY622" s="2" t="s">
        <v>8116</v>
      </c>
      <c r="AZ622" t="s">
        <v>8117</v>
      </c>
      <c r="BA622" t="s">
        <v>186</v>
      </c>
      <c r="BB622" t="s">
        <v>187</v>
      </c>
      <c r="BC622" t="s">
        <v>188</v>
      </c>
      <c r="BD622">
        <v>518108</v>
      </c>
      <c r="BE622">
        <v>15878662121</v>
      </c>
      <c r="BF622" t="s">
        <v>8118</v>
      </c>
      <c r="BG622" t="b">
        <v>0</v>
      </c>
      <c r="BH622" s="6" t="s">
        <v>8119</v>
      </c>
      <c r="BI622" t="s">
        <v>8120</v>
      </c>
      <c r="BJ622">
        <v>4453163191</v>
      </c>
      <c r="BK622" t="s">
        <v>162</v>
      </c>
      <c r="BL622" t="s">
        <v>161</v>
      </c>
      <c r="BM622" s="2"/>
      <c r="BO622" t="s">
        <v>89</v>
      </c>
      <c r="BP622">
        <v>85414010</v>
      </c>
      <c r="BR622" t="s">
        <v>189</v>
      </c>
      <c r="BS622" t="s">
        <v>103</v>
      </c>
      <c r="BU622">
        <v>0</v>
      </c>
      <c r="BV622">
        <v>109.17</v>
      </c>
      <c r="BW622">
        <v>0</v>
      </c>
      <c r="BX622">
        <v>0</v>
      </c>
      <c r="BY622">
        <v>0</v>
      </c>
      <c r="BZ622">
        <v>0</v>
      </c>
      <c r="CA622">
        <v>109.17</v>
      </c>
      <c r="CB622" t="s">
        <v>444</v>
      </c>
      <c r="CF622" s="2"/>
      <c r="CH622" s="2"/>
      <c r="CJ622">
        <v>5.3142020950151398E+17</v>
      </c>
      <c r="CK622" t="s">
        <v>7016</v>
      </c>
      <c r="CL622">
        <v>44066.577928240738</v>
      </c>
      <c r="CO622" t="s">
        <v>11</v>
      </c>
      <c r="CP622">
        <v>839.78</v>
      </c>
      <c r="CQ622" t="s">
        <v>11</v>
      </c>
      <c r="CR622">
        <v>839.78</v>
      </c>
      <c r="CV622" t="s">
        <v>190</v>
      </c>
      <c r="CW622" t="s">
        <v>12</v>
      </c>
      <c r="CX622" t="s">
        <v>12</v>
      </c>
      <c r="CY622" t="s">
        <v>12</v>
      </c>
      <c r="DA622" t="s">
        <v>104</v>
      </c>
      <c r="DD622" t="s">
        <v>93</v>
      </c>
      <c r="DQ622" t="s">
        <v>94</v>
      </c>
      <c r="DR622" t="s">
        <v>94</v>
      </c>
      <c r="DS622" t="s">
        <v>94</v>
      </c>
      <c r="DT622" t="s">
        <v>94</v>
      </c>
      <c r="DU622" t="s">
        <v>94</v>
      </c>
      <c r="DV622" t="s">
        <v>94</v>
      </c>
      <c r="DW622" t="s">
        <v>94</v>
      </c>
      <c r="DX622" s="2" t="s">
        <v>94</v>
      </c>
      <c r="DY622" t="s">
        <v>94</v>
      </c>
      <c r="DZ622" t="s">
        <v>94</v>
      </c>
      <c r="EA622" t="s">
        <v>94</v>
      </c>
      <c r="EB622" t="s">
        <v>94</v>
      </c>
      <c r="EC622" t="s">
        <v>94</v>
      </c>
      <c r="ED622" t="s">
        <v>94</v>
      </c>
      <c r="EE622" t="s">
        <v>89</v>
      </c>
      <c r="EF622" t="s">
        <v>425</v>
      </c>
      <c r="EG622" t="s">
        <v>7244</v>
      </c>
      <c r="EJ622" t="s">
        <v>166</v>
      </c>
      <c r="EK622" t="b">
        <v>0</v>
      </c>
      <c r="EL622" t="b">
        <v>0</v>
      </c>
      <c r="EM622" t="b">
        <v>0</v>
      </c>
    </row>
    <row r="623" spans="3:143" ht="15">
      <c r="C623" s="82">
        <v>3</v>
      </c>
      <c r="D623" s="5"/>
      <c r="E623" s="4">
        <v>2</v>
      </c>
      <c r="F623" s="5">
        <v>31.45</v>
      </c>
      <c r="G623" s="5" t="s">
        <v>8145</v>
      </c>
      <c r="H623" s="4" t="s">
        <v>8146</v>
      </c>
      <c r="I623" s="81" t="s">
        <v>817</v>
      </c>
      <c r="J623" s="21"/>
      <c r="K623" s="22" t="s">
        <v>8122</v>
      </c>
      <c r="L623" s="84" t="s">
        <v>8108</v>
      </c>
      <c r="M623" s="23" t="s">
        <v>817</v>
      </c>
      <c r="N623" s="23">
        <v>44066</v>
      </c>
      <c r="O623" s="24" t="s">
        <v>102</v>
      </c>
      <c r="P623" s="24" t="s">
        <v>181</v>
      </c>
      <c r="Q623" s="24">
        <v>2</v>
      </c>
      <c r="R623" s="24">
        <v>31.45</v>
      </c>
      <c r="S623" t="s">
        <v>528</v>
      </c>
      <c r="T623">
        <v>360</v>
      </c>
      <c r="U623" s="2" t="s">
        <v>163</v>
      </c>
      <c r="V623">
        <v>44066.795902777776</v>
      </c>
      <c r="W623" s="2" t="s">
        <v>427</v>
      </c>
      <c r="X623">
        <v>44066.817719907405</v>
      </c>
      <c r="AB623" t="s">
        <v>9</v>
      </c>
      <c r="AC623" t="s">
        <v>3522</v>
      </c>
      <c r="AD623" t="s">
        <v>209</v>
      </c>
      <c r="AE623">
        <v>85003198</v>
      </c>
      <c r="AF623">
        <v>85003198</v>
      </c>
      <c r="AG623" t="s">
        <v>183</v>
      </c>
      <c r="AH623" t="s">
        <v>8123</v>
      </c>
      <c r="AI623" t="s">
        <v>8123</v>
      </c>
      <c r="AJ623" t="s">
        <v>484</v>
      </c>
      <c r="AK623" t="s">
        <v>485</v>
      </c>
      <c r="AL623" t="s">
        <v>8124</v>
      </c>
      <c r="AO623" t="s">
        <v>3526</v>
      </c>
      <c r="AP623" t="s">
        <v>3527</v>
      </c>
      <c r="AQ623" t="s">
        <v>3528</v>
      </c>
      <c r="AR623" t="s">
        <v>8125</v>
      </c>
      <c r="AS623">
        <v>3177370091</v>
      </c>
      <c r="AT623" t="s">
        <v>8126</v>
      </c>
      <c r="AU623" t="s">
        <v>10</v>
      </c>
      <c r="AV623" t="s">
        <v>8127</v>
      </c>
      <c r="AW623" t="s">
        <v>8127</v>
      </c>
      <c r="AX623" t="s">
        <v>8128</v>
      </c>
      <c r="AY623" s="2" t="s">
        <v>8129</v>
      </c>
      <c r="AZ623" t="s">
        <v>8130</v>
      </c>
      <c r="BA623" t="s">
        <v>8131</v>
      </c>
      <c r="BB623" t="s">
        <v>223</v>
      </c>
      <c r="BC623" t="s">
        <v>2510</v>
      </c>
      <c r="BD623">
        <v>338000</v>
      </c>
      <c r="BE623">
        <v>8618279061394</v>
      </c>
      <c r="BF623" t="s">
        <v>8132</v>
      </c>
      <c r="BG623" t="b">
        <v>0</v>
      </c>
      <c r="BH623" s="6" t="s">
        <v>8133</v>
      </c>
      <c r="BI623" t="s">
        <v>8134</v>
      </c>
      <c r="BJ623">
        <v>4453163191</v>
      </c>
      <c r="BK623" t="s">
        <v>162</v>
      </c>
      <c r="BL623" t="s">
        <v>161</v>
      </c>
      <c r="BM623" s="2"/>
      <c r="BO623" t="s">
        <v>89</v>
      </c>
      <c r="BP623">
        <v>85423990</v>
      </c>
      <c r="BR623" t="s">
        <v>189</v>
      </c>
      <c r="BS623" t="s">
        <v>103</v>
      </c>
      <c r="BU623">
        <v>0</v>
      </c>
      <c r="BV623">
        <v>373.68</v>
      </c>
      <c r="BW623">
        <v>0</v>
      </c>
      <c r="BX623">
        <v>0</v>
      </c>
      <c r="BY623">
        <v>0</v>
      </c>
      <c r="BZ623">
        <v>0</v>
      </c>
      <c r="CA623">
        <v>373.68</v>
      </c>
      <c r="CB623" t="s">
        <v>444</v>
      </c>
      <c r="CF623" s="2"/>
      <c r="CH623" s="2"/>
      <c r="CJ623">
        <v>5.3142020950151398E+17</v>
      </c>
      <c r="CK623" t="s">
        <v>7016</v>
      </c>
      <c r="CL623">
        <v>44066.576180555552</v>
      </c>
      <c r="CO623" t="s">
        <v>11</v>
      </c>
      <c r="CP623">
        <v>2874.49</v>
      </c>
      <c r="CQ623" t="s">
        <v>11</v>
      </c>
      <c r="CR623">
        <v>2874.49</v>
      </c>
      <c r="CV623" t="s">
        <v>190</v>
      </c>
      <c r="CW623" t="s">
        <v>12</v>
      </c>
      <c r="CX623" t="s">
        <v>12</v>
      </c>
      <c r="CY623" t="s">
        <v>12</v>
      </c>
      <c r="DA623" t="s">
        <v>104</v>
      </c>
      <c r="DD623" t="s">
        <v>93</v>
      </c>
      <c r="DQ623" t="s">
        <v>94</v>
      </c>
      <c r="DR623" t="s">
        <v>94</v>
      </c>
      <c r="DS623" t="s">
        <v>94</v>
      </c>
      <c r="DT623" t="s">
        <v>94</v>
      </c>
      <c r="DU623" t="s">
        <v>94</v>
      </c>
      <c r="DV623" t="s">
        <v>94</v>
      </c>
      <c r="DW623" t="s">
        <v>94</v>
      </c>
      <c r="DX623" s="2" t="s">
        <v>94</v>
      </c>
      <c r="DY623" t="s">
        <v>94</v>
      </c>
      <c r="DZ623" t="s">
        <v>94</v>
      </c>
      <c r="EA623" t="s">
        <v>94</v>
      </c>
      <c r="EB623" t="s">
        <v>94</v>
      </c>
      <c r="EC623" t="s">
        <v>94</v>
      </c>
      <c r="ED623" t="s">
        <v>94</v>
      </c>
      <c r="EE623" t="s">
        <v>89</v>
      </c>
      <c r="EF623" t="s">
        <v>425</v>
      </c>
      <c r="EG623" t="s">
        <v>7244</v>
      </c>
      <c r="EJ623" t="s">
        <v>166</v>
      </c>
      <c r="EK623" t="b">
        <v>0</v>
      </c>
      <c r="EL623" t="b">
        <v>0</v>
      </c>
      <c r="EM623" t="b">
        <v>0</v>
      </c>
    </row>
    <row r="624" spans="3:143" ht="15">
      <c r="C624" s="82">
        <v>25</v>
      </c>
      <c r="D624" s="5"/>
      <c r="E624" s="4">
        <v>1</v>
      </c>
      <c r="F624" s="5">
        <v>82.5</v>
      </c>
      <c r="G624" s="5" t="s">
        <v>8147</v>
      </c>
      <c r="H624" s="4" t="s">
        <v>3100</v>
      </c>
      <c r="I624" s="81" t="s">
        <v>466</v>
      </c>
      <c r="J624" s="21"/>
      <c r="K624" s="22" t="s">
        <v>8135</v>
      </c>
      <c r="L624" s="84" t="s">
        <v>8136</v>
      </c>
      <c r="M624" s="23" t="s">
        <v>409</v>
      </c>
      <c r="N624" s="23">
        <v>44064</v>
      </c>
      <c r="O624" s="24" t="s">
        <v>102</v>
      </c>
      <c r="P624" s="24" t="s">
        <v>480</v>
      </c>
      <c r="Q624" s="24">
        <v>1</v>
      </c>
      <c r="R624" s="24">
        <v>82.5</v>
      </c>
      <c r="S624" t="s">
        <v>528</v>
      </c>
      <c r="T624">
        <v>5222</v>
      </c>
      <c r="U624" s="2"/>
      <c r="W624" s="2"/>
      <c r="AB624" t="s">
        <v>9</v>
      </c>
      <c r="AC624" t="s">
        <v>1037</v>
      </c>
      <c r="AD624" t="s">
        <v>756</v>
      </c>
      <c r="AE624">
        <v>70576260</v>
      </c>
      <c r="AF624">
        <v>70576260</v>
      </c>
      <c r="AG624" t="s">
        <v>183</v>
      </c>
      <c r="AH624" t="s">
        <v>8137</v>
      </c>
      <c r="AI624" t="s">
        <v>8137</v>
      </c>
      <c r="AJ624" t="s">
        <v>776</v>
      </c>
      <c r="AK624" t="s">
        <v>777</v>
      </c>
      <c r="AL624" t="s">
        <v>8138</v>
      </c>
      <c r="AO624" t="s">
        <v>1010</v>
      </c>
      <c r="AP624" t="s">
        <v>1041</v>
      </c>
      <c r="AQ624" t="s">
        <v>1012</v>
      </c>
      <c r="AR624" t="s">
        <v>8148</v>
      </c>
      <c r="AS624">
        <v>6990506780</v>
      </c>
      <c r="AT624" t="s">
        <v>1013</v>
      </c>
      <c r="AU624" t="s">
        <v>10</v>
      </c>
      <c r="AV624" t="s">
        <v>8139</v>
      </c>
      <c r="AW624" t="s">
        <v>8139</v>
      </c>
      <c r="AX624" t="s">
        <v>8140</v>
      </c>
      <c r="AY624" s="2" t="s">
        <v>8141</v>
      </c>
      <c r="BA624" t="s">
        <v>2978</v>
      </c>
      <c r="BB624" t="s">
        <v>766</v>
      </c>
      <c r="BC624" t="s">
        <v>765</v>
      </c>
      <c r="BD624">
        <v>400715</v>
      </c>
      <c r="BE624">
        <v>4933231314945</v>
      </c>
      <c r="BF624" t="s">
        <v>8142</v>
      </c>
      <c r="BG624" t="b">
        <v>0</v>
      </c>
      <c r="BH624" s="6" t="s">
        <v>8143</v>
      </c>
      <c r="BI624" t="s">
        <v>8144</v>
      </c>
      <c r="BJ624">
        <v>4453163191</v>
      </c>
      <c r="BK624" t="s">
        <v>162</v>
      </c>
      <c r="BL624" t="s">
        <v>161</v>
      </c>
      <c r="BM624" s="2"/>
      <c r="BR624" t="s">
        <v>189</v>
      </c>
      <c r="BS624" t="s">
        <v>103</v>
      </c>
      <c r="BU624">
        <v>0</v>
      </c>
      <c r="BV624">
        <v>0</v>
      </c>
      <c r="BW624">
        <v>0</v>
      </c>
      <c r="BX624">
        <v>0</v>
      </c>
      <c r="BY624">
        <v>0</v>
      </c>
      <c r="BZ624">
        <v>0</v>
      </c>
      <c r="CA624">
        <v>0</v>
      </c>
      <c r="CF624" s="2"/>
      <c r="CH624" s="2"/>
      <c r="CK624" t="s">
        <v>2261</v>
      </c>
      <c r="CL624">
        <v>44064.378831018519</v>
      </c>
      <c r="CO624" t="s">
        <v>11</v>
      </c>
      <c r="CP624">
        <v>41696.1</v>
      </c>
      <c r="CQ624" t="s">
        <v>11</v>
      </c>
      <c r="CR624">
        <v>41696.1</v>
      </c>
      <c r="CV624" t="s">
        <v>190</v>
      </c>
      <c r="CW624" t="s">
        <v>12</v>
      </c>
      <c r="CX624" t="s">
        <v>12</v>
      </c>
      <c r="CY624" t="s">
        <v>12</v>
      </c>
      <c r="DA624" t="s">
        <v>104</v>
      </c>
      <c r="DD624" t="s">
        <v>93</v>
      </c>
      <c r="DQ624" t="s">
        <v>94</v>
      </c>
      <c r="DR624" t="s">
        <v>94</v>
      </c>
      <c r="DS624" t="s">
        <v>94</v>
      </c>
      <c r="DT624" t="s">
        <v>94</v>
      </c>
      <c r="DU624" t="s">
        <v>94</v>
      </c>
      <c r="DV624" t="s">
        <v>94</v>
      </c>
      <c r="DW624" t="s">
        <v>94</v>
      </c>
      <c r="DX624" s="2" t="s">
        <v>94</v>
      </c>
      <c r="DY624" t="s">
        <v>94</v>
      </c>
      <c r="DZ624" t="s">
        <v>94</v>
      </c>
      <c r="EA624" t="s">
        <v>94</v>
      </c>
      <c r="EB624" t="s">
        <v>94</v>
      </c>
      <c r="EC624" t="s">
        <v>94</v>
      </c>
      <c r="ED624" t="s">
        <v>94</v>
      </c>
      <c r="EE624" t="s">
        <v>89</v>
      </c>
      <c r="EF624" t="s">
        <v>425</v>
      </c>
      <c r="EG624" t="s">
        <v>7244</v>
      </c>
      <c r="EJ624" t="s">
        <v>166</v>
      </c>
      <c r="EK624" t="b">
        <v>0</v>
      </c>
      <c r="EL624" t="b">
        <v>0</v>
      </c>
      <c r="EM624" t="b">
        <v>0</v>
      </c>
    </row>
    <row r="625" spans="1:143" ht="15">
      <c r="C625" s="82">
        <v>2131</v>
      </c>
      <c r="D625" s="5">
        <v>209</v>
      </c>
      <c r="E625" s="4">
        <v>4</v>
      </c>
      <c r="F625" s="5">
        <v>209</v>
      </c>
      <c r="G625" s="5" t="s">
        <v>8161</v>
      </c>
      <c r="H625" s="4" t="s">
        <v>3100</v>
      </c>
      <c r="I625" s="81" t="s">
        <v>920</v>
      </c>
      <c r="J625" s="21"/>
      <c r="K625" s="22" t="s">
        <v>8159</v>
      </c>
      <c r="L625" s="84" t="s">
        <v>8160</v>
      </c>
      <c r="M625" s="23" t="s">
        <v>920</v>
      </c>
      <c r="N625" s="23">
        <v>44066</v>
      </c>
      <c r="O625" s="24" t="s">
        <v>102</v>
      </c>
      <c r="P625" s="24" t="s">
        <v>480</v>
      </c>
      <c r="Q625" s="24">
        <v>4</v>
      </c>
      <c r="R625" s="24">
        <v>169</v>
      </c>
      <c r="S625" t="s">
        <v>528</v>
      </c>
      <c r="T625">
        <v>5</v>
      </c>
      <c r="U625" s="2"/>
      <c r="W625" s="2"/>
      <c r="AB625" t="s">
        <v>9</v>
      </c>
      <c r="AC625" t="s">
        <v>1835</v>
      </c>
      <c r="AD625" t="s">
        <v>182</v>
      </c>
      <c r="AE625">
        <v>150019</v>
      </c>
      <c r="AF625">
        <v>150019</v>
      </c>
      <c r="AG625">
        <v>3018202</v>
      </c>
      <c r="AH625" t="s">
        <v>8149</v>
      </c>
      <c r="AI625" t="s">
        <v>8149</v>
      </c>
      <c r="AJ625" t="s">
        <v>508</v>
      </c>
      <c r="AK625" t="s">
        <v>509</v>
      </c>
      <c r="AL625" t="s">
        <v>8150</v>
      </c>
      <c r="AO625" t="s">
        <v>8151</v>
      </c>
      <c r="AP625" t="s">
        <v>1839</v>
      </c>
      <c r="AR625">
        <v>69009</v>
      </c>
      <c r="AS625">
        <v>-33478666809</v>
      </c>
      <c r="AT625" t="s">
        <v>8152</v>
      </c>
      <c r="AU625" t="s">
        <v>10</v>
      </c>
      <c r="AV625" t="s">
        <v>8153</v>
      </c>
      <c r="AW625" t="s">
        <v>8153</v>
      </c>
      <c r="AX625" t="s">
        <v>8154</v>
      </c>
      <c r="AY625" s="2" t="s">
        <v>8155</v>
      </c>
      <c r="AZ625" t="s">
        <v>6802</v>
      </c>
      <c r="BA625" t="s">
        <v>194</v>
      </c>
      <c r="BB625" t="s">
        <v>272</v>
      </c>
      <c r="BC625" t="s">
        <v>188</v>
      </c>
      <c r="BD625">
        <v>518000</v>
      </c>
      <c r="BE625" t="s">
        <v>8156</v>
      </c>
      <c r="BF625" t="s">
        <v>6804</v>
      </c>
      <c r="BG625" t="b">
        <v>0</v>
      </c>
      <c r="BH625" s="6" t="s">
        <v>1267</v>
      </c>
      <c r="BI625" t="s">
        <v>8157</v>
      </c>
      <c r="BJ625">
        <v>4453163191</v>
      </c>
      <c r="BK625" t="s">
        <v>162</v>
      </c>
      <c r="BL625" t="s">
        <v>161</v>
      </c>
      <c r="BM625" s="2"/>
      <c r="BN625" t="s">
        <v>8158</v>
      </c>
      <c r="BR625" t="s">
        <v>189</v>
      </c>
      <c r="BS625" t="s">
        <v>103</v>
      </c>
      <c r="BU625">
        <v>0</v>
      </c>
      <c r="BV625">
        <v>0</v>
      </c>
      <c r="BW625">
        <v>0</v>
      </c>
      <c r="BX625">
        <v>0</v>
      </c>
      <c r="BY625">
        <v>0</v>
      </c>
      <c r="BZ625">
        <v>0</v>
      </c>
      <c r="CA625">
        <v>0</v>
      </c>
      <c r="CF625" s="2"/>
      <c r="CH625" s="2"/>
      <c r="CK625" t="s">
        <v>1849</v>
      </c>
      <c r="CL625">
        <v>44065.575381944444</v>
      </c>
      <c r="CO625" t="s">
        <v>11</v>
      </c>
      <c r="CP625">
        <v>39.92</v>
      </c>
      <c r="CQ625" t="s">
        <v>11</v>
      </c>
      <c r="CR625">
        <v>39.92</v>
      </c>
      <c r="CV625" t="s">
        <v>525</v>
      </c>
      <c r="CW625" t="s">
        <v>12</v>
      </c>
      <c r="CX625" t="s">
        <v>12</v>
      </c>
      <c r="CY625" t="s">
        <v>12</v>
      </c>
      <c r="DA625" t="s">
        <v>104</v>
      </c>
      <c r="DD625" t="s">
        <v>93</v>
      </c>
      <c r="DQ625" t="s">
        <v>94</v>
      </c>
      <c r="DR625" t="s">
        <v>94</v>
      </c>
      <c r="DS625" t="s">
        <v>94</v>
      </c>
      <c r="DT625" t="s">
        <v>94</v>
      </c>
      <c r="DU625" t="s">
        <v>94</v>
      </c>
      <c r="DV625" t="s">
        <v>94</v>
      </c>
      <c r="DW625" t="s">
        <v>94</v>
      </c>
      <c r="DX625" s="2" t="s">
        <v>94</v>
      </c>
      <c r="DY625" t="s">
        <v>94</v>
      </c>
      <c r="DZ625" t="s">
        <v>94</v>
      </c>
      <c r="EA625" t="s">
        <v>94</v>
      </c>
      <c r="EB625" t="s">
        <v>94</v>
      </c>
      <c r="EC625" t="s">
        <v>94</v>
      </c>
      <c r="ED625" t="s">
        <v>94</v>
      </c>
      <c r="EE625" t="s">
        <v>89</v>
      </c>
      <c r="EF625" t="s">
        <v>94</v>
      </c>
      <c r="EG625" t="s">
        <v>7244</v>
      </c>
      <c r="EJ625" t="s">
        <v>166</v>
      </c>
      <c r="EK625" t="b">
        <v>0</v>
      </c>
      <c r="EL625" t="b">
        <v>0</v>
      </c>
      <c r="EM625" t="b">
        <v>0</v>
      </c>
    </row>
    <row r="626" spans="1:143" ht="15">
      <c r="C626" s="82">
        <v>132</v>
      </c>
      <c r="D626" s="5"/>
      <c r="E626" s="4">
        <v>1</v>
      </c>
      <c r="F626" s="5">
        <v>43</v>
      </c>
      <c r="G626" s="5" t="s">
        <v>8179</v>
      </c>
      <c r="H626" s="4" t="s">
        <v>8180</v>
      </c>
      <c r="I626" s="81" t="s">
        <v>920</v>
      </c>
      <c r="J626" s="21"/>
      <c r="K626" s="22" t="s">
        <v>8162</v>
      </c>
      <c r="L626" s="84" t="s">
        <v>8163</v>
      </c>
      <c r="M626" s="23" t="s">
        <v>905</v>
      </c>
      <c r="N626" s="23">
        <v>44069</v>
      </c>
      <c r="O626" s="24" t="s">
        <v>102</v>
      </c>
      <c r="P626" s="24" t="s">
        <v>181</v>
      </c>
      <c r="Q626" s="24">
        <v>1</v>
      </c>
      <c r="R626" s="24">
        <v>43</v>
      </c>
      <c r="S626" t="s">
        <v>528</v>
      </c>
      <c r="T626">
        <v>497.16</v>
      </c>
      <c r="U626" s="2" t="s">
        <v>163</v>
      </c>
      <c r="V626">
        <v>44069.809548611112</v>
      </c>
      <c r="W626" s="2" t="s">
        <v>444</v>
      </c>
      <c r="X626">
        <v>44069.826539351852</v>
      </c>
      <c r="AB626" t="s">
        <v>9</v>
      </c>
      <c r="AC626" t="s">
        <v>8164</v>
      </c>
      <c r="AD626" t="s">
        <v>241</v>
      </c>
      <c r="AE626" t="s">
        <v>183</v>
      </c>
      <c r="AF626" t="s">
        <v>183</v>
      </c>
      <c r="AG626">
        <v>3004293</v>
      </c>
      <c r="AH626" t="s">
        <v>8165</v>
      </c>
      <c r="AI626" t="s">
        <v>8165</v>
      </c>
      <c r="AJ626" t="s">
        <v>211</v>
      </c>
      <c r="AK626" t="s">
        <v>212</v>
      </c>
      <c r="AL626" t="s">
        <v>8166</v>
      </c>
      <c r="AM626" t="s">
        <v>8167</v>
      </c>
      <c r="AO626" t="s">
        <v>8168</v>
      </c>
      <c r="AP626" t="s">
        <v>8169</v>
      </c>
      <c r="AQ626" t="s">
        <v>2307</v>
      </c>
      <c r="AR626">
        <v>412216</v>
      </c>
      <c r="AS626">
        <v>0</v>
      </c>
      <c r="AT626" t="s">
        <v>3711</v>
      </c>
      <c r="AU626" t="s">
        <v>10</v>
      </c>
      <c r="AV626" t="s">
        <v>8170</v>
      </c>
      <c r="AW626" t="s">
        <v>8170</v>
      </c>
      <c r="AX626" t="s">
        <v>8171</v>
      </c>
      <c r="AY626" s="2" t="s">
        <v>8172</v>
      </c>
      <c r="AZ626" t="s">
        <v>8173</v>
      </c>
      <c r="BA626" t="s">
        <v>1226</v>
      </c>
      <c r="BB626" t="s">
        <v>246</v>
      </c>
      <c r="BC626" t="s">
        <v>188</v>
      </c>
      <c r="BD626">
        <v>516006</v>
      </c>
      <c r="BE626" t="s">
        <v>8174</v>
      </c>
      <c r="BF626" t="s">
        <v>8175</v>
      </c>
      <c r="BG626" t="b">
        <v>0</v>
      </c>
      <c r="BH626" s="6" t="s">
        <v>8176</v>
      </c>
      <c r="BI626" t="s">
        <v>8177</v>
      </c>
      <c r="BJ626">
        <v>4453163191</v>
      </c>
      <c r="BK626" t="s">
        <v>162</v>
      </c>
      <c r="BL626" t="s">
        <v>161</v>
      </c>
      <c r="BM626" s="2"/>
      <c r="BN626" t="s">
        <v>8178</v>
      </c>
      <c r="BO626" t="s">
        <v>89</v>
      </c>
      <c r="BP626">
        <v>85352100</v>
      </c>
      <c r="BR626" t="s">
        <v>189</v>
      </c>
      <c r="BS626" t="s">
        <v>103</v>
      </c>
      <c r="BU626">
        <v>396.97</v>
      </c>
      <c r="BV626">
        <v>567.66</v>
      </c>
      <c r="BW626">
        <v>0</v>
      </c>
      <c r="BX626">
        <v>0</v>
      </c>
      <c r="BY626">
        <v>0</v>
      </c>
      <c r="BZ626">
        <v>0</v>
      </c>
      <c r="CA626">
        <v>964.63</v>
      </c>
      <c r="CF626" s="2"/>
      <c r="CH626" s="2"/>
      <c r="CJ626">
        <v>5.3142020950153203E+17</v>
      </c>
      <c r="CK626" t="s">
        <v>2261</v>
      </c>
      <c r="CL626">
        <v>44069.381666666668</v>
      </c>
      <c r="CO626" t="s">
        <v>11</v>
      </c>
      <c r="CP626">
        <v>3969.67</v>
      </c>
      <c r="CQ626" t="s">
        <v>11</v>
      </c>
      <c r="CR626">
        <v>3969.67</v>
      </c>
      <c r="CV626" t="s">
        <v>525</v>
      </c>
      <c r="CW626" t="s">
        <v>12</v>
      </c>
      <c r="CX626" t="s">
        <v>12</v>
      </c>
      <c r="CY626" t="s">
        <v>12</v>
      </c>
      <c r="DA626" t="s">
        <v>104</v>
      </c>
      <c r="DD626" t="s">
        <v>93</v>
      </c>
      <c r="DQ626" t="s">
        <v>94</v>
      </c>
      <c r="DR626" t="s">
        <v>94</v>
      </c>
      <c r="DS626" t="s">
        <v>94</v>
      </c>
      <c r="DT626" t="s">
        <v>94</v>
      </c>
      <c r="DU626" t="s">
        <v>94</v>
      </c>
      <c r="DV626" t="s">
        <v>94</v>
      </c>
      <c r="DW626" t="s">
        <v>94</v>
      </c>
      <c r="DX626" s="2" t="s">
        <v>94</v>
      </c>
      <c r="DY626" t="s">
        <v>94</v>
      </c>
      <c r="DZ626" t="s">
        <v>94</v>
      </c>
      <c r="EA626" t="s">
        <v>94</v>
      </c>
      <c r="EB626" t="s">
        <v>94</v>
      </c>
      <c r="EC626" t="s">
        <v>94</v>
      </c>
      <c r="ED626" t="s">
        <v>94</v>
      </c>
      <c r="EE626" t="s">
        <v>89</v>
      </c>
      <c r="EF626" t="s">
        <v>94</v>
      </c>
      <c r="EG626" t="s">
        <v>7244</v>
      </c>
      <c r="EJ626" t="s">
        <v>166</v>
      </c>
      <c r="EK626" t="b">
        <v>0</v>
      </c>
      <c r="EL626" t="b">
        <v>0</v>
      </c>
      <c r="EM626" t="b">
        <v>0</v>
      </c>
    </row>
    <row r="627" spans="1:143" ht="15">
      <c r="C627" s="82">
        <v>12</v>
      </c>
      <c r="D627" s="5">
        <v>7</v>
      </c>
      <c r="E627" s="4">
        <v>1</v>
      </c>
      <c r="F627" s="5">
        <v>7</v>
      </c>
      <c r="G627" s="5" t="s">
        <v>8196</v>
      </c>
      <c r="H627" s="4" t="s">
        <v>8197</v>
      </c>
      <c r="I627" s="81" t="s">
        <v>920</v>
      </c>
      <c r="J627" s="21"/>
      <c r="K627" s="22" t="s">
        <v>8181</v>
      </c>
      <c r="L627" s="84" t="s">
        <v>8163</v>
      </c>
      <c r="M627" s="23" t="s">
        <v>905</v>
      </c>
      <c r="N627" s="23">
        <v>44069</v>
      </c>
      <c r="O627" s="24" t="s">
        <v>102</v>
      </c>
      <c r="P627" s="24" t="s">
        <v>480</v>
      </c>
      <c r="Q627" s="24">
        <v>1</v>
      </c>
      <c r="R627" s="24">
        <v>5.4</v>
      </c>
      <c r="S627" t="s">
        <v>4062</v>
      </c>
      <c r="T627">
        <v>142700</v>
      </c>
      <c r="U627" s="2"/>
      <c r="W627" s="2"/>
      <c r="AB627" t="s">
        <v>9</v>
      </c>
      <c r="AC627" t="s">
        <v>1531</v>
      </c>
      <c r="AD627" t="s">
        <v>756</v>
      </c>
      <c r="AE627">
        <v>455305</v>
      </c>
      <c r="AF627">
        <v>455305</v>
      </c>
      <c r="AG627" t="s">
        <v>183</v>
      </c>
      <c r="AH627" t="s">
        <v>8182</v>
      </c>
      <c r="AI627" t="s">
        <v>8182</v>
      </c>
      <c r="AJ627" t="s">
        <v>1533</v>
      </c>
      <c r="AK627" t="s">
        <v>1534</v>
      </c>
      <c r="AL627">
        <v>13641</v>
      </c>
      <c r="AM627" t="s">
        <v>8183</v>
      </c>
      <c r="AO627" t="s">
        <v>8184</v>
      </c>
      <c r="AP627" t="s">
        <v>1538</v>
      </c>
      <c r="AQ627" t="s">
        <v>8185</v>
      </c>
      <c r="AR627">
        <v>2230052</v>
      </c>
      <c r="AS627" t="s">
        <v>8186</v>
      </c>
      <c r="AT627" t="s">
        <v>8187</v>
      </c>
      <c r="AU627" t="s">
        <v>10</v>
      </c>
      <c r="AV627" t="s">
        <v>8188</v>
      </c>
      <c r="AW627" t="s">
        <v>8188</v>
      </c>
      <c r="AX627" t="s">
        <v>8189</v>
      </c>
      <c r="AY627" s="2" t="s">
        <v>8190</v>
      </c>
      <c r="AZ627" t="s">
        <v>8191</v>
      </c>
      <c r="BA627" t="s">
        <v>7292</v>
      </c>
      <c r="BB627" t="s">
        <v>766</v>
      </c>
      <c r="BC627" t="s">
        <v>765</v>
      </c>
      <c r="BD627">
        <v>401346</v>
      </c>
      <c r="BE627" t="s">
        <v>8192</v>
      </c>
      <c r="BF627" t="s">
        <v>8193</v>
      </c>
      <c r="BG627" t="b">
        <v>0</v>
      </c>
      <c r="BH627" s="6" t="s">
        <v>8194</v>
      </c>
      <c r="BI627" t="s">
        <v>8195</v>
      </c>
      <c r="BJ627">
        <v>4453163191</v>
      </c>
      <c r="BK627" t="s">
        <v>162</v>
      </c>
      <c r="BL627" t="s">
        <v>161</v>
      </c>
      <c r="BM627" s="2"/>
      <c r="BR627" t="s">
        <v>180</v>
      </c>
      <c r="BS627" t="s">
        <v>103</v>
      </c>
      <c r="BU627">
        <v>0</v>
      </c>
      <c r="BV627">
        <v>0</v>
      </c>
      <c r="BW627">
        <v>0</v>
      </c>
      <c r="BX627">
        <v>0</v>
      </c>
      <c r="BY627">
        <v>0</v>
      </c>
      <c r="BZ627">
        <v>0</v>
      </c>
      <c r="CA627">
        <v>0</v>
      </c>
      <c r="CF627" s="2"/>
      <c r="CH627" s="2"/>
      <c r="CK627" t="s">
        <v>2261</v>
      </c>
      <c r="CL627">
        <v>44069.381608796299</v>
      </c>
      <c r="CO627" t="s">
        <v>11</v>
      </c>
      <c r="CP627">
        <v>9310.32</v>
      </c>
      <c r="CQ627" t="s">
        <v>11</v>
      </c>
      <c r="CR627">
        <v>9310.32</v>
      </c>
      <c r="CV627" t="s">
        <v>190</v>
      </c>
      <c r="CW627" t="s">
        <v>12</v>
      </c>
      <c r="CX627" t="s">
        <v>12</v>
      </c>
      <c r="CY627" t="s">
        <v>12</v>
      </c>
      <c r="DA627" t="s">
        <v>104</v>
      </c>
      <c r="DD627" t="s">
        <v>93</v>
      </c>
      <c r="DQ627" t="s">
        <v>94</v>
      </c>
      <c r="DR627" t="s">
        <v>94</v>
      </c>
      <c r="DS627" t="s">
        <v>94</v>
      </c>
      <c r="DT627" t="s">
        <v>94</v>
      </c>
      <c r="DU627" t="s">
        <v>94</v>
      </c>
      <c r="DV627" t="s">
        <v>94</v>
      </c>
      <c r="DW627" t="s">
        <v>94</v>
      </c>
      <c r="DX627" s="2" t="s">
        <v>94</v>
      </c>
      <c r="DY627" t="s">
        <v>94</v>
      </c>
      <c r="DZ627" t="s">
        <v>94</v>
      </c>
      <c r="EA627" t="s">
        <v>94</v>
      </c>
      <c r="EB627" t="s">
        <v>94</v>
      </c>
      <c r="EC627" t="s">
        <v>94</v>
      </c>
      <c r="ED627" t="s">
        <v>94</v>
      </c>
      <c r="EE627" t="s">
        <v>89</v>
      </c>
      <c r="EF627" t="s">
        <v>94</v>
      </c>
      <c r="EG627" t="s">
        <v>7244</v>
      </c>
      <c r="EJ627" t="s">
        <v>166</v>
      </c>
      <c r="EK627" t="b">
        <v>0</v>
      </c>
      <c r="EL627" t="b">
        <v>0</v>
      </c>
      <c r="EM627" t="b">
        <v>0</v>
      </c>
    </row>
    <row r="628" spans="1:143" ht="15">
      <c r="C628" s="82">
        <v>13213</v>
      </c>
      <c r="D628" s="5"/>
      <c r="E628" s="4">
        <v>1</v>
      </c>
      <c r="F628" s="5">
        <v>23.88</v>
      </c>
      <c r="G628" s="5" t="s">
        <v>8214</v>
      </c>
      <c r="H628" s="4" t="s">
        <v>8215</v>
      </c>
      <c r="I628" s="81" t="s">
        <v>817</v>
      </c>
      <c r="J628" s="21"/>
      <c r="K628" s="22" t="s">
        <v>8198</v>
      </c>
      <c r="L628" s="84" t="s">
        <v>8199</v>
      </c>
      <c r="M628" s="23" t="s">
        <v>817</v>
      </c>
      <c r="N628" s="23">
        <v>44073</v>
      </c>
      <c r="O628" s="24" t="s">
        <v>102</v>
      </c>
      <c r="P628" s="24" t="s">
        <v>181</v>
      </c>
      <c r="Q628" s="24">
        <v>1</v>
      </c>
      <c r="R628" s="24">
        <v>23.88</v>
      </c>
      <c r="S628" t="s">
        <v>11</v>
      </c>
      <c r="T628">
        <v>3731</v>
      </c>
      <c r="U628" s="2" t="s">
        <v>163</v>
      </c>
      <c r="V628">
        <v>44073.839930555558</v>
      </c>
      <c r="W628" s="2" t="s">
        <v>427</v>
      </c>
      <c r="X628">
        <v>44073.857754629629</v>
      </c>
      <c r="AB628" t="s">
        <v>9</v>
      </c>
      <c r="AC628" t="s">
        <v>2768</v>
      </c>
      <c r="AD628" t="s">
        <v>182</v>
      </c>
      <c r="AE628">
        <v>39084</v>
      </c>
      <c r="AF628">
        <v>39084</v>
      </c>
      <c r="AG628" t="s">
        <v>183</v>
      </c>
      <c r="AH628" t="s">
        <v>8200</v>
      </c>
      <c r="AI628" t="s">
        <v>8200</v>
      </c>
      <c r="AJ628" t="s">
        <v>821</v>
      </c>
      <c r="AK628" t="s">
        <v>822</v>
      </c>
      <c r="AL628" t="s">
        <v>8201</v>
      </c>
      <c r="AM628" t="s">
        <v>8202</v>
      </c>
      <c r="AN628" t="s">
        <v>8203</v>
      </c>
      <c r="AO628" t="s">
        <v>8204</v>
      </c>
      <c r="AP628" t="s">
        <v>2773</v>
      </c>
      <c r="AR628">
        <v>8790</v>
      </c>
      <c r="AS628">
        <v>56620541</v>
      </c>
      <c r="AT628" t="s">
        <v>8205</v>
      </c>
      <c r="AU628" t="s">
        <v>10</v>
      </c>
      <c r="AV628" t="s">
        <v>8206</v>
      </c>
      <c r="AW628" t="s">
        <v>8206</v>
      </c>
      <c r="AX628" t="s">
        <v>8207</v>
      </c>
      <c r="AY628" s="2" t="s">
        <v>8208</v>
      </c>
      <c r="AZ628" t="s">
        <v>8209</v>
      </c>
      <c r="BA628" t="s">
        <v>186</v>
      </c>
      <c r="BB628" t="s">
        <v>187</v>
      </c>
      <c r="BC628" t="s">
        <v>188</v>
      </c>
      <c r="BD628">
        <v>518105</v>
      </c>
      <c r="BE628" t="s">
        <v>8210</v>
      </c>
      <c r="BF628" t="s">
        <v>8211</v>
      </c>
      <c r="BG628" t="b">
        <v>0</v>
      </c>
      <c r="BH628" s="6" t="s">
        <v>8212</v>
      </c>
      <c r="BI628" t="s">
        <v>8213</v>
      </c>
      <c r="BJ628">
        <v>4453163191</v>
      </c>
      <c r="BK628" t="s">
        <v>162</v>
      </c>
      <c r="BL628" t="s">
        <v>161</v>
      </c>
      <c r="BM628" s="2"/>
      <c r="BO628" t="s">
        <v>89</v>
      </c>
      <c r="BP628">
        <v>83016000</v>
      </c>
      <c r="BR628" t="s">
        <v>189</v>
      </c>
      <c r="BS628" t="s">
        <v>103</v>
      </c>
      <c r="BU628">
        <v>335.79</v>
      </c>
      <c r="BV628">
        <v>528.67999999999995</v>
      </c>
      <c r="BW628">
        <v>0</v>
      </c>
      <c r="BX628">
        <v>0</v>
      </c>
      <c r="BY628">
        <v>0</v>
      </c>
      <c r="BZ628">
        <v>0</v>
      </c>
      <c r="CA628">
        <v>864.47</v>
      </c>
      <c r="CB628" t="s">
        <v>444</v>
      </c>
      <c r="CF628" s="2"/>
      <c r="CH628" s="2"/>
      <c r="CJ628">
        <v>5.3142020950156E+17</v>
      </c>
      <c r="CK628" t="s">
        <v>1849</v>
      </c>
      <c r="CL628">
        <v>44073.374537037038</v>
      </c>
      <c r="CO628" t="s">
        <v>11</v>
      </c>
      <c r="CP628">
        <v>3731</v>
      </c>
      <c r="CQ628" t="s">
        <v>11</v>
      </c>
      <c r="CR628">
        <v>3731</v>
      </c>
      <c r="CV628" t="s">
        <v>190</v>
      </c>
      <c r="CW628" t="s">
        <v>12</v>
      </c>
      <c r="CX628" t="s">
        <v>12</v>
      </c>
      <c r="CY628" t="s">
        <v>12</v>
      </c>
      <c r="DA628" t="s">
        <v>104</v>
      </c>
      <c r="DD628" t="s">
        <v>93</v>
      </c>
      <c r="DQ628" t="s">
        <v>94</v>
      </c>
      <c r="DR628" t="s">
        <v>94</v>
      </c>
      <c r="DS628" t="s">
        <v>94</v>
      </c>
      <c r="DT628" t="s">
        <v>94</v>
      </c>
      <c r="DU628" t="s">
        <v>94</v>
      </c>
      <c r="DV628" t="s">
        <v>94</v>
      </c>
      <c r="DW628" t="s">
        <v>94</v>
      </c>
      <c r="DX628" s="2" t="s">
        <v>94</v>
      </c>
      <c r="DY628" t="s">
        <v>94</v>
      </c>
      <c r="DZ628" t="s">
        <v>94</v>
      </c>
      <c r="EA628" t="s">
        <v>94</v>
      </c>
      <c r="EB628" t="s">
        <v>94</v>
      </c>
      <c r="EC628" t="s">
        <v>94</v>
      </c>
      <c r="ED628" t="s">
        <v>94</v>
      </c>
      <c r="EE628" t="s">
        <v>89</v>
      </c>
      <c r="EF628" t="s">
        <v>425</v>
      </c>
      <c r="EG628" t="s">
        <v>7244</v>
      </c>
      <c r="EJ628" t="s">
        <v>166</v>
      </c>
      <c r="EK628" t="b">
        <v>0</v>
      </c>
      <c r="EL628" t="b">
        <v>0</v>
      </c>
      <c r="EM628" t="b">
        <v>0</v>
      </c>
    </row>
    <row r="629" spans="1:143" ht="15">
      <c r="C629" s="82">
        <v>123</v>
      </c>
      <c r="D629" s="5">
        <v>886</v>
      </c>
      <c r="E629" s="4">
        <v>3</v>
      </c>
      <c r="F629" s="5">
        <v>886</v>
      </c>
      <c r="G629" s="5" t="s">
        <v>8229</v>
      </c>
      <c r="H629" s="4" t="s">
        <v>8230</v>
      </c>
      <c r="I629" s="81" t="s">
        <v>920</v>
      </c>
      <c r="J629" s="21"/>
      <c r="K629" s="22" t="s">
        <v>8216</v>
      </c>
      <c r="L629" s="84" t="s">
        <v>8217</v>
      </c>
      <c r="M629" s="23" t="s">
        <v>920</v>
      </c>
      <c r="N629" s="23">
        <v>44072</v>
      </c>
      <c r="O629" s="24" t="s">
        <v>102</v>
      </c>
      <c r="P629" s="24" t="s">
        <v>480</v>
      </c>
      <c r="Q629" s="24">
        <v>3</v>
      </c>
      <c r="R629" s="24">
        <v>732</v>
      </c>
      <c r="S629" t="s">
        <v>319</v>
      </c>
      <c r="T629">
        <v>25059.89</v>
      </c>
      <c r="U629" s="2"/>
      <c r="W629" s="2"/>
      <c r="AB629" t="s">
        <v>9</v>
      </c>
      <c r="AC629" t="s">
        <v>6062</v>
      </c>
      <c r="AD629" t="s">
        <v>182</v>
      </c>
      <c r="AE629">
        <v>122655</v>
      </c>
      <c r="AF629">
        <v>122655</v>
      </c>
      <c r="AG629">
        <v>3004776</v>
      </c>
      <c r="AH629" t="s">
        <v>8218</v>
      </c>
      <c r="AI629" t="s">
        <v>8218</v>
      </c>
      <c r="AJ629" t="s">
        <v>338</v>
      </c>
      <c r="AK629" t="s">
        <v>339</v>
      </c>
      <c r="AL629" t="s">
        <v>8219</v>
      </c>
      <c r="AM629" t="s">
        <v>8220</v>
      </c>
      <c r="AN629" t="s">
        <v>8221</v>
      </c>
      <c r="AO629" t="s">
        <v>6067</v>
      </c>
      <c r="AP629" t="s">
        <v>6068</v>
      </c>
      <c r="AR629">
        <v>29465</v>
      </c>
      <c r="AS629">
        <v>62778464698</v>
      </c>
      <c r="AT629" t="s">
        <v>8222</v>
      </c>
      <c r="AU629" t="s">
        <v>10</v>
      </c>
      <c r="AV629" t="s">
        <v>8223</v>
      </c>
      <c r="AW629" t="s">
        <v>8223</v>
      </c>
      <c r="AX629" t="s">
        <v>8224</v>
      </c>
      <c r="AY629" s="2" t="s">
        <v>8225</v>
      </c>
      <c r="AZ629" t="s">
        <v>8226</v>
      </c>
      <c r="BA629" t="s">
        <v>1002</v>
      </c>
      <c r="BB629" t="s">
        <v>187</v>
      </c>
      <c r="BC629" t="s">
        <v>188</v>
      </c>
      <c r="BD629">
        <v>518116</v>
      </c>
      <c r="BE629" t="s">
        <v>1003</v>
      </c>
      <c r="BF629" t="s">
        <v>1004</v>
      </c>
      <c r="BG629" t="b">
        <v>0</v>
      </c>
      <c r="BH629" s="6" t="s">
        <v>8227</v>
      </c>
      <c r="BI629" t="s">
        <v>8228</v>
      </c>
      <c r="BJ629">
        <v>4453163191</v>
      </c>
      <c r="BK629" t="s">
        <v>162</v>
      </c>
      <c r="BL629" t="s">
        <v>161</v>
      </c>
      <c r="BM629" s="2"/>
      <c r="BN629">
        <v>9.1440300558653402E+17</v>
      </c>
      <c r="BR629" t="s">
        <v>180</v>
      </c>
      <c r="BS629" t="s">
        <v>103</v>
      </c>
      <c r="BU629">
        <v>0</v>
      </c>
      <c r="BV629">
        <v>0</v>
      </c>
      <c r="BW629">
        <v>0</v>
      </c>
      <c r="BX629">
        <v>0</v>
      </c>
      <c r="BY629">
        <v>0</v>
      </c>
      <c r="BZ629">
        <v>0</v>
      </c>
      <c r="CA629">
        <v>0</v>
      </c>
      <c r="CF629" s="2"/>
      <c r="CH629" s="2"/>
      <c r="CK629" t="s">
        <v>4402</v>
      </c>
      <c r="CL629">
        <v>44072.374594907407</v>
      </c>
      <c r="CO629" t="s">
        <v>11</v>
      </c>
      <c r="CP629">
        <v>174409.32</v>
      </c>
      <c r="CQ629" t="s">
        <v>11</v>
      </c>
      <c r="CR629">
        <v>174409.32</v>
      </c>
      <c r="CV629" t="s">
        <v>525</v>
      </c>
      <c r="CW629" t="s">
        <v>12</v>
      </c>
      <c r="CX629" t="s">
        <v>12</v>
      </c>
      <c r="CY629" t="s">
        <v>12</v>
      </c>
      <c r="DA629" t="s">
        <v>104</v>
      </c>
      <c r="DD629" t="s">
        <v>93</v>
      </c>
      <c r="DQ629" t="s">
        <v>94</v>
      </c>
      <c r="DR629" t="s">
        <v>94</v>
      </c>
      <c r="DS629" t="s">
        <v>94</v>
      </c>
      <c r="DT629" t="s">
        <v>94</v>
      </c>
      <c r="DU629" t="s">
        <v>94</v>
      </c>
      <c r="DV629" t="s">
        <v>94</v>
      </c>
      <c r="DW629" t="s">
        <v>94</v>
      </c>
      <c r="DX629" s="2" t="s">
        <v>94</v>
      </c>
      <c r="DY629" t="s">
        <v>94</v>
      </c>
      <c r="DZ629" t="s">
        <v>94</v>
      </c>
      <c r="EA629" t="s">
        <v>94</v>
      </c>
      <c r="EB629" t="s">
        <v>94</v>
      </c>
      <c r="EC629" t="s">
        <v>94</v>
      </c>
      <c r="ED629" t="s">
        <v>94</v>
      </c>
      <c r="EE629" t="s">
        <v>89</v>
      </c>
      <c r="EF629" t="s">
        <v>94</v>
      </c>
      <c r="EG629" t="s">
        <v>7244</v>
      </c>
      <c r="EJ629" t="s">
        <v>166</v>
      </c>
      <c r="EK629" t="b">
        <v>0</v>
      </c>
      <c r="EL629" t="b">
        <v>0</v>
      </c>
      <c r="EM629" t="b">
        <v>0</v>
      </c>
    </row>
    <row r="630" spans="1:143" ht="15">
      <c r="C630" s="82">
        <v>1321</v>
      </c>
      <c r="D630" s="5"/>
      <c r="E630" s="4">
        <v>1</v>
      </c>
      <c r="F630" s="5">
        <v>1.25</v>
      </c>
      <c r="G630" s="5" t="s">
        <v>8243</v>
      </c>
      <c r="H630" s="4" t="s">
        <v>8244</v>
      </c>
      <c r="I630" s="81" t="s">
        <v>920</v>
      </c>
      <c r="J630" s="21"/>
      <c r="K630" s="22" t="s">
        <v>8231</v>
      </c>
      <c r="L630" s="84" t="s">
        <v>8160</v>
      </c>
      <c r="M630" s="23" t="s">
        <v>920</v>
      </c>
      <c r="N630" s="23">
        <v>44066</v>
      </c>
      <c r="O630" s="24" t="s">
        <v>102</v>
      </c>
      <c r="P630" s="24" t="s">
        <v>480</v>
      </c>
      <c r="Q630" s="24">
        <v>1</v>
      </c>
      <c r="R630" s="24">
        <v>1.25</v>
      </c>
      <c r="S630" t="s">
        <v>319</v>
      </c>
      <c r="T630">
        <v>1200.8</v>
      </c>
      <c r="U630" s="2"/>
      <c r="W630" s="2"/>
      <c r="AB630" t="s">
        <v>9</v>
      </c>
      <c r="AC630" t="s">
        <v>4473</v>
      </c>
      <c r="AD630" t="s">
        <v>182</v>
      </c>
      <c r="AE630">
        <v>183415</v>
      </c>
      <c r="AF630">
        <v>183415</v>
      </c>
      <c r="AG630" t="s">
        <v>183</v>
      </c>
      <c r="AH630" t="s">
        <v>8232</v>
      </c>
      <c r="AI630" t="s">
        <v>8232</v>
      </c>
      <c r="AJ630" t="s">
        <v>484</v>
      </c>
      <c r="AK630" t="s">
        <v>485</v>
      </c>
      <c r="AL630" t="s">
        <v>8233</v>
      </c>
      <c r="AO630" t="s">
        <v>8234</v>
      </c>
      <c r="AP630" t="s">
        <v>4477</v>
      </c>
      <c r="AQ630" t="s">
        <v>1906</v>
      </c>
      <c r="AR630" t="s">
        <v>8235</v>
      </c>
      <c r="AS630">
        <v>263194911</v>
      </c>
      <c r="AT630" t="s">
        <v>8236</v>
      </c>
      <c r="AU630" t="s">
        <v>10</v>
      </c>
      <c r="AV630" t="s">
        <v>8237</v>
      </c>
      <c r="AW630" t="s">
        <v>8237</v>
      </c>
      <c r="AX630" t="s">
        <v>8238</v>
      </c>
      <c r="AY630" s="2" t="s">
        <v>8239</v>
      </c>
      <c r="BA630" t="s">
        <v>194</v>
      </c>
      <c r="BB630" t="s">
        <v>272</v>
      </c>
      <c r="BC630" t="s">
        <v>188</v>
      </c>
      <c r="BD630">
        <v>518038</v>
      </c>
      <c r="BE630">
        <v>-8675583488044</v>
      </c>
      <c r="BF630" t="s">
        <v>8240</v>
      </c>
      <c r="BG630" t="b">
        <v>0</v>
      </c>
      <c r="BH630" s="6" t="s">
        <v>8241</v>
      </c>
      <c r="BI630" t="s">
        <v>8242</v>
      </c>
      <c r="BJ630">
        <v>4453163191</v>
      </c>
      <c r="BK630" t="s">
        <v>162</v>
      </c>
      <c r="BL630" t="s">
        <v>161</v>
      </c>
      <c r="BM630" s="2"/>
      <c r="BR630" t="s">
        <v>189</v>
      </c>
      <c r="BS630" t="s">
        <v>103</v>
      </c>
      <c r="BU630">
        <v>0</v>
      </c>
      <c r="BV630">
        <v>0</v>
      </c>
      <c r="BW630">
        <v>0</v>
      </c>
      <c r="BX630">
        <v>0</v>
      </c>
      <c r="BY630">
        <v>0</v>
      </c>
      <c r="BZ630">
        <v>0</v>
      </c>
      <c r="CA630">
        <v>0</v>
      </c>
      <c r="CF630" s="2"/>
      <c r="CH630" s="2"/>
      <c r="CK630" t="s">
        <v>1849</v>
      </c>
      <c r="CL630">
        <v>44065.574826388889</v>
      </c>
      <c r="CO630" t="s">
        <v>11</v>
      </c>
      <c r="CP630">
        <v>8357.2099999999991</v>
      </c>
      <c r="CQ630" t="s">
        <v>11</v>
      </c>
      <c r="CR630">
        <v>8357.2099999999991</v>
      </c>
      <c r="CV630" t="s">
        <v>190</v>
      </c>
      <c r="CW630" t="s">
        <v>12</v>
      </c>
      <c r="CX630" t="s">
        <v>12</v>
      </c>
      <c r="CY630" t="s">
        <v>12</v>
      </c>
      <c r="DA630" t="s">
        <v>104</v>
      </c>
      <c r="DD630" t="s">
        <v>93</v>
      </c>
      <c r="DQ630" t="s">
        <v>94</v>
      </c>
      <c r="DR630" t="s">
        <v>94</v>
      </c>
      <c r="DS630" t="s">
        <v>94</v>
      </c>
      <c r="DT630" t="s">
        <v>94</v>
      </c>
      <c r="DU630" t="s">
        <v>94</v>
      </c>
      <c r="DV630" t="s">
        <v>94</v>
      </c>
      <c r="DW630" t="s">
        <v>94</v>
      </c>
      <c r="DX630" s="2" t="s">
        <v>94</v>
      </c>
      <c r="DY630" t="s">
        <v>94</v>
      </c>
      <c r="DZ630" t="s">
        <v>94</v>
      </c>
      <c r="EA630" t="s">
        <v>94</v>
      </c>
      <c r="EB630" t="s">
        <v>94</v>
      </c>
      <c r="EC630" t="s">
        <v>94</v>
      </c>
      <c r="ED630" t="s">
        <v>94</v>
      </c>
      <c r="EE630" t="s">
        <v>89</v>
      </c>
      <c r="EF630" t="s">
        <v>94</v>
      </c>
      <c r="EG630" t="s">
        <v>7244</v>
      </c>
      <c r="EJ630" t="s">
        <v>166</v>
      </c>
      <c r="EK630" t="b">
        <v>0</v>
      </c>
      <c r="EL630" t="b">
        <v>0</v>
      </c>
      <c r="EM630" t="b">
        <v>0</v>
      </c>
    </row>
    <row r="631" spans="1:143" ht="15">
      <c r="C631" s="82">
        <v>1</v>
      </c>
      <c r="D631" s="5">
        <v>4</v>
      </c>
      <c r="E631" s="4">
        <v>1</v>
      </c>
      <c r="F631" s="5">
        <v>4</v>
      </c>
      <c r="G631" s="5" t="s">
        <v>8265</v>
      </c>
      <c r="H631" s="4" t="s">
        <v>7975</v>
      </c>
      <c r="I631" s="81" t="s">
        <v>466</v>
      </c>
      <c r="J631" s="21"/>
      <c r="K631" s="22" t="s">
        <v>8245</v>
      </c>
      <c r="L631" s="84" t="s">
        <v>8263</v>
      </c>
      <c r="M631" s="23" t="s">
        <v>409</v>
      </c>
      <c r="N631" s="23">
        <v>44075</v>
      </c>
      <c r="O631" s="24" t="s">
        <v>102</v>
      </c>
      <c r="P631" s="24" t="s">
        <v>480</v>
      </c>
      <c r="Q631" s="24">
        <v>1</v>
      </c>
      <c r="R631" s="24">
        <v>0.185</v>
      </c>
      <c r="S631" t="s">
        <v>8247</v>
      </c>
      <c r="T631">
        <v>1500</v>
      </c>
      <c r="U631" s="2"/>
      <c r="W631" s="2"/>
      <c r="AB631" t="s">
        <v>9</v>
      </c>
      <c r="AC631" t="s">
        <v>8248</v>
      </c>
      <c r="AD631" t="s">
        <v>182</v>
      </c>
      <c r="AE631">
        <v>231125</v>
      </c>
      <c r="AF631">
        <v>231125</v>
      </c>
      <c r="AG631" t="s">
        <v>183</v>
      </c>
      <c r="AH631" t="s">
        <v>8249</v>
      </c>
      <c r="AI631" t="s">
        <v>8249</v>
      </c>
      <c r="AJ631" t="s">
        <v>8250</v>
      </c>
      <c r="AK631" t="s">
        <v>8251</v>
      </c>
      <c r="AL631" t="s">
        <v>8252</v>
      </c>
      <c r="AO631" t="s">
        <v>8253</v>
      </c>
      <c r="AP631" t="s">
        <v>8254</v>
      </c>
      <c r="AR631">
        <v>1685</v>
      </c>
      <c r="AS631">
        <v>-270113154348</v>
      </c>
      <c r="AT631" t="s">
        <v>8255</v>
      </c>
      <c r="AU631" t="s">
        <v>10</v>
      </c>
      <c r="AV631" t="s">
        <v>8256</v>
      </c>
      <c r="AW631" t="s">
        <v>8256</v>
      </c>
      <c r="AX631" t="s">
        <v>8257</v>
      </c>
      <c r="AY631" s="2" t="s">
        <v>8258</v>
      </c>
      <c r="AZ631" t="s">
        <v>8259</v>
      </c>
      <c r="BA631" t="s">
        <v>186</v>
      </c>
      <c r="BB631" t="s">
        <v>187</v>
      </c>
      <c r="BC631" t="s">
        <v>188</v>
      </c>
      <c r="BD631">
        <v>518103</v>
      </c>
      <c r="BE631">
        <v>-8675561501506</v>
      </c>
      <c r="BF631" t="s">
        <v>8260</v>
      </c>
      <c r="BG631" t="b">
        <v>0</v>
      </c>
      <c r="BH631" s="6" t="s">
        <v>8261</v>
      </c>
      <c r="BI631" t="s">
        <v>8264</v>
      </c>
      <c r="BJ631">
        <v>4453163191</v>
      </c>
      <c r="BK631" t="s">
        <v>162</v>
      </c>
      <c r="BL631" t="s">
        <v>161</v>
      </c>
      <c r="BM631" s="2"/>
      <c r="BR631" t="s">
        <v>180</v>
      </c>
      <c r="BS631" t="s">
        <v>103</v>
      </c>
      <c r="BU631">
        <v>0</v>
      </c>
      <c r="BV631">
        <v>0</v>
      </c>
      <c r="BW631">
        <v>0</v>
      </c>
      <c r="BX631">
        <v>0</v>
      </c>
      <c r="BY631">
        <v>0</v>
      </c>
      <c r="BZ631">
        <v>0</v>
      </c>
      <c r="CA631">
        <v>0</v>
      </c>
      <c r="CF631" s="2"/>
      <c r="CH631" s="2"/>
      <c r="CK631" t="s">
        <v>2648</v>
      </c>
      <c r="CL631">
        <v>44075.429907407408</v>
      </c>
      <c r="CO631" t="s">
        <v>11</v>
      </c>
      <c r="CP631">
        <v>596.4</v>
      </c>
      <c r="CQ631" t="s">
        <v>11</v>
      </c>
      <c r="CR631">
        <v>596.4</v>
      </c>
      <c r="CV631" t="s">
        <v>190</v>
      </c>
      <c r="CW631" t="s">
        <v>12</v>
      </c>
      <c r="CX631" t="s">
        <v>12</v>
      </c>
      <c r="CY631" t="s">
        <v>12</v>
      </c>
      <c r="DA631" t="s">
        <v>104</v>
      </c>
      <c r="DD631" t="s">
        <v>93</v>
      </c>
      <c r="DQ631" t="s">
        <v>94</v>
      </c>
      <c r="DR631" t="s">
        <v>94</v>
      </c>
      <c r="DS631" t="s">
        <v>94</v>
      </c>
      <c r="DT631" t="s">
        <v>94</v>
      </c>
      <c r="DU631" t="s">
        <v>94</v>
      </c>
      <c r="DV631" t="s">
        <v>94</v>
      </c>
      <c r="DW631" t="s">
        <v>94</v>
      </c>
      <c r="DX631" s="2" t="s">
        <v>94</v>
      </c>
      <c r="DY631" t="s">
        <v>94</v>
      </c>
      <c r="DZ631" t="s">
        <v>94</v>
      </c>
      <c r="EA631" t="s">
        <v>94</v>
      </c>
      <c r="EB631" t="s">
        <v>94</v>
      </c>
      <c r="EC631" t="s">
        <v>94</v>
      </c>
      <c r="ED631" t="s">
        <v>94</v>
      </c>
      <c r="EE631" t="s">
        <v>89</v>
      </c>
      <c r="EF631" t="s">
        <v>94</v>
      </c>
      <c r="EG631" t="s">
        <v>543</v>
      </c>
      <c r="EJ631" t="s">
        <v>166</v>
      </c>
      <c r="EK631" t="b">
        <v>0</v>
      </c>
      <c r="EL631" t="b">
        <v>0</v>
      </c>
      <c r="EM631" t="b">
        <v>0</v>
      </c>
    </row>
    <row r="632" spans="1:143" ht="15">
      <c r="C632" s="82">
        <v>1</v>
      </c>
      <c r="D632" s="5"/>
      <c r="E632" s="4">
        <v>1</v>
      </c>
      <c r="F632" s="5">
        <v>4</v>
      </c>
      <c r="G632" s="5" t="s">
        <v>8266</v>
      </c>
      <c r="H632" s="4" t="s">
        <v>7975</v>
      </c>
      <c r="I632" s="81" t="s">
        <v>466</v>
      </c>
      <c r="J632" s="21"/>
      <c r="K632" s="22" t="s">
        <v>8245</v>
      </c>
      <c r="L632" s="84" t="s">
        <v>8263</v>
      </c>
      <c r="M632" s="23" t="s">
        <v>409</v>
      </c>
      <c r="N632" s="23">
        <v>44075</v>
      </c>
      <c r="O632" s="24" t="s">
        <v>102</v>
      </c>
      <c r="P632" s="24" t="s">
        <v>480</v>
      </c>
      <c r="Q632" s="24">
        <v>1</v>
      </c>
      <c r="R632" s="24">
        <v>4</v>
      </c>
      <c r="S632" t="s">
        <v>8247</v>
      </c>
      <c r="T632">
        <v>1500</v>
      </c>
      <c r="U632" s="2"/>
      <c r="W632" s="2"/>
      <c r="AB632" t="s">
        <v>9</v>
      </c>
      <c r="AC632" t="s">
        <v>8248</v>
      </c>
      <c r="AD632" t="s">
        <v>182</v>
      </c>
      <c r="AE632">
        <v>231125</v>
      </c>
      <c r="AF632">
        <v>231125</v>
      </c>
      <c r="AG632" t="s">
        <v>183</v>
      </c>
      <c r="AH632" t="s">
        <v>8249</v>
      </c>
      <c r="AI632" t="s">
        <v>8249</v>
      </c>
      <c r="AJ632" t="s">
        <v>8250</v>
      </c>
      <c r="AK632" t="s">
        <v>8251</v>
      </c>
      <c r="AL632" t="s">
        <v>8252</v>
      </c>
      <c r="AO632" t="s">
        <v>8253</v>
      </c>
      <c r="AP632" t="s">
        <v>8254</v>
      </c>
      <c r="AR632">
        <v>1685</v>
      </c>
      <c r="AS632">
        <v>-270113154348</v>
      </c>
      <c r="AT632" t="s">
        <v>8255</v>
      </c>
      <c r="AU632" t="s">
        <v>10</v>
      </c>
      <c r="AV632" t="s">
        <v>8256</v>
      </c>
      <c r="AW632" t="s">
        <v>8256</v>
      </c>
      <c r="AX632" t="s">
        <v>8257</v>
      </c>
      <c r="AY632" s="2" t="s">
        <v>8258</v>
      </c>
      <c r="AZ632" t="s">
        <v>8259</v>
      </c>
      <c r="BA632" t="s">
        <v>186</v>
      </c>
      <c r="BB632" t="s">
        <v>187</v>
      </c>
      <c r="BC632" t="s">
        <v>188</v>
      </c>
      <c r="BD632">
        <v>518103</v>
      </c>
      <c r="BE632">
        <v>-8675561501506</v>
      </c>
      <c r="BF632" t="s">
        <v>8260</v>
      </c>
      <c r="BG632" t="b">
        <v>0</v>
      </c>
      <c r="BH632" s="6" t="s">
        <v>8261</v>
      </c>
      <c r="BI632" t="s">
        <v>8264</v>
      </c>
      <c r="BJ632">
        <v>4453163191</v>
      </c>
      <c r="BK632" t="s">
        <v>162</v>
      </c>
      <c r="BL632" t="s">
        <v>161</v>
      </c>
      <c r="BM632" s="2"/>
      <c r="BR632" t="s">
        <v>180</v>
      </c>
      <c r="BS632" t="s">
        <v>103</v>
      </c>
      <c r="BU632">
        <v>0</v>
      </c>
      <c r="BV632">
        <v>0</v>
      </c>
      <c r="BW632">
        <v>0</v>
      </c>
      <c r="BX632">
        <v>0</v>
      </c>
      <c r="BY632">
        <v>0</v>
      </c>
      <c r="BZ632">
        <v>0</v>
      </c>
      <c r="CA632">
        <v>0</v>
      </c>
      <c r="CF632" s="2"/>
      <c r="CH632" s="2"/>
      <c r="CK632" t="s">
        <v>2648</v>
      </c>
      <c r="CL632">
        <v>44075.429907407408</v>
      </c>
      <c r="CO632" t="s">
        <v>11</v>
      </c>
      <c r="CP632">
        <v>596.4</v>
      </c>
      <c r="CQ632" t="s">
        <v>11</v>
      </c>
      <c r="CR632">
        <v>596.4</v>
      </c>
      <c r="CV632" t="s">
        <v>190</v>
      </c>
      <c r="CW632" t="s">
        <v>12</v>
      </c>
      <c r="CX632" t="s">
        <v>12</v>
      </c>
      <c r="CY632" t="s">
        <v>12</v>
      </c>
      <c r="DA632" t="s">
        <v>104</v>
      </c>
      <c r="DD632" t="s">
        <v>93</v>
      </c>
      <c r="DQ632" t="s">
        <v>94</v>
      </c>
      <c r="DR632" t="s">
        <v>94</v>
      </c>
      <c r="DS632" t="s">
        <v>94</v>
      </c>
      <c r="DT632" t="s">
        <v>94</v>
      </c>
      <c r="DU632" t="s">
        <v>94</v>
      </c>
      <c r="DV632" t="s">
        <v>94</v>
      </c>
      <c r="DW632" t="s">
        <v>94</v>
      </c>
      <c r="DX632" s="2" t="s">
        <v>94</v>
      </c>
      <c r="DY632" t="s">
        <v>94</v>
      </c>
      <c r="DZ632" t="s">
        <v>94</v>
      </c>
      <c r="EA632" t="s">
        <v>94</v>
      </c>
      <c r="EB632" t="s">
        <v>94</v>
      </c>
      <c r="EC632" t="s">
        <v>94</v>
      </c>
      <c r="ED632" t="s">
        <v>94</v>
      </c>
      <c r="EE632" t="s">
        <v>89</v>
      </c>
      <c r="EF632" t="s">
        <v>94</v>
      </c>
      <c r="EG632" t="s">
        <v>543</v>
      </c>
      <c r="EJ632" t="s">
        <v>166</v>
      </c>
      <c r="EK632" t="b">
        <v>0</v>
      </c>
      <c r="EL632" t="b">
        <v>0</v>
      </c>
      <c r="EM632" t="b">
        <v>0</v>
      </c>
    </row>
    <row r="633" spans="1:143" ht="15">
      <c r="C633" s="82">
        <v>1</v>
      </c>
      <c r="D633" s="5"/>
      <c r="E633" s="4">
        <v>1</v>
      </c>
      <c r="F633" s="5">
        <v>4</v>
      </c>
      <c r="G633" s="5" t="s">
        <v>8267</v>
      </c>
      <c r="H633" s="4" t="s">
        <v>7975</v>
      </c>
      <c r="I633" s="81" t="s">
        <v>466</v>
      </c>
      <c r="J633" s="21"/>
      <c r="K633" s="22" t="s">
        <v>8245</v>
      </c>
      <c r="L633" s="84" t="s">
        <v>8263</v>
      </c>
      <c r="M633" s="23" t="s">
        <v>409</v>
      </c>
      <c r="N633" s="23">
        <v>44075</v>
      </c>
      <c r="O633" s="24" t="s">
        <v>102</v>
      </c>
      <c r="P633" s="24" t="s">
        <v>480</v>
      </c>
      <c r="Q633" s="24">
        <v>1</v>
      </c>
      <c r="R633" s="24">
        <v>4</v>
      </c>
      <c r="S633" t="s">
        <v>8247</v>
      </c>
      <c r="T633">
        <v>1500</v>
      </c>
      <c r="U633" s="2"/>
      <c r="W633" s="2"/>
      <c r="AB633" t="s">
        <v>9</v>
      </c>
      <c r="AC633" t="s">
        <v>8248</v>
      </c>
      <c r="AD633" t="s">
        <v>182</v>
      </c>
      <c r="AE633">
        <v>231125</v>
      </c>
      <c r="AF633">
        <v>231125</v>
      </c>
      <c r="AG633" t="s">
        <v>183</v>
      </c>
      <c r="AH633" t="s">
        <v>8249</v>
      </c>
      <c r="AI633" t="s">
        <v>8249</v>
      </c>
      <c r="AJ633" t="s">
        <v>8250</v>
      </c>
      <c r="AK633" t="s">
        <v>8251</v>
      </c>
      <c r="AL633" t="s">
        <v>8252</v>
      </c>
      <c r="AO633" t="s">
        <v>8253</v>
      </c>
      <c r="AP633" t="s">
        <v>8254</v>
      </c>
      <c r="AR633">
        <v>1685</v>
      </c>
      <c r="AS633">
        <v>-270113154348</v>
      </c>
      <c r="AT633" t="s">
        <v>8255</v>
      </c>
      <c r="AU633" t="s">
        <v>10</v>
      </c>
      <c r="AV633" t="s">
        <v>8256</v>
      </c>
      <c r="AW633" t="s">
        <v>8256</v>
      </c>
      <c r="AX633" t="s">
        <v>8257</v>
      </c>
      <c r="AY633" s="2" t="s">
        <v>8258</v>
      </c>
      <c r="AZ633" t="s">
        <v>8259</v>
      </c>
      <c r="BA633" t="s">
        <v>186</v>
      </c>
      <c r="BB633" t="s">
        <v>187</v>
      </c>
      <c r="BC633" t="s">
        <v>188</v>
      </c>
      <c r="BD633">
        <v>518103</v>
      </c>
      <c r="BE633">
        <v>-8675561501506</v>
      </c>
      <c r="BF633" t="s">
        <v>8260</v>
      </c>
      <c r="BG633" t="b">
        <v>0</v>
      </c>
      <c r="BH633" s="6" t="s">
        <v>8261</v>
      </c>
      <c r="BI633" t="s">
        <v>8264</v>
      </c>
      <c r="BJ633">
        <v>4453163191</v>
      </c>
      <c r="BK633" t="s">
        <v>162</v>
      </c>
      <c r="BL633" t="s">
        <v>161</v>
      </c>
      <c r="BM633" s="2"/>
      <c r="BR633" t="s">
        <v>180</v>
      </c>
      <c r="BS633" t="s">
        <v>103</v>
      </c>
      <c r="BU633">
        <v>0</v>
      </c>
      <c r="BV633">
        <v>0</v>
      </c>
      <c r="BW633">
        <v>0</v>
      </c>
      <c r="BX633">
        <v>0</v>
      </c>
      <c r="BY633">
        <v>0</v>
      </c>
      <c r="BZ633">
        <v>0</v>
      </c>
      <c r="CA633">
        <v>0</v>
      </c>
      <c r="CF633" s="2"/>
      <c r="CH633" s="2"/>
      <c r="CK633" t="s">
        <v>2648</v>
      </c>
      <c r="CL633">
        <v>44075.429907407408</v>
      </c>
      <c r="CO633" t="s">
        <v>11</v>
      </c>
      <c r="CP633">
        <v>596.4</v>
      </c>
      <c r="CQ633" t="s">
        <v>11</v>
      </c>
      <c r="CR633">
        <v>596.4</v>
      </c>
      <c r="CV633" t="s">
        <v>190</v>
      </c>
      <c r="CW633" t="s">
        <v>12</v>
      </c>
      <c r="CX633" t="s">
        <v>12</v>
      </c>
      <c r="CY633" t="s">
        <v>12</v>
      </c>
      <c r="DA633" t="s">
        <v>104</v>
      </c>
      <c r="DD633" t="s">
        <v>93</v>
      </c>
      <c r="DQ633" t="s">
        <v>94</v>
      </c>
      <c r="DR633" t="s">
        <v>94</v>
      </c>
      <c r="DS633" t="s">
        <v>94</v>
      </c>
      <c r="DT633" t="s">
        <v>94</v>
      </c>
      <c r="DU633" t="s">
        <v>94</v>
      </c>
      <c r="DV633" t="s">
        <v>94</v>
      </c>
      <c r="DW633" t="s">
        <v>94</v>
      </c>
      <c r="DX633" s="2" t="s">
        <v>94</v>
      </c>
      <c r="DY633" t="s">
        <v>94</v>
      </c>
      <c r="DZ633" t="s">
        <v>94</v>
      </c>
      <c r="EA633" t="s">
        <v>94</v>
      </c>
      <c r="EB633" t="s">
        <v>94</v>
      </c>
      <c r="EC633" t="s">
        <v>94</v>
      </c>
      <c r="ED633" t="s">
        <v>94</v>
      </c>
      <c r="EE633" t="s">
        <v>89</v>
      </c>
      <c r="EF633" t="s">
        <v>94</v>
      </c>
      <c r="EG633" t="s">
        <v>543</v>
      </c>
      <c r="EJ633" t="s">
        <v>166</v>
      </c>
      <c r="EK633" t="b">
        <v>0</v>
      </c>
      <c r="EL633" t="b">
        <v>0</v>
      </c>
      <c r="EM633" t="b">
        <v>0</v>
      </c>
    </row>
    <row r="634" spans="1:143" ht="15">
      <c r="A634" t="s">
        <v>8269</v>
      </c>
      <c r="C634" s="82">
        <v>1</v>
      </c>
      <c r="D634" s="5"/>
      <c r="E634" s="4">
        <v>1</v>
      </c>
      <c r="F634" s="5">
        <v>4</v>
      </c>
      <c r="G634" s="5" t="s">
        <v>8268</v>
      </c>
      <c r="H634" s="4" t="s">
        <v>7975</v>
      </c>
      <c r="I634" s="81" t="s">
        <v>466</v>
      </c>
      <c r="J634" s="21"/>
      <c r="K634" s="22" t="s">
        <v>8245</v>
      </c>
      <c r="L634" s="84" t="s">
        <v>8263</v>
      </c>
      <c r="M634" s="23" t="s">
        <v>409</v>
      </c>
      <c r="N634" s="23">
        <v>44075</v>
      </c>
      <c r="O634" s="24" t="s">
        <v>102</v>
      </c>
      <c r="P634" s="24" t="s">
        <v>480</v>
      </c>
      <c r="Q634" s="24">
        <v>1</v>
      </c>
      <c r="R634" s="24">
        <v>4</v>
      </c>
      <c r="S634" t="s">
        <v>8247</v>
      </c>
      <c r="T634">
        <v>1500</v>
      </c>
      <c r="U634" s="2"/>
      <c r="W634" s="2"/>
      <c r="AB634" t="s">
        <v>9</v>
      </c>
      <c r="AC634" t="s">
        <v>8248</v>
      </c>
      <c r="AD634" t="s">
        <v>182</v>
      </c>
      <c r="AE634">
        <v>231125</v>
      </c>
      <c r="AF634">
        <v>231125</v>
      </c>
      <c r="AG634" t="s">
        <v>183</v>
      </c>
      <c r="AH634" t="s">
        <v>8249</v>
      </c>
      <c r="AI634" t="s">
        <v>8249</v>
      </c>
      <c r="AJ634" t="s">
        <v>8250</v>
      </c>
      <c r="AK634" t="s">
        <v>8251</v>
      </c>
      <c r="AL634" t="s">
        <v>8252</v>
      </c>
      <c r="AO634" t="s">
        <v>8253</v>
      </c>
      <c r="AP634" t="s">
        <v>8254</v>
      </c>
      <c r="AR634">
        <v>1685</v>
      </c>
      <c r="AS634">
        <v>-270113154348</v>
      </c>
      <c r="AT634" t="s">
        <v>8255</v>
      </c>
      <c r="AU634" t="s">
        <v>10</v>
      </c>
      <c r="AV634" t="s">
        <v>8256</v>
      </c>
      <c r="AW634" t="s">
        <v>8256</v>
      </c>
      <c r="AX634" t="s">
        <v>8257</v>
      </c>
      <c r="AY634" s="2" t="s">
        <v>8258</v>
      </c>
      <c r="AZ634" t="s">
        <v>8259</v>
      </c>
      <c r="BA634" t="s">
        <v>186</v>
      </c>
      <c r="BB634" t="s">
        <v>187</v>
      </c>
      <c r="BC634" t="s">
        <v>188</v>
      </c>
      <c r="BD634">
        <v>518103</v>
      </c>
      <c r="BE634">
        <v>-8675561501506</v>
      </c>
      <c r="BF634" t="s">
        <v>8260</v>
      </c>
      <c r="BG634" t="b">
        <v>0</v>
      </c>
      <c r="BH634" s="6" t="s">
        <v>8261</v>
      </c>
      <c r="BI634" t="s">
        <v>8264</v>
      </c>
      <c r="BJ634">
        <v>4453163191</v>
      </c>
      <c r="BK634" t="s">
        <v>162</v>
      </c>
      <c r="BL634" t="s">
        <v>161</v>
      </c>
      <c r="BM634" s="2"/>
      <c r="BR634" t="s">
        <v>180</v>
      </c>
      <c r="BS634" t="s">
        <v>103</v>
      </c>
      <c r="BU634">
        <v>0</v>
      </c>
      <c r="BV634">
        <v>0</v>
      </c>
      <c r="BW634">
        <v>0</v>
      </c>
      <c r="BX634">
        <v>0</v>
      </c>
      <c r="BY634">
        <v>0</v>
      </c>
      <c r="BZ634">
        <v>0</v>
      </c>
      <c r="CA634">
        <v>0</v>
      </c>
      <c r="CF634" s="2"/>
      <c r="CH634" s="2"/>
      <c r="CK634" t="s">
        <v>2648</v>
      </c>
      <c r="CL634">
        <v>44075.429907407408</v>
      </c>
      <c r="CO634" t="s">
        <v>11</v>
      </c>
      <c r="CP634">
        <v>596.4</v>
      </c>
      <c r="CQ634" t="s">
        <v>11</v>
      </c>
      <c r="CR634">
        <v>596.4</v>
      </c>
      <c r="CV634" t="s">
        <v>190</v>
      </c>
      <c r="CW634" t="s">
        <v>12</v>
      </c>
      <c r="CX634" t="s">
        <v>12</v>
      </c>
      <c r="CY634" t="s">
        <v>12</v>
      </c>
      <c r="DA634" t="s">
        <v>104</v>
      </c>
      <c r="DD634" t="s">
        <v>93</v>
      </c>
      <c r="DQ634" t="s">
        <v>94</v>
      </c>
      <c r="DR634" t="s">
        <v>94</v>
      </c>
      <c r="DS634" t="s">
        <v>94</v>
      </c>
      <c r="DT634" t="s">
        <v>94</v>
      </c>
      <c r="DU634" t="s">
        <v>94</v>
      </c>
      <c r="DV634" t="s">
        <v>94</v>
      </c>
      <c r="DW634" t="s">
        <v>94</v>
      </c>
      <c r="DX634" s="2" t="s">
        <v>94</v>
      </c>
      <c r="DY634" t="s">
        <v>94</v>
      </c>
      <c r="DZ634" t="s">
        <v>94</v>
      </c>
      <c r="EA634" t="s">
        <v>94</v>
      </c>
      <c r="EB634" t="s">
        <v>94</v>
      </c>
      <c r="EC634" t="s">
        <v>94</v>
      </c>
      <c r="ED634" t="s">
        <v>94</v>
      </c>
      <c r="EE634" t="s">
        <v>89</v>
      </c>
      <c r="EF634" t="s">
        <v>94</v>
      </c>
      <c r="EG634" t="s">
        <v>543</v>
      </c>
      <c r="EJ634" t="s">
        <v>166</v>
      </c>
      <c r="EK634" t="b">
        <v>0</v>
      </c>
      <c r="EL634" t="b">
        <v>0</v>
      </c>
      <c r="EM634" t="b">
        <v>0</v>
      </c>
    </row>
    <row r="635" spans="1:143" ht="15">
      <c r="A635" t="s">
        <v>8273</v>
      </c>
      <c r="C635" s="82">
        <v>1</v>
      </c>
      <c r="D635" s="5"/>
      <c r="E635" s="4">
        <v>1</v>
      </c>
      <c r="F635" s="5">
        <v>4</v>
      </c>
      <c r="G635" s="5" t="s">
        <v>8270</v>
      </c>
      <c r="H635" s="4" t="s">
        <v>7975</v>
      </c>
      <c r="I635" s="81" t="s">
        <v>466</v>
      </c>
      <c r="J635" s="21"/>
      <c r="K635" s="22" t="s">
        <v>8245</v>
      </c>
      <c r="L635" s="84" t="s">
        <v>8263</v>
      </c>
      <c r="M635" s="23" t="s">
        <v>409</v>
      </c>
      <c r="N635" s="23">
        <v>44075</v>
      </c>
      <c r="O635" s="24" t="s">
        <v>102</v>
      </c>
      <c r="P635" s="24" t="s">
        <v>480</v>
      </c>
      <c r="Q635" s="24">
        <v>1</v>
      </c>
      <c r="R635" s="24">
        <v>4</v>
      </c>
      <c r="S635" t="s">
        <v>8247</v>
      </c>
      <c r="T635">
        <v>1500</v>
      </c>
      <c r="U635" s="2"/>
      <c r="W635" s="2"/>
      <c r="AB635" t="s">
        <v>9</v>
      </c>
      <c r="AC635" t="s">
        <v>8248</v>
      </c>
      <c r="AD635" t="s">
        <v>182</v>
      </c>
      <c r="AE635">
        <v>231125</v>
      </c>
      <c r="AF635">
        <v>231125</v>
      </c>
      <c r="AG635" t="s">
        <v>183</v>
      </c>
      <c r="AH635" t="s">
        <v>8249</v>
      </c>
      <c r="AI635" t="s">
        <v>8249</v>
      </c>
      <c r="AJ635" t="s">
        <v>8250</v>
      </c>
      <c r="AK635" t="s">
        <v>8251</v>
      </c>
      <c r="AL635" t="s">
        <v>8252</v>
      </c>
      <c r="AO635" t="s">
        <v>8253</v>
      </c>
      <c r="AP635" t="s">
        <v>8254</v>
      </c>
      <c r="AR635">
        <v>1685</v>
      </c>
      <c r="AS635">
        <v>-270113154348</v>
      </c>
      <c r="AT635" t="s">
        <v>8255</v>
      </c>
      <c r="AU635" t="s">
        <v>10</v>
      </c>
      <c r="AV635" t="s">
        <v>8256</v>
      </c>
      <c r="AW635" t="s">
        <v>8256</v>
      </c>
      <c r="AX635" t="s">
        <v>8257</v>
      </c>
      <c r="AY635" s="2" t="s">
        <v>8258</v>
      </c>
      <c r="AZ635" t="s">
        <v>8259</v>
      </c>
      <c r="BA635" t="s">
        <v>186</v>
      </c>
      <c r="BB635" t="s">
        <v>187</v>
      </c>
      <c r="BC635" t="s">
        <v>188</v>
      </c>
      <c r="BD635">
        <v>518103</v>
      </c>
      <c r="BE635">
        <v>-8675561501506</v>
      </c>
      <c r="BF635" t="s">
        <v>8260</v>
      </c>
      <c r="BG635" t="b">
        <v>0</v>
      </c>
      <c r="BH635" s="6" t="s">
        <v>8261</v>
      </c>
      <c r="BI635" t="s">
        <v>8264</v>
      </c>
      <c r="BJ635">
        <v>4453163191</v>
      </c>
      <c r="BK635" t="s">
        <v>162</v>
      </c>
      <c r="BL635" t="s">
        <v>161</v>
      </c>
      <c r="BM635" s="2"/>
      <c r="BR635" t="s">
        <v>180</v>
      </c>
      <c r="BS635" t="s">
        <v>103</v>
      </c>
      <c r="BU635">
        <v>0</v>
      </c>
      <c r="BV635">
        <v>0</v>
      </c>
      <c r="BW635">
        <v>0</v>
      </c>
      <c r="BX635">
        <v>0</v>
      </c>
      <c r="BY635">
        <v>0</v>
      </c>
      <c r="BZ635">
        <v>0</v>
      </c>
      <c r="CA635">
        <v>0</v>
      </c>
      <c r="CF635" s="2"/>
      <c r="CH635" s="2"/>
      <c r="CK635" t="s">
        <v>2648</v>
      </c>
      <c r="CL635">
        <v>44075.429907407408</v>
      </c>
      <c r="CO635" t="s">
        <v>11</v>
      </c>
      <c r="CP635">
        <v>596.4</v>
      </c>
      <c r="CQ635" t="s">
        <v>11</v>
      </c>
      <c r="CR635">
        <v>596.4</v>
      </c>
      <c r="CV635" t="s">
        <v>190</v>
      </c>
      <c r="CW635" t="s">
        <v>12</v>
      </c>
      <c r="CX635" t="s">
        <v>12</v>
      </c>
      <c r="CY635" t="s">
        <v>12</v>
      </c>
      <c r="DA635" t="s">
        <v>104</v>
      </c>
      <c r="DD635" t="s">
        <v>93</v>
      </c>
      <c r="DQ635" t="s">
        <v>94</v>
      </c>
      <c r="DR635" t="s">
        <v>94</v>
      </c>
      <c r="DS635" t="s">
        <v>94</v>
      </c>
      <c r="DT635" t="s">
        <v>94</v>
      </c>
      <c r="DU635" t="s">
        <v>94</v>
      </c>
      <c r="DV635" t="s">
        <v>94</v>
      </c>
      <c r="DW635" t="s">
        <v>94</v>
      </c>
      <c r="DX635" s="2" t="s">
        <v>94</v>
      </c>
      <c r="DY635" t="s">
        <v>94</v>
      </c>
      <c r="DZ635" t="s">
        <v>94</v>
      </c>
      <c r="EA635" t="s">
        <v>94</v>
      </c>
      <c r="EB635" t="s">
        <v>94</v>
      </c>
      <c r="EC635" t="s">
        <v>94</v>
      </c>
      <c r="ED635" t="s">
        <v>94</v>
      </c>
      <c r="EE635" t="s">
        <v>89</v>
      </c>
      <c r="EF635" t="s">
        <v>94</v>
      </c>
      <c r="EG635" t="s">
        <v>543</v>
      </c>
      <c r="EJ635" t="s">
        <v>166</v>
      </c>
      <c r="EK635" t="b">
        <v>0</v>
      </c>
      <c r="EL635" t="b">
        <v>0</v>
      </c>
      <c r="EM635" t="b">
        <v>0</v>
      </c>
    </row>
    <row r="636" spans="1:143">
      <c r="A636" t="s">
        <v>8272</v>
      </c>
      <c r="C636" s="4">
        <v>2</v>
      </c>
      <c r="D636" s="4"/>
      <c r="E636" s="4">
        <v>1</v>
      </c>
      <c r="F636" s="4">
        <v>0.185</v>
      </c>
      <c r="G636" s="5" t="s">
        <v>8271</v>
      </c>
      <c r="H636" s="4" t="s">
        <v>4873</v>
      </c>
      <c r="I636" s="4" t="s">
        <v>466</v>
      </c>
      <c r="J636" s="5"/>
      <c r="K636" s="22" t="s">
        <v>8245</v>
      </c>
      <c r="L636" s="84" t="s">
        <v>8246</v>
      </c>
      <c r="M636" s="23" t="s">
        <v>466</v>
      </c>
      <c r="N636" s="23">
        <v>44068</v>
      </c>
      <c r="O636" s="24" t="s">
        <v>102</v>
      </c>
      <c r="P636" s="24" t="s">
        <v>480</v>
      </c>
      <c r="Q636" s="24">
        <v>1</v>
      </c>
      <c r="R636" s="24">
        <v>0.185</v>
      </c>
      <c r="S636" t="s">
        <v>8247</v>
      </c>
      <c r="T636">
        <v>1500</v>
      </c>
      <c r="U636" s="2"/>
      <c r="W636" s="2"/>
      <c r="AB636" t="s">
        <v>9</v>
      </c>
      <c r="AC636" t="s">
        <v>8248</v>
      </c>
      <c r="AD636" t="s">
        <v>182</v>
      </c>
      <c r="AE636">
        <v>231125</v>
      </c>
      <c r="AF636">
        <v>231125</v>
      </c>
      <c r="AG636" t="s">
        <v>183</v>
      </c>
      <c r="AH636" t="s">
        <v>8249</v>
      </c>
      <c r="AI636" t="s">
        <v>8249</v>
      </c>
      <c r="AJ636" t="s">
        <v>8250</v>
      </c>
      <c r="AK636" t="s">
        <v>8251</v>
      </c>
      <c r="AL636" t="s">
        <v>8252</v>
      </c>
      <c r="AO636" t="s">
        <v>8253</v>
      </c>
      <c r="AP636" t="s">
        <v>8254</v>
      </c>
      <c r="AR636">
        <v>1685</v>
      </c>
      <c r="AS636">
        <v>-270113154348</v>
      </c>
      <c r="AT636" t="s">
        <v>8255</v>
      </c>
      <c r="AU636" t="s">
        <v>10</v>
      </c>
      <c r="AV636" t="s">
        <v>8256</v>
      </c>
      <c r="AW636" t="s">
        <v>8256</v>
      </c>
      <c r="AX636" t="s">
        <v>8257</v>
      </c>
      <c r="AY636" t="s">
        <v>8258</v>
      </c>
      <c r="AZ636" t="s">
        <v>8259</v>
      </c>
      <c r="BA636" t="s">
        <v>186</v>
      </c>
      <c r="BB636" t="s">
        <v>187</v>
      </c>
      <c r="BC636" t="s">
        <v>188</v>
      </c>
      <c r="BD636">
        <v>518103</v>
      </c>
      <c r="BE636">
        <v>-8675561501506</v>
      </c>
      <c r="BF636" t="s">
        <v>8260</v>
      </c>
      <c r="BG636" t="b">
        <v>0</v>
      </c>
      <c r="BH636" s="6" t="s">
        <v>8261</v>
      </c>
      <c r="BI636" t="s">
        <v>8262</v>
      </c>
      <c r="BJ636">
        <v>4453163191</v>
      </c>
      <c r="BK636" t="s">
        <v>162</v>
      </c>
      <c r="BL636" t="s">
        <v>161</v>
      </c>
      <c r="BM636" s="2"/>
      <c r="BR636" t="s">
        <v>180</v>
      </c>
      <c r="BS636" t="s">
        <v>103</v>
      </c>
      <c r="BU636">
        <v>0</v>
      </c>
      <c r="BV636">
        <v>0</v>
      </c>
      <c r="BW636">
        <v>0</v>
      </c>
      <c r="BX636">
        <v>0</v>
      </c>
      <c r="BY636">
        <v>0</v>
      </c>
      <c r="BZ636">
        <v>0</v>
      </c>
      <c r="CA636">
        <v>0</v>
      </c>
      <c r="CF636" s="2"/>
      <c r="CH636" s="2"/>
      <c r="CK636" t="s">
        <v>2261</v>
      </c>
      <c r="CL636">
        <v>44068.557071759256</v>
      </c>
      <c r="CO636" t="s">
        <v>11</v>
      </c>
      <c r="CP636">
        <v>596.4</v>
      </c>
      <c r="CQ636" t="s">
        <v>11</v>
      </c>
      <c r="CR636">
        <v>596.4</v>
      </c>
      <c r="CV636" t="s">
        <v>190</v>
      </c>
      <c r="CW636" t="s">
        <v>12</v>
      </c>
      <c r="CX636" t="s">
        <v>12</v>
      </c>
      <c r="CY636" t="s">
        <v>12</v>
      </c>
      <c r="DA636" t="s">
        <v>104</v>
      </c>
      <c r="DD636" t="s">
        <v>93</v>
      </c>
      <c r="DQ636" t="s">
        <v>94</v>
      </c>
      <c r="DR636" t="s">
        <v>94</v>
      </c>
      <c r="DS636" t="s">
        <v>94</v>
      </c>
      <c r="DT636" t="s">
        <v>94</v>
      </c>
      <c r="DU636" t="s">
        <v>94</v>
      </c>
      <c r="DV636" t="s">
        <v>94</v>
      </c>
      <c r="DW636" t="s">
        <v>94</v>
      </c>
      <c r="DX636" s="2" t="s">
        <v>94</v>
      </c>
      <c r="DY636" t="s">
        <v>94</v>
      </c>
      <c r="DZ636" t="s">
        <v>94</v>
      </c>
      <c r="EA636" t="s">
        <v>94</v>
      </c>
      <c r="EB636" t="s">
        <v>94</v>
      </c>
      <c r="EC636" t="s">
        <v>94</v>
      </c>
      <c r="ED636" t="s">
        <v>94</v>
      </c>
      <c r="EE636" t="s">
        <v>89</v>
      </c>
      <c r="EF636" t="s">
        <v>94</v>
      </c>
      <c r="EG636" t="s">
        <v>7244</v>
      </c>
      <c r="EJ636" t="s">
        <v>166</v>
      </c>
      <c r="EK636" t="b">
        <v>0</v>
      </c>
      <c r="EL636" t="b">
        <v>0</v>
      </c>
      <c r="EM636" t="b">
        <v>0</v>
      </c>
    </row>
    <row r="637" spans="1:143" ht="15">
      <c r="A637" t="s">
        <v>8275</v>
      </c>
      <c r="C637" s="82">
        <v>2</v>
      </c>
      <c r="D637" s="5"/>
      <c r="E637" s="4">
        <v>1</v>
      </c>
      <c r="F637" s="5">
        <v>4</v>
      </c>
      <c r="G637" s="5" t="s">
        <v>8274</v>
      </c>
      <c r="H637" s="4" t="s">
        <v>4873</v>
      </c>
      <c r="I637" s="81" t="s">
        <v>466</v>
      </c>
      <c r="J637" s="21"/>
      <c r="K637" s="22" t="s">
        <v>8245</v>
      </c>
      <c r="L637" s="84" t="s">
        <v>8246</v>
      </c>
      <c r="M637" s="23" t="s">
        <v>466</v>
      </c>
      <c r="N637" s="23">
        <v>44068</v>
      </c>
      <c r="O637" s="24" t="s">
        <v>102</v>
      </c>
      <c r="P637" s="24" t="s">
        <v>480</v>
      </c>
      <c r="Q637" s="24">
        <v>1</v>
      </c>
      <c r="R637" s="24">
        <v>4</v>
      </c>
      <c r="S637" t="s">
        <v>8247</v>
      </c>
      <c r="T637">
        <v>1500</v>
      </c>
      <c r="U637" s="2"/>
      <c r="W637" s="2"/>
      <c r="AB637" t="s">
        <v>9</v>
      </c>
      <c r="AC637" t="s">
        <v>8248</v>
      </c>
      <c r="AD637" t="s">
        <v>182</v>
      </c>
      <c r="AE637">
        <v>231125</v>
      </c>
      <c r="AF637">
        <v>231125</v>
      </c>
      <c r="AG637" t="s">
        <v>183</v>
      </c>
      <c r="AH637" t="s">
        <v>8249</v>
      </c>
      <c r="AI637" t="s">
        <v>8249</v>
      </c>
      <c r="AJ637" t="s">
        <v>8250</v>
      </c>
      <c r="AK637" t="s">
        <v>8251</v>
      </c>
      <c r="AL637" t="s">
        <v>8252</v>
      </c>
      <c r="AO637" t="s">
        <v>8253</v>
      </c>
      <c r="AP637" t="s">
        <v>8254</v>
      </c>
      <c r="AR637">
        <v>1685</v>
      </c>
      <c r="AS637">
        <v>-270113154348</v>
      </c>
      <c r="AT637" t="s">
        <v>8255</v>
      </c>
      <c r="AU637" t="s">
        <v>10</v>
      </c>
      <c r="AV637" t="s">
        <v>8256</v>
      </c>
      <c r="AW637" t="s">
        <v>8256</v>
      </c>
      <c r="AX637" t="s">
        <v>8257</v>
      </c>
      <c r="AY637" s="2" t="s">
        <v>8258</v>
      </c>
      <c r="AZ637" t="s">
        <v>8259</v>
      </c>
      <c r="BA637" t="s">
        <v>186</v>
      </c>
      <c r="BB637" t="s">
        <v>187</v>
      </c>
      <c r="BC637" t="s">
        <v>188</v>
      </c>
      <c r="BD637">
        <v>518103</v>
      </c>
      <c r="BE637">
        <v>-8675561501506</v>
      </c>
      <c r="BF637" t="s">
        <v>8260</v>
      </c>
      <c r="BG637" t="b">
        <v>0</v>
      </c>
      <c r="BH637" s="6" t="s">
        <v>8261</v>
      </c>
      <c r="BI637" t="s">
        <v>8262</v>
      </c>
      <c r="BJ637">
        <v>4453163191</v>
      </c>
      <c r="BK637" t="s">
        <v>162</v>
      </c>
      <c r="BL637" t="s">
        <v>161</v>
      </c>
      <c r="BM637" s="2"/>
      <c r="BR637" t="s">
        <v>180</v>
      </c>
      <c r="BS637" t="s">
        <v>103</v>
      </c>
      <c r="BU637">
        <v>0</v>
      </c>
      <c r="BV637">
        <v>0</v>
      </c>
      <c r="BW637">
        <v>0</v>
      </c>
      <c r="BX637">
        <v>0</v>
      </c>
      <c r="BY637">
        <v>0</v>
      </c>
      <c r="BZ637">
        <v>0</v>
      </c>
      <c r="CA637">
        <v>0</v>
      </c>
      <c r="CF637" s="2"/>
      <c r="CH637" s="2"/>
      <c r="CK637" t="s">
        <v>2261</v>
      </c>
      <c r="CL637">
        <v>44068.557071759256</v>
      </c>
      <c r="CO637" t="s">
        <v>11</v>
      </c>
      <c r="CP637">
        <v>596.4</v>
      </c>
      <c r="CQ637" t="s">
        <v>11</v>
      </c>
      <c r="CR637">
        <v>596.4</v>
      </c>
      <c r="CV637" t="s">
        <v>190</v>
      </c>
      <c r="CW637" t="s">
        <v>12</v>
      </c>
      <c r="CX637" t="s">
        <v>12</v>
      </c>
      <c r="CY637" t="s">
        <v>12</v>
      </c>
      <c r="DA637" t="s">
        <v>104</v>
      </c>
      <c r="DD637" t="s">
        <v>93</v>
      </c>
      <c r="DQ637" t="s">
        <v>94</v>
      </c>
      <c r="DR637" t="s">
        <v>94</v>
      </c>
      <c r="DS637" t="s">
        <v>94</v>
      </c>
      <c r="DT637" t="s">
        <v>94</v>
      </c>
      <c r="DU637" t="s">
        <v>94</v>
      </c>
      <c r="DV637" t="s">
        <v>94</v>
      </c>
      <c r="DW637" t="s">
        <v>94</v>
      </c>
      <c r="DX637" s="2" t="s">
        <v>94</v>
      </c>
      <c r="DY637" t="s">
        <v>94</v>
      </c>
      <c r="DZ637" t="s">
        <v>94</v>
      </c>
      <c r="EA637" t="s">
        <v>94</v>
      </c>
      <c r="EB637" t="s">
        <v>94</v>
      </c>
      <c r="EC637" t="s">
        <v>94</v>
      </c>
      <c r="ED637" t="s">
        <v>94</v>
      </c>
      <c r="EE637" t="s">
        <v>89</v>
      </c>
      <c r="EF637" t="s">
        <v>94</v>
      </c>
      <c r="EG637" t="s">
        <v>7244</v>
      </c>
      <c r="EJ637" t="s">
        <v>166</v>
      </c>
      <c r="EK637" t="b">
        <v>0</v>
      </c>
      <c r="EL637" t="b">
        <v>0</v>
      </c>
      <c r="EM637" t="b">
        <v>0</v>
      </c>
    </row>
    <row r="638" spans="1:143" ht="15">
      <c r="A638" t="s">
        <v>8293</v>
      </c>
      <c r="C638" s="82">
        <v>12</v>
      </c>
      <c r="D638" s="5">
        <v>61</v>
      </c>
      <c r="E638" s="4">
        <v>1</v>
      </c>
      <c r="F638" s="5">
        <v>61</v>
      </c>
      <c r="G638" s="5" t="s">
        <v>8291</v>
      </c>
      <c r="H638" s="4" t="s">
        <v>8292</v>
      </c>
      <c r="I638" s="81" t="s">
        <v>466</v>
      </c>
      <c r="J638" s="21"/>
      <c r="K638" s="22" t="s">
        <v>8276</v>
      </c>
      <c r="L638" s="84" t="s">
        <v>8277</v>
      </c>
      <c r="M638" s="23" t="s">
        <v>466</v>
      </c>
      <c r="N638" s="23">
        <v>44071</v>
      </c>
      <c r="O638" s="24" t="s">
        <v>102</v>
      </c>
      <c r="P638" s="24" t="s">
        <v>480</v>
      </c>
      <c r="Q638" s="24">
        <v>1</v>
      </c>
      <c r="R638" s="24">
        <v>71</v>
      </c>
      <c r="S638" t="s">
        <v>528</v>
      </c>
      <c r="T638">
        <v>106</v>
      </c>
      <c r="U638" s="2"/>
      <c r="W638" s="2"/>
      <c r="AB638" t="s">
        <v>9</v>
      </c>
      <c r="AC638" t="s">
        <v>8278</v>
      </c>
      <c r="AD638" t="s">
        <v>1602</v>
      </c>
      <c r="AE638">
        <v>223222</v>
      </c>
      <c r="AF638">
        <v>223222</v>
      </c>
      <c r="AG638" t="s">
        <v>183</v>
      </c>
      <c r="AH638" t="s">
        <v>8279</v>
      </c>
      <c r="AI638" t="s">
        <v>8279</v>
      </c>
      <c r="AJ638" t="s">
        <v>601</v>
      </c>
      <c r="AK638" t="s">
        <v>602</v>
      </c>
      <c r="AL638" t="s">
        <v>8280</v>
      </c>
      <c r="AO638" t="s">
        <v>8281</v>
      </c>
      <c r="AP638" t="s">
        <v>8282</v>
      </c>
      <c r="AQ638" t="s">
        <v>8283</v>
      </c>
      <c r="AR638">
        <v>59013</v>
      </c>
      <c r="AS638">
        <v>574054593</v>
      </c>
      <c r="AT638" t="s">
        <v>8284</v>
      </c>
      <c r="AU638" t="s">
        <v>10</v>
      </c>
      <c r="AV638" t="s">
        <v>8285</v>
      </c>
      <c r="AW638" t="s">
        <v>8285</v>
      </c>
      <c r="AX638" t="s">
        <v>8286</v>
      </c>
      <c r="AY638" s="2" t="s">
        <v>8287</v>
      </c>
      <c r="BA638" t="s">
        <v>1980</v>
      </c>
      <c r="BB638" t="s">
        <v>1616</v>
      </c>
      <c r="BC638" t="s">
        <v>188</v>
      </c>
      <c r="BD638">
        <v>528476</v>
      </c>
      <c r="BE638">
        <v>8676085541222</v>
      </c>
      <c r="BF638" t="s">
        <v>8288</v>
      </c>
      <c r="BG638" t="b">
        <v>0</v>
      </c>
      <c r="BH638" s="6" t="s">
        <v>8289</v>
      </c>
      <c r="BI638" t="s">
        <v>8290</v>
      </c>
      <c r="BJ638">
        <v>4453163191</v>
      </c>
      <c r="BK638" t="s">
        <v>162</v>
      </c>
      <c r="BL638" t="s">
        <v>161</v>
      </c>
      <c r="BM638" s="2"/>
      <c r="BR638" t="s">
        <v>189</v>
      </c>
      <c r="BS638" t="s">
        <v>103</v>
      </c>
      <c r="BU638">
        <v>0</v>
      </c>
      <c r="BV638">
        <v>0</v>
      </c>
      <c r="BW638">
        <v>0</v>
      </c>
      <c r="BX638">
        <v>0</v>
      </c>
      <c r="BY638">
        <v>0</v>
      </c>
      <c r="BZ638">
        <v>0</v>
      </c>
      <c r="CA638">
        <v>0</v>
      </c>
      <c r="CF638" s="2"/>
      <c r="CH638" s="2"/>
      <c r="CK638" t="s">
        <v>2261</v>
      </c>
      <c r="CL638">
        <v>44071.380752314813</v>
      </c>
      <c r="CO638" t="s">
        <v>11</v>
      </c>
      <c r="CP638">
        <v>865.8</v>
      </c>
      <c r="CQ638" t="s">
        <v>11</v>
      </c>
      <c r="CR638">
        <v>865.8</v>
      </c>
      <c r="CV638" t="s">
        <v>190</v>
      </c>
      <c r="CW638" t="s">
        <v>12</v>
      </c>
      <c r="CX638" t="s">
        <v>12</v>
      </c>
      <c r="CY638" t="s">
        <v>12</v>
      </c>
      <c r="DA638" t="s">
        <v>104</v>
      </c>
      <c r="DD638" t="s">
        <v>93</v>
      </c>
      <c r="DQ638" t="s">
        <v>94</v>
      </c>
      <c r="DR638" t="s">
        <v>94</v>
      </c>
      <c r="DS638" t="s">
        <v>94</v>
      </c>
      <c r="DT638" t="s">
        <v>94</v>
      </c>
      <c r="DU638" t="s">
        <v>94</v>
      </c>
      <c r="DV638" t="s">
        <v>94</v>
      </c>
      <c r="DW638" t="s">
        <v>94</v>
      </c>
      <c r="DX638" s="2" t="s">
        <v>94</v>
      </c>
      <c r="DY638" t="s">
        <v>94</v>
      </c>
      <c r="DZ638" t="s">
        <v>94</v>
      </c>
      <c r="EA638" t="s">
        <v>94</v>
      </c>
      <c r="EB638" t="s">
        <v>94</v>
      </c>
      <c r="EC638" t="s">
        <v>94</v>
      </c>
      <c r="ED638" t="s">
        <v>94</v>
      </c>
      <c r="EE638" t="s">
        <v>89</v>
      </c>
      <c r="EF638" t="s">
        <v>425</v>
      </c>
      <c r="EG638" t="s">
        <v>7244</v>
      </c>
      <c r="EJ638" t="s">
        <v>166</v>
      </c>
      <c r="EK638" t="b">
        <v>0</v>
      </c>
      <c r="EL638" t="b">
        <v>0</v>
      </c>
      <c r="EM638" t="b">
        <v>0</v>
      </c>
    </row>
    <row r="639" spans="1:143" ht="15">
      <c r="A639" t="s">
        <v>8320</v>
      </c>
      <c r="C639" s="82">
        <v>12</v>
      </c>
      <c r="D639" s="5">
        <v>87</v>
      </c>
      <c r="E639" s="4">
        <v>2</v>
      </c>
      <c r="F639" s="5">
        <v>87</v>
      </c>
      <c r="G639" s="5" t="s">
        <v>8317</v>
      </c>
      <c r="H639" s="4" t="s">
        <v>8318</v>
      </c>
      <c r="I639" s="81" t="s">
        <v>817</v>
      </c>
      <c r="J639" s="21"/>
      <c r="K639" s="22" t="s">
        <v>8304</v>
      </c>
      <c r="L639" s="84" t="s">
        <v>8108</v>
      </c>
      <c r="M639" s="23" t="s">
        <v>817</v>
      </c>
      <c r="N639" s="23">
        <v>44066</v>
      </c>
      <c r="O639" s="24" t="s">
        <v>102</v>
      </c>
      <c r="P639" s="24" t="s">
        <v>480</v>
      </c>
      <c r="Q639" s="24">
        <v>2</v>
      </c>
      <c r="R639" s="24">
        <v>99.5</v>
      </c>
      <c r="S639" t="s">
        <v>528</v>
      </c>
      <c r="T639">
        <v>5000</v>
      </c>
      <c r="U639" s="2"/>
      <c r="W639" s="2"/>
      <c r="AB639" t="s">
        <v>9</v>
      </c>
      <c r="AC639" t="s">
        <v>5796</v>
      </c>
      <c r="AD639" t="s">
        <v>819</v>
      </c>
      <c r="AE639">
        <v>70629471</v>
      </c>
      <c r="AF639">
        <v>70629471</v>
      </c>
      <c r="AG639" t="s">
        <v>8319</v>
      </c>
      <c r="AH639" t="s">
        <v>8305</v>
      </c>
      <c r="AI639" t="s">
        <v>8305</v>
      </c>
      <c r="AJ639" t="s">
        <v>776</v>
      </c>
      <c r="AK639" t="s">
        <v>777</v>
      </c>
      <c r="AL639" t="s">
        <v>8306</v>
      </c>
      <c r="AO639" t="s">
        <v>8307</v>
      </c>
      <c r="AP639" t="s">
        <v>5800</v>
      </c>
      <c r="AQ639" t="s">
        <v>5801</v>
      </c>
      <c r="AR639">
        <v>31683</v>
      </c>
      <c r="AS639">
        <v>5724260</v>
      </c>
      <c r="AT639" t="s">
        <v>8308</v>
      </c>
      <c r="AU639" t="s">
        <v>10</v>
      </c>
      <c r="AV639" t="s">
        <v>8309</v>
      </c>
      <c r="AW639" t="s">
        <v>8309</v>
      </c>
      <c r="AX639" t="s">
        <v>8310</v>
      </c>
      <c r="AY639" s="2" t="s">
        <v>8311</v>
      </c>
      <c r="BA639" t="s">
        <v>222</v>
      </c>
      <c r="BB639" t="s">
        <v>223</v>
      </c>
      <c r="BC639" t="s">
        <v>188</v>
      </c>
      <c r="BD639">
        <v>510055</v>
      </c>
      <c r="BE639" t="s">
        <v>8312</v>
      </c>
      <c r="BF639" t="s">
        <v>8313</v>
      </c>
      <c r="BG639" t="b">
        <v>0</v>
      </c>
      <c r="BH639" s="6" t="s">
        <v>8314</v>
      </c>
      <c r="BI639" t="s">
        <v>8315</v>
      </c>
      <c r="BJ639">
        <v>4453163191</v>
      </c>
      <c r="BK639" t="s">
        <v>162</v>
      </c>
      <c r="BL639" t="s">
        <v>161</v>
      </c>
      <c r="BM639" s="2"/>
      <c r="BN639" t="s">
        <v>8316</v>
      </c>
      <c r="BR639" t="s">
        <v>180</v>
      </c>
      <c r="BS639" t="s">
        <v>103</v>
      </c>
      <c r="BU639">
        <v>0</v>
      </c>
      <c r="BV639">
        <v>0</v>
      </c>
      <c r="BW639">
        <v>0</v>
      </c>
      <c r="BX639">
        <v>0</v>
      </c>
      <c r="BY639">
        <v>0</v>
      </c>
      <c r="BZ639">
        <v>0</v>
      </c>
      <c r="CA639">
        <v>0</v>
      </c>
      <c r="CF639" s="2"/>
      <c r="CH639" s="2"/>
      <c r="CK639" t="s">
        <v>7016</v>
      </c>
      <c r="CL639">
        <v>44066.57675925926</v>
      </c>
      <c r="CO639" t="s">
        <v>11</v>
      </c>
      <c r="CP639">
        <v>40839.5</v>
      </c>
      <c r="CQ639" t="s">
        <v>11</v>
      </c>
      <c r="CR639">
        <v>40839.5</v>
      </c>
      <c r="CV639" t="s">
        <v>525</v>
      </c>
      <c r="CW639" t="s">
        <v>12</v>
      </c>
      <c r="CX639" t="s">
        <v>12</v>
      </c>
      <c r="CY639" t="s">
        <v>12</v>
      </c>
      <c r="DA639" t="s">
        <v>104</v>
      </c>
      <c r="DD639" t="s">
        <v>93</v>
      </c>
      <c r="DQ639" t="s">
        <v>94</v>
      </c>
      <c r="DR639" t="s">
        <v>94</v>
      </c>
      <c r="DS639" t="s">
        <v>94</v>
      </c>
      <c r="DT639" t="s">
        <v>94</v>
      </c>
      <c r="DU639" t="s">
        <v>94</v>
      </c>
      <c r="DV639" t="s">
        <v>94</v>
      </c>
      <c r="DW639" t="s">
        <v>94</v>
      </c>
      <c r="DX639" s="2" t="s">
        <v>94</v>
      </c>
      <c r="DY639" t="s">
        <v>94</v>
      </c>
      <c r="DZ639" t="s">
        <v>94</v>
      </c>
      <c r="EA639" t="s">
        <v>94</v>
      </c>
      <c r="EB639" t="s">
        <v>94</v>
      </c>
      <c r="EC639" t="s">
        <v>94</v>
      </c>
      <c r="ED639" t="s">
        <v>94</v>
      </c>
      <c r="EE639" t="s">
        <v>89</v>
      </c>
      <c r="EF639" t="s">
        <v>425</v>
      </c>
      <c r="EG639" t="s">
        <v>7244</v>
      </c>
      <c r="EJ639" t="s">
        <v>166</v>
      </c>
      <c r="EK639" t="b">
        <v>0</v>
      </c>
      <c r="EL639" t="b">
        <v>0</v>
      </c>
      <c r="EM639" t="b">
        <v>0</v>
      </c>
    </row>
    <row r="640" spans="1:143" ht="15">
      <c r="A640" t="s">
        <v>8324</v>
      </c>
      <c r="C640" s="82">
        <v>13</v>
      </c>
      <c r="D640" s="5"/>
      <c r="E640" s="4">
        <v>1</v>
      </c>
      <c r="F640" s="5">
        <v>0.76500000000000001</v>
      </c>
      <c r="G640" s="5" t="s">
        <v>8321</v>
      </c>
      <c r="H640" s="4" t="s">
        <v>8322</v>
      </c>
      <c r="I640" s="81" t="s">
        <v>164</v>
      </c>
      <c r="J640" s="21"/>
      <c r="K640" s="22" t="s">
        <v>8294</v>
      </c>
      <c r="L640" s="84" t="s">
        <v>8295</v>
      </c>
      <c r="M640" s="23" t="s">
        <v>164</v>
      </c>
      <c r="N640" s="23">
        <v>44070</v>
      </c>
      <c r="O640" s="24" t="s">
        <v>102</v>
      </c>
      <c r="P640" s="24" t="s">
        <v>480</v>
      </c>
      <c r="Q640" s="24">
        <v>1</v>
      </c>
      <c r="R640" s="24">
        <v>0.76500000000000001</v>
      </c>
      <c r="S640" t="s">
        <v>196</v>
      </c>
      <c r="T640">
        <v>6000</v>
      </c>
      <c r="U640" s="2"/>
      <c r="W640" s="2"/>
      <c r="AB640" t="s">
        <v>9</v>
      </c>
      <c r="AC640" t="s">
        <v>1007</v>
      </c>
      <c r="AD640" t="s">
        <v>182</v>
      </c>
      <c r="AE640">
        <v>70501003</v>
      </c>
      <c r="AF640">
        <v>70501003</v>
      </c>
      <c r="AG640" t="s">
        <v>183</v>
      </c>
      <c r="AH640" t="s">
        <v>8296</v>
      </c>
      <c r="AI640" t="s">
        <v>8296</v>
      </c>
      <c r="AJ640" t="s">
        <v>776</v>
      </c>
      <c r="AK640" t="s">
        <v>777</v>
      </c>
      <c r="AL640" t="s">
        <v>8297</v>
      </c>
      <c r="AO640" t="s">
        <v>1040</v>
      </c>
      <c r="AP640" t="s">
        <v>1011</v>
      </c>
      <c r="AQ640" t="s">
        <v>1040</v>
      </c>
      <c r="AR640">
        <v>10999</v>
      </c>
      <c r="AS640">
        <v>30609852585</v>
      </c>
      <c r="AT640" t="s">
        <v>8298</v>
      </c>
      <c r="AU640" t="s">
        <v>10</v>
      </c>
      <c r="AV640" t="s">
        <v>8299</v>
      </c>
      <c r="AW640" t="s">
        <v>8299</v>
      </c>
      <c r="AX640" t="s">
        <v>8300</v>
      </c>
      <c r="AY640" s="2" t="s">
        <v>8301</v>
      </c>
      <c r="AZ640" t="s">
        <v>2681</v>
      </c>
      <c r="BA640" t="s">
        <v>1678</v>
      </c>
      <c r="BB640" t="s">
        <v>272</v>
      </c>
      <c r="BC640" t="s">
        <v>188</v>
      </c>
      <c r="BD640">
        <v>518019</v>
      </c>
      <c r="BE640" t="s">
        <v>8323</v>
      </c>
      <c r="BF640" t="s">
        <v>8299</v>
      </c>
      <c r="BG640" t="b">
        <v>0</v>
      </c>
      <c r="BH640" s="6" t="s">
        <v>8302</v>
      </c>
      <c r="BI640" t="s">
        <v>8303</v>
      </c>
      <c r="BJ640">
        <v>4453163191</v>
      </c>
      <c r="BK640" t="s">
        <v>162</v>
      </c>
      <c r="BL640" t="s">
        <v>161</v>
      </c>
      <c r="BM640" s="2"/>
      <c r="BR640" t="s">
        <v>180</v>
      </c>
      <c r="BS640" t="s">
        <v>103</v>
      </c>
      <c r="BU640">
        <v>0</v>
      </c>
      <c r="BV640">
        <v>0</v>
      </c>
      <c r="BW640">
        <v>0</v>
      </c>
      <c r="BX640">
        <v>0</v>
      </c>
      <c r="BY640">
        <v>0</v>
      </c>
      <c r="BZ640">
        <v>0</v>
      </c>
      <c r="CA640">
        <v>0</v>
      </c>
      <c r="CF640" s="2"/>
      <c r="CH640" s="2"/>
      <c r="CK640" t="s">
        <v>2261</v>
      </c>
      <c r="CL640">
        <v>44070.381666666668</v>
      </c>
      <c r="CO640" t="s">
        <v>11</v>
      </c>
      <c r="CP640">
        <v>5388</v>
      </c>
      <c r="CQ640" t="s">
        <v>11</v>
      </c>
      <c r="CR640">
        <v>5388</v>
      </c>
      <c r="CV640" t="s">
        <v>190</v>
      </c>
      <c r="CW640" t="s">
        <v>12</v>
      </c>
      <c r="CX640" t="s">
        <v>12</v>
      </c>
      <c r="CY640" t="s">
        <v>12</v>
      </c>
      <c r="DA640" t="s">
        <v>104</v>
      </c>
      <c r="DD640" t="s">
        <v>93</v>
      </c>
      <c r="DQ640" t="s">
        <v>94</v>
      </c>
      <c r="DR640" t="s">
        <v>94</v>
      </c>
      <c r="DS640" t="s">
        <v>94</v>
      </c>
      <c r="DT640" t="s">
        <v>94</v>
      </c>
      <c r="DU640" t="s">
        <v>94</v>
      </c>
      <c r="DV640" t="s">
        <v>94</v>
      </c>
      <c r="DW640" t="s">
        <v>94</v>
      </c>
      <c r="DX640" s="2" t="s">
        <v>94</v>
      </c>
      <c r="DY640" t="s">
        <v>94</v>
      </c>
      <c r="DZ640" t="s">
        <v>94</v>
      </c>
      <c r="EA640" t="s">
        <v>94</v>
      </c>
      <c r="EB640" t="s">
        <v>94</v>
      </c>
      <c r="EC640" t="s">
        <v>94</v>
      </c>
      <c r="ED640" t="s">
        <v>94</v>
      </c>
      <c r="EE640" t="s">
        <v>89</v>
      </c>
      <c r="EF640" t="s">
        <v>94</v>
      </c>
      <c r="EG640" t="s">
        <v>543</v>
      </c>
      <c r="EJ640" t="s">
        <v>166</v>
      </c>
      <c r="EK640" t="b">
        <v>0</v>
      </c>
      <c r="EL640" t="b">
        <v>0</v>
      </c>
      <c r="EM640" t="b">
        <v>0</v>
      </c>
    </row>
    <row r="641" spans="1:143" ht="15">
      <c r="A641" t="s">
        <v>8326</v>
      </c>
      <c r="C641" s="82">
        <v>13</v>
      </c>
      <c r="D641" s="5"/>
      <c r="E641" s="4">
        <v>2</v>
      </c>
      <c r="F641" s="5">
        <v>0.5</v>
      </c>
      <c r="G641" s="5" t="s">
        <v>8325</v>
      </c>
      <c r="H641" s="4" t="s">
        <v>8322</v>
      </c>
      <c r="I641" s="81" t="s">
        <v>164</v>
      </c>
      <c r="J641" s="21"/>
      <c r="K641" s="22" t="s">
        <v>8294</v>
      </c>
      <c r="L641" s="84" t="s">
        <v>8295</v>
      </c>
      <c r="M641" s="23" t="s">
        <v>164</v>
      </c>
      <c r="N641" s="23">
        <v>44070</v>
      </c>
      <c r="O641" s="24" t="s">
        <v>102</v>
      </c>
      <c r="P641" s="24" t="s">
        <v>480</v>
      </c>
      <c r="Q641" s="24">
        <v>2</v>
      </c>
      <c r="R641" s="24">
        <v>0.5</v>
      </c>
      <c r="S641" t="s">
        <v>196</v>
      </c>
      <c r="T641">
        <v>6000</v>
      </c>
      <c r="U641" s="2"/>
      <c r="W641" s="2"/>
      <c r="AB641" t="s">
        <v>9</v>
      </c>
      <c r="AC641" t="s">
        <v>1007</v>
      </c>
      <c r="AD641" t="s">
        <v>182</v>
      </c>
      <c r="AE641">
        <v>70501003</v>
      </c>
      <c r="AF641">
        <v>70501003</v>
      </c>
      <c r="AG641" t="s">
        <v>183</v>
      </c>
      <c r="AH641" t="s">
        <v>8296</v>
      </c>
      <c r="AI641" t="s">
        <v>8296</v>
      </c>
      <c r="AJ641" t="s">
        <v>776</v>
      </c>
      <c r="AK641" t="s">
        <v>777</v>
      </c>
      <c r="AL641" t="s">
        <v>8297</v>
      </c>
      <c r="AO641" t="s">
        <v>1040</v>
      </c>
      <c r="AP641" t="s">
        <v>1011</v>
      </c>
      <c r="AQ641" t="s">
        <v>1040</v>
      </c>
      <c r="AR641">
        <v>10999</v>
      </c>
      <c r="AS641">
        <v>30609852585</v>
      </c>
      <c r="AT641" t="s">
        <v>8298</v>
      </c>
      <c r="AU641" t="s">
        <v>10</v>
      </c>
      <c r="AV641" t="s">
        <v>8299</v>
      </c>
      <c r="AW641" t="s">
        <v>8299</v>
      </c>
      <c r="AX641" t="s">
        <v>8300</v>
      </c>
      <c r="AY641" s="2" t="s">
        <v>8301</v>
      </c>
      <c r="AZ641" t="s">
        <v>2681</v>
      </c>
      <c r="BA641" t="s">
        <v>1678</v>
      </c>
      <c r="BB641" t="s">
        <v>272</v>
      </c>
      <c r="BC641" t="s">
        <v>188</v>
      </c>
      <c r="BD641">
        <v>518019</v>
      </c>
      <c r="BE641" t="s">
        <v>8323</v>
      </c>
      <c r="BF641" t="s">
        <v>8299</v>
      </c>
      <c r="BG641" t="b">
        <v>0</v>
      </c>
      <c r="BH641" s="6" t="s">
        <v>8302</v>
      </c>
      <c r="BI641" t="s">
        <v>8303</v>
      </c>
      <c r="BJ641">
        <v>4453163191</v>
      </c>
      <c r="BK641" t="s">
        <v>162</v>
      </c>
      <c r="BL641" t="s">
        <v>161</v>
      </c>
      <c r="BM641" s="2"/>
      <c r="BR641" t="s">
        <v>180</v>
      </c>
      <c r="BS641" t="s">
        <v>103</v>
      </c>
      <c r="BU641">
        <v>0</v>
      </c>
      <c r="BV641">
        <v>0</v>
      </c>
      <c r="BW641">
        <v>0</v>
      </c>
      <c r="BX641">
        <v>0</v>
      </c>
      <c r="BY641">
        <v>0</v>
      </c>
      <c r="BZ641">
        <v>0</v>
      </c>
      <c r="CA641">
        <v>0</v>
      </c>
      <c r="CF641" s="2"/>
      <c r="CH641" s="2"/>
      <c r="CK641" t="s">
        <v>2261</v>
      </c>
      <c r="CL641">
        <v>44070.381666666668</v>
      </c>
      <c r="CO641" t="s">
        <v>11</v>
      </c>
      <c r="CP641">
        <v>5388</v>
      </c>
      <c r="CQ641" t="s">
        <v>11</v>
      </c>
      <c r="CR641">
        <v>5388</v>
      </c>
      <c r="CV641" t="s">
        <v>190</v>
      </c>
      <c r="CW641" t="s">
        <v>12</v>
      </c>
      <c r="CX641" t="s">
        <v>12</v>
      </c>
      <c r="CY641" t="s">
        <v>12</v>
      </c>
      <c r="DA641" t="s">
        <v>104</v>
      </c>
      <c r="DD641" t="s">
        <v>93</v>
      </c>
      <c r="DQ641" t="s">
        <v>94</v>
      </c>
      <c r="DR641" t="s">
        <v>94</v>
      </c>
      <c r="DS641" t="s">
        <v>94</v>
      </c>
      <c r="DT641" t="s">
        <v>94</v>
      </c>
      <c r="DU641" t="s">
        <v>94</v>
      </c>
      <c r="DV641" t="s">
        <v>94</v>
      </c>
      <c r="DW641" t="s">
        <v>94</v>
      </c>
      <c r="DX641" s="2" t="s">
        <v>94</v>
      </c>
      <c r="DY641" t="s">
        <v>94</v>
      </c>
      <c r="DZ641" t="s">
        <v>94</v>
      </c>
      <c r="EA641" t="s">
        <v>94</v>
      </c>
      <c r="EB641" t="s">
        <v>94</v>
      </c>
      <c r="EC641" t="s">
        <v>94</v>
      </c>
      <c r="ED641" t="s">
        <v>94</v>
      </c>
      <c r="EE641" t="s">
        <v>89</v>
      </c>
      <c r="EF641" t="s">
        <v>94</v>
      </c>
      <c r="EG641" t="s">
        <v>543</v>
      </c>
      <c r="EJ641" t="s">
        <v>166</v>
      </c>
      <c r="EK641" t="b">
        <v>0</v>
      </c>
      <c r="EL641" t="b">
        <v>0</v>
      </c>
      <c r="EM641" t="b">
        <v>0</v>
      </c>
    </row>
    <row r="642" spans="1:143" ht="15">
      <c r="A642" t="s">
        <v>8328</v>
      </c>
      <c r="C642" s="82">
        <v>1</v>
      </c>
      <c r="D642" s="5"/>
      <c r="E642" s="4">
        <v>1</v>
      </c>
      <c r="F642" s="5">
        <v>0.76500000000000001</v>
      </c>
      <c r="G642" s="5" t="s">
        <v>8327</v>
      </c>
      <c r="H642" s="4" t="s">
        <v>8322</v>
      </c>
      <c r="I642" s="81" t="s">
        <v>164</v>
      </c>
      <c r="J642" s="21"/>
      <c r="K642" s="22" t="s">
        <v>8294</v>
      </c>
      <c r="L642" s="84" t="s">
        <v>8295</v>
      </c>
      <c r="M642" s="23" t="s">
        <v>164</v>
      </c>
      <c r="N642" s="23">
        <v>44070</v>
      </c>
      <c r="O642" s="24" t="s">
        <v>102</v>
      </c>
      <c r="P642" s="24" t="s">
        <v>480</v>
      </c>
      <c r="Q642" s="24">
        <v>1</v>
      </c>
      <c r="R642" s="24">
        <v>0.76500000000000001</v>
      </c>
      <c r="S642" t="s">
        <v>196</v>
      </c>
      <c r="T642">
        <v>6000</v>
      </c>
      <c r="U642" s="2"/>
      <c r="W642" s="2"/>
      <c r="AB642" t="s">
        <v>9</v>
      </c>
      <c r="AC642" t="s">
        <v>1007</v>
      </c>
      <c r="AD642" t="s">
        <v>182</v>
      </c>
      <c r="AE642">
        <v>70501003</v>
      </c>
      <c r="AF642">
        <v>70501003</v>
      </c>
      <c r="AG642" t="s">
        <v>183</v>
      </c>
      <c r="AH642" t="s">
        <v>8296</v>
      </c>
      <c r="AI642" t="s">
        <v>8296</v>
      </c>
      <c r="AJ642" t="s">
        <v>776</v>
      </c>
      <c r="AK642" t="s">
        <v>777</v>
      </c>
      <c r="AL642" t="s">
        <v>8297</v>
      </c>
      <c r="AO642" t="s">
        <v>1040</v>
      </c>
      <c r="AP642" t="s">
        <v>1011</v>
      </c>
      <c r="AQ642" t="s">
        <v>1040</v>
      </c>
      <c r="AR642">
        <v>10999</v>
      </c>
      <c r="AS642">
        <v>30609852585</v>
      </c>
      <c r="AT642" t="s">
        <v>8298</v>
      </c>
      <c r="AU642" t="s">
        <v>10</v>
      </c>
      <c r="AV642" t="s">
        <v>8299</v>
      </c>
      <c r="AW642" t="s">
        <v>8299</v>
      </c>
      <c r="AX642" t="s">
        <v>8300</v>
      </c>
      <c r="AY642" s="2" t="s">
        <v>8301</v>
      </c>
      <c r="AZ642" t="s">
        <v>2681</v>
      </c>
      <c r="BA642" t="s">
        <v>1678</v>
      </c>
      <c r="BB642" t="s">
        <v>272</v>
      </c>
      <c r="BC642" t="s">
        <v>188</v>
      </c>
      <c r="BD642">
        <v>518019</v>
      </c>
      <c r="BE642" t="s">
        <v>8323</v>
      </c>
      <c r="BF642" t="s">
        <v>8299</v>
      </c>
      <c r="BG642" t="b">
        <v>0</v>
      </c>
      <c r="BH642" s="6" t="s">
        <v>8302</v>
      </c>
      <c r="BI642" t="s">
        <v>8303</v>
      </c>
      <c r="BJ642">
        <v>4453163191</v>
      </c>
      <c r="BK642" t="s">
        <v>162</v>
      </c>
      <c r="BL642" t="s">
        <v>161</v>
      </c>
      <c r="BM642" s="2"/>
      <c r="BR642" t="s">
        <v>180</v>
      </c>
      <c r="BS642" t="s">
        <v>103</v>
      </c>
      <c r="BU642">
        <v>0</v>
      </c>
      <c r="BV642">
        <v>0</v>
      </c>
      <c r="BW642">
        <v>0</v>
      </c>
      <c r="BX642">
        <v>0</v>
      </c>
      <c r="BY642">
        <v>0</v>
      </c>
      <c r="BZ642">
        <v>0</v>
      </c>
      <c r="CA642">
        <v>0</v>
      </c>
      <c r="CF642" s="2"/>
      <c r="CH642" s="2"/>
      <c r="CK642" t="s">
        <v>2261</v>
      </c>
      <c r="CL642">
        <v>44070.381666666668</v>
      </c>
      <c r="CO642" t="s">
        <v>11</v>
      </c>
      <c r="CP642">
        <v>5388</v>
      </c>
      <c r="CQ642" t="s">
        <v>11</v>
      </c>
      <c r="CR642">
        <v>5388</v>
      </c>
      <c r="CV642" t="s">
        <v>190</v>
      </c>
      <c r="CW642" t="s">
        <v>12</v>
      </c>
      <c r="CX642" t="s">
        <v>12</v>
      </c>
      <c r="CY642" t="s">
        <v>12</v>
      </c>
      <c r="DA642" t="s">
        <v>104</v>
      </c>
      <c r="DD642" t="s">
        <v>93</v>
      </c>
      <c r="DQ642" t="s">
        <v>94</v>
      </c>
      <c r="DR642" t="s">
        <v>94</v>
      </c>
      <c r="DS642" t="s">
        <v>94</v>
      </c>
      <c r="DT642" t="s">
        <v>94</v>
      </c>
      <c r="DU642" t="s">
        <v>94</v>
      </c>
      <c r="DV642" t="s">
        <v>94</v>
      </c>
      <c r="DW642" t="s">
        <v>94</v>
      </c>
      <c r="DX642" s="2" t="s">
        <v>94</v>
      </c>
      <c r="DY642" t="s">
        <v>94</v>
      </c>
      <c r="DZ642" t="s">
        <v>94</v>
      </c>
      <c r="EA642" t="s">
        <v>94</v>
      </c>
      <c r="EB642" t="s">
        <v>94</v>
      </c>
      <c r="EC642" t="s">
        <v>94</v>
      </c>
      <c r="ED642" t="s">
        <v>94</v>
      </c>
      <c r="EE642" t="s">
        <v>89</v>
      </c>
      <c r="EF642" t="s">
        <v>94</v>
      </c>
      <c r="EG642" t="s">
        <v>543</v>
      </c>
      <c r="EJ642" t="s">
        <v>166</v>
      </c>
      <c r="EK642" t="b">
        <v>0</v>
      </c>
      <c r="EL642" t="b">
        <v>0</v>
      </c>
      <c r="EM642" t="b">
        <v>0</v>
      </c>
    </row>
    <row r="643" spans="1:143" ht="15">
      <c r="A643" t="s">
        <v>8330</v>
      </c>
      <c r="C643" s="82">
        <v>1</v>
      </c>
      <c r="D643" s="5">
        <v>0.77</v>
      </c>
      <c r="E643" s="4">
        <v>1</v>
      </c>
      <c r="F643" s="5">
        <v>0.77</v>
      </c>
      <c r="G643" s="5" t="s">
        <v>8329</v>
      </c>
      <c r="H643" s="4" t="s">
        <v>8322</v>
      </c>
      <c r="I643" s="81" t="s">
        <v>164</v>
      </c>
      <c r="J643" s="21"/>
      <c r="K643" s="22" t="s">
        <v>8294</v>
      </c>
      <c r="L643" s="84" t="s">
        <v>8295</v>
      </c>
      <c r="M643" s="23" t="s">
        <v>164</v>
      </c>
      <c r="N643" s="23">
        <v>44070</v>
      </c>
      <c r="O643" s="24" t="s">
        <v>102</v>
      </c>
      <c r="P643" s="24" t="s">
        <v>480</v>
      </c>
      <c r="Q643" s="24">
        <v>1</v>
      </c>
      <c r="R643" s="24">
        <v>0.76500000000000001</v>
      </c>
      <c r="S643" t="s">
        <v>196</v>
      </c>
      <c r="T643">
        <v>6000</v>
      </c>
      <c r="U643" s="2"/>
      <c r="W643" s="2"/>
      <c r="AB643" t="s">
        <v>9</v>
      </c>
      <c r="AC643" t="s">
        <v>1007</v>
      </c>
      <c r="AD643" t="s">
        <v>182</v>
      </c>
      <c r="AE643">
        <v>70501003</v>
      </c>
      <c r="AF643">
        <v>70501003</v>
      </c>
      <c r="AG643" t="s">
        <v>183</v>
      </c>
      <c r="AH643" t="s">
        <v>8296</v>
      </c>
      <c r="AI643" t="s">
        <v>8296</v>
      </c>
      <c r="AJ643" t="s">
        <v>776</v>
      </c>
      <c r="AK643" t="s">
        <v>777</v>
      </c>
      <c r="AL643" t="s">
        <v>8297</v>
      </c>
      <c r="AO643" t="s">
        <v>1040</v>
      </c>
      <c r="AP643" t="s">
        <v>1011</v>
      </c>
      <c r="AQ643" t="s">
        <v>1040</v>
      </c>
      <c r="AR643">
        <v>10999</v>
      </c>
      <c r="AS643">
        <v>30609852585</v>
      </c>
      <c r="AT643" t="s">
        <v>8298</v>
      </c>
      <c r="AU643" t="s">
        <v>10</v>
      </c>
      <c r="AV643" t="s">
        <v>8299</v>
      </c>
      <c r="AW643" t="s">
        <v>8299</v>
      </c>
      <c r="AX643" t="s">
        <v>8300</v>
      </c>
      <c r="AY643" s="2" t="s">
        <v>8301</v>
      </c>
      <c r="AZ643" t="s">
        <v>2681</v>
      </c>
      <c r="BA643" t="s">
        <v>1678</v>
      </c>
      <c r="BB643" t="s">
        <v>272</v>
      </c>
      <c r="BC643" t="s">
        <v>188</v>
      </c>
      <c r="BD643">
        <v>518019</v>
      </c>
      <c r="BE643" t="s">
        <v>8323</v>
      </c>
      <c r="BF643" t="s">
        <v>8299</v>
      </c>
      <c r="BG643" t="b">
        <v>0</v>
      </c>
      <c r="BH643" s="6" t="s">
        <v>8302</v>
      </c>
      <c r="BI643" t="s">
        <v>8303</v>
      </c>
      <c r="BJ643">
        <v>4453163191</v>
      </c>
      <c r="BK643" t="s">
        <v>162</v>
      </c>
      <c r="BL643" t="s">
        <v>161</v>
      </c>
      <c r="BM643" s="2"/>
      <c r="BR643" t="s">
        <v>180</v>
      </c>
      <c r="BS643" t="s">
        <v>103</v>
      </c>
      <c r="BU643">
        <v>0</v>
      </c>
      <c r="BV643">
        <v>0</v>
      </c>
      <c r="BW643">
        <v>0</v>
      </c>
      <c r="BX643">
        <v>0</v>
      </c>
      <c r="BY643">
        <v>0</v>
      </c>
      <c r="BZ643">
        <v>0</v>
      </c>
      <c r="CA643">
        <v>0</v>
      </c>
      <c r="CF643" s="2"/>
      <c r="CH643" s="2"/>
      <c r="CK643" t="s">
        <v>2261</v>
      </c>
      <c r="CL643">
        <v>44070.381666666668</v>
      </c>
      <c r="CO643" t="s">
        <v>11</v>
      </c>
      <c r="CP643">
        <v>5388</v>
      </c>
      <c r="CQ643" t="s">
        <v>11</v>
      </c>
      <c r="CR643">
        <v>5388</v>
      </c>
      <c r="CV643" t="s">
        <v>190</v>
      </c>
      <c r="CW643" t="s">
        <v>12</v>
      </c>
      <c r="CX643" t="s">
        <v>12</v>
      </c>
      <c r="CY643" t="s">
        <v>12</v>
      </c>
      <c r="DA643" t="s">
        <v>104</v>
      </c>
      <c r="DD643" t="s">
        <v>93</v>
      </c>
      <c r="DQ643" t="s">
        <v>94</v>
      </c>
      <c r="DR643" t="s">
        <v>94</v>
      </c>
      <c r="DS643" t="s">
        <v>94</v>
      </c>
      <c r="DT643" t="s">
        <v>94</v>
      </c>
      <c r="DU643" t="s">
        <v>94</v>
      </c>
      <c r="DV643" t="s">
        <v>94</v>
      </c>
      <c r="DW643" t="s">
        <v>94</v>
      </c>
      <c r="DX643" s="2" t="s">
        <v>94</v>
      </c>
      <c r="DY643" t="s">
        <v>94</v>
      </c>
      <c r="DZ643" t="s">
        <v>94</v>
      </c>
      <c r="EA643" t="s">
        <v>94</v>
      </c>
      <c r="EB643" t="s">
        <v>94</v>
      </c>
      <c r="EC643" t="s">
        <v>94</v>
      </c>
      <c r="ED643" t="s">
        <v>94</v>
      </c>
      <c r="EE643" t="s">
        <v>89</v>
      </c>
      <c r="EF643" t="s">
        <v>94</v>
      </c>
      <c r="EG643" t="s">
        <v>543</v>
      </c>
      <c r="EJ643" t="s">
        <v>166</v>
      </c>
      <c r="EK643" t="b">
        <v>0</v>
      </c>
      <c r="EL643" t="b">
        <v>0</v>
      </c>
      <c r="EM643" t="b">
        <v>0</v>
      </c>
    </row>
    <row r="644" spans="1:143" ht="15">
      <c r="A644" t="s">
        <v>8351</v>
      </c>
      <c r="C644" s="82">
        <v>23</v>
      </c>
      <c r="D644" s="5"/>
      <c r="E644" s="4">
        <v>1</v>
      </c>
      <c r="F644" s="5">
        <v>5.3</v>
      </c>
      <c r="G644" s="5" t="s">
        <v>8349</v>
      </c>
      <c r="H644" s="4" t="s">
        <v>8350</v>
      </c>
      <c r="I644" s="81" t="s">
        <v>164</v>
      </c>
      <c r="J644" s="21"/>
      <c r="K644" s="22" t="s">
        <v>8331</v>
      </c>
      <c r="L644" s="84" t="s">
        <v>8348</v>
      </c>
      <c r="M644" s="23" t="s">
        <v>164</v>
      </c>
      <c r="N644" s="23">
        <v>44077</v>
      </c>
      <c r="O644" s="24" t="s">
        <v>102</v>
      </c>
      <c r="P644" s="24" t="s">
        <v>480</v>
      </c>
      <c r="Q644" s="24">
        <v>1</v>
      </c>
      <c r="R644" s="24">
        <v>5.3</v>
      </c>
      <c r="S644" t="s">
        <v>372</v>
      </c>
      <c r="T644">
        <v>4300</v>
      </c>
      <c r="U644" s="2"/>
      <c r="W644" s="2"/>
      <c r="AB644" t="s">
        <v>9</v>
      </c>
      <c r="AC644" t="s">
        <v>546</v>
      </c>
      <c r="AD644" t="s">
        <v>275</v>
      </c>
      <c r="AE644">
        <v>1093935</v>
      </c>
      <c r="AF644">
        <v>1093935</v>
      </c>
      <c r="AG644" t="s">
        <v>183</v>
      </c>
      <c r="AH644" t="s">
        <v>8332</v>
      </c>
      <c r="AI644" t="s">
        <v>8332</v>
      </c>
      <c r="AJ644" t="s">
        <v>184</v>
      </c>
      <c r="AK644" t="s">
        <v>185</v>
      </c>
      <c r="AL644" t="s">
        <v>8333</v>
      </c>
      <c r="AM644" t="s">
        <v>8334</v>
      </c>
      <c r="AO644" t="s">
        <v>8335</v>
      </c>
      <c r="AP644" t="s">
        <v>551</v>
      </c>
      <c r="AQ644" t="s">
        <v>8336</v>
      </c>
      <c r="AR644" t="s">
        <v>8337</v>
      </c>
      <c r="AS644">
        <v>1835864866</v>
      </c>
      <c r="AT644" t="s">
        <v>8338</v>
      </c>
      <c r="AU644" t="s">
        <v>10</v>
      </c>
      <c r="AV644" t="s">
        <v>8339</v>
      </c>
      <c r="AW644" t="s">
        <v>8339</v>
      </c>
      <c r="AX644" t="s">
        <v>8340</v>
      </c>
      <c r="AY644" s="2" t="s">
        <v>8341</v>
      </c>
      <c r="BA644" t="s">
        <v>8342</v>
      </c>
      <c r="BB644" t="s">
        <v>8343</v>
      </c>
      <c r="BC644" t="s">
        <v>287</v>
      </c>
      <c r="BD644">
        <v>621001</v>
      </c>
      <c r="BE644" t="s">
        <v>8344</v>
      </c>
      <c r="BF644" t="s">
        <v>8345</v>
      </c>
      <c r="BG644" t="b">
        <v>0</v>
      </c>
      <c r="BH644" s="6" t="s">
        <v>8346</v>
      </c>
      <c r="BI644" t="s">
        <v>8347</v>
      </c>
      <c r="BJ644">
        <v>4453163191</v>
      </c>
      <c r="BK644" t="s">
        <v>162</v>
      </c>
      <c r="BL644" t="s">
        <v>161</v>
      </c>
      <c r="BM644" s="2"/>
      <c r="BR644" t="s">
        <v>189</v>
      </c>
      <c r="BS644" t="s">
        <v>103</v>
      </c>
      <c r="BU644">
        <v>0</v>
      </c>
      <c r="BV644">
        <v>0</v>
      </c>
      <c r="BW644">
        <v>0</v>
      </c>
      <c r="BX644">
        <v>0</v>
      </c>
      <c r="BY644">
        <v>0</v>
      </c>
      <c r="BZ644">
        <v>0</v>
      </c>
      <c r="CA644">
        <v>0</v>
      </c>
      <c r="CF644" s="2"/>
      <c r="CH644" s="2"/>
      <c r="CK644" t="s">
        <v>1849</v>
      </c>
      <c r="CL644">
        <v>44031.536944444444</v>
      </c>
      <c r="CO644" t="s">
        <v>11</v>
      </c>
      <c r="CP644">
        <v>39059.910000000003</v>
      </c>
      <c r="CQ644" t="s">
        <v>11</v>
      </c>
      <c r="CR644">
        <v>39059.910000000003</v>
      </c>
      <c r="CV644" t="s">
        <v>190</v>
      </c>
      <c r="CW644" t="s">
        <v>12</v>
      </c>
      <c r="CX644" t="s">
        <v>12</v>
      </c>
      <c r="CY644" t="s">
        <v>12</v>
      </c>
      <c r="DA644" t="s">
        <v>104</v>
      </c>
      <c r="DD644" t="s">
        <v>93</v>
      </c>
      <c r="DQ644" t="s">
        <v>94</v>
      </c>
      <c r="DR644" t="s">
        <v>94</v>
      </c>
      <c r="DS644" t="s">
        <v>94</v>
      </c>
      <c r="DT644" t="s">
        <v>94</v>
      </c>
      <c r="DU644" t="s">
        <v>94</v>
      </c>
      <c r="DV644" t="s">
        <v>94</v>
      </c>
      <c r="DW644" t="s">
        <v>94</v>
      </c>
      <c r="DX644" s="2" t="s">
        <v>94</v>
      </c>
      <c r="DY644" t="s">
        <v>94</v>
      </c>
      <c r="DZ644" t="s">
        <v>94</v>
      </c>
      <c r="EA644" t="s">
        <v>94</v>
      </c>
      <c r="EB644" t="s">
        <v>94</v>
      </c>
      <c r="EC644" t="s">
        <v>94</v>
      </c>
      <c r="ED644" t="s">
        <v>94</v>
      </c>
      <c r="EE644" t="s">
        <v>89</v>
      </c>
      <c r="EF644" t="s">
        <v>425</v>
      </c>
      <c r="EG644" t="s">
        <v>7993</v>
      </c>
      <c r="EJ644" t="s">
        <v>166</v>
      </c>
      <c r="EK644" t="b">
        <v>0</v>
      </c>
      <c r="EL644" t="b">
        <v>0</v>
      </c>
      <c r="EM644" t="b">
        <v>0</v>
      </c>
    </row>
    <row r="645" spans="1:143" ht="15">
      <c r="A645" t="s">
        <v>8368</v>
      </c>
      <c r="C645" s="82">
        <v>23</v>
      </c>
      <c r="D645" s="5">
        <v>53</v>
      </c>
      <c r="E645" s="4">
        <v>1</v>
      </c>
      <c r="F645" s="5">
        <v>53</v>
      </c>
      <c r="G645" s="5" t="s">
        <v>8366</v>
      </c>
      <c r="H645" s="4" t="s">
        <v>8367</v>
      </c>
      <c r="I645" s="81" t="s">
        <v>920</v>
      </c>
      <c r="J645" s="21"/>
      <c r="K645" s="22" t="s">
        <v>8364</v>
      </c>
      <c r="L645" s="84" t="s">
        <v>8352</v>
      </c>
      <c r="M645" s="23" t="s">
        <v>905</v>
      </c>
      <c r="N645" s="23">
        <v>44076</v>
      </c>
      <c r="O645" s="24" t="s">
        <v>102</v>
      </c>
      <c r="P645" s="24" t="s">
        <v>480</v>
      </c>
      <c r="Q645" s="24">
        <v>1</v>
      </c>
      <c r="R645" s="24">
        <v>62</v>
      </c>
      <c r="S645" t="s">
        <v>319</v>
      </c>
      <c r="T645">
        <v>2107.61</v>
      </c>
      <c r="U645" s="2"/>
      <c r="W645" s="2"/>
      <c r="AB645" t="s">
        <v>9</v>
      </c>
      <c r="AC645" t="s">
        <v>1566</v>
      </c>
      <c r="AD645" t="s">
        <v>8353</v>
      </c>
      <c r="AE645">
        <v>895129</v>
      </c>
      <c r="AF645">
        <v>895129</v>
      </c>
      <c r="AG645">
        <v>0</v>
      </c>
      <c r="AH645" t="s">
        <v>8354</v>
      </c>
      <c r="AI645" t="s">
        <v>8354</v>
      </c>
      <c r="AJ645" t="s">
        <v>601</v>
      </c>
      <c r="AK645" t="s">
        <v>602</v>
      </c>
      <c r="AL645" t="s">
        <v>8355</v>
      </c>
      <c r="AO645" t="s">
        <v>8356</v>
      </c>
      <c r="AP645" t="s">
        <v>1570</v>
      </c>
      <c r="AQ645" t="s">
        <v>8356</v>
      </c>
      <c r="AR645">
        <v>64010</v>
      </c>
      <c r="AS645">
        <v>0</v>
      </c>
      <c r="AT645" t="s">
        <v>2001</v>
      </c>
      <c r="AU645" t="s">
        <v>10</v>
      </c>
      <c r="AV645" t="s">
        <v>8357</v>
      </c>
      <c r="AW645" t="s">
        <v>8357</v>
      </c>
      <c r="AX645" t="s">
        <v>8358</v>
      </c>
      <c r="AY645" s="2" t="s">
        <v>8359</v>
      </c>
      <c r="BA645" t="s">
        <v>8360</v>
      </c>
      <c r="BB645" t="s">
        <v>8361</v>
      </c>
      <c r="BC645" t="s">
        <v>8360</v>
      </c>
      <c r="BD645">
        <v>362012</v>
      </c>
      <c r="BE645">
        <v>0</v>
      </c>
      <c r="BF645">
        <v>0</v>
      </c>
      <c r="BG645" t="b">
        <v>0</v>
      </c>
      <c r="BH645" s="6" t="s">
        <v>8362</v>
      </c>
      <c r="BI645" t="s">
        <v>8363</v>
      </c>
      <c r="BJ645">
        <v>4453163191</v>
      </c>
      <c r="BK645" t="s">
        <v>162</v>
      </c>
      <c r="BL645" t="s">
        <v>161</v>
      </c>
      <c r="BM645" s="2"/>
      <c r="BR645" t="s">
        <v>180</v>
      </c>
      <c r="BS645" t="s">
        <v>103</v>
      </c>
      <c r="BU645">
        <v>0</v>
      </c>
      <c r="BV645">
        <v>0</v>
      </c>
      <c r="BW645">
        <v>0</v>
      </c>
      <c r="BX645">
        <v>0</v>
      </c>
      <c r="BY645">
        <v>0</v>
      </c>
      <c r="BZ645">
        <v>0</v>
      </c>
      <c r="CA645">
        <v>0</v>
      </c>
      <c r="CF645" s="2"/>
      <c r="CH645" s="2"/>
      <c r="CK645" t="s">
        <v>2648</v>
      </c>
      <c r="CL645">
        <v>44076.556354166663</v>
      </c>
      <c r="CO645" t="s">
        <v>11</v>
      </c>
      <c r="CP645">
        <v>14668.33</v>
      </c>
      <c r="CQ645" t="s">
        <v>11</v>
      </c>
      <c r="CR645">
        <v>14668.33</v>
      </c>
      <c r="CV645" t="s">
        <v>190</v>
      </c>
      <c r="CW645" t="s">
        <v>12</v>
      </c>
      <c r="CX645" t="s">
        <v>12</v>
      </c>
      <c r="CY645" t="s">
        <v>12</v>
      </c>
      <c r="DA645" t="s">
        <v>104</v>
      </c>
      <c r="DD645" t="s">
        <v>93</v>
      </c>
      <c r="DQ645" t="s">
        <v>94</v>
      </c>
      <c r="DR645" t="s">
        <v>94</v>
      </c>
      <c r="DS645" t="s">
        <v>94</v>
      </c>
      <c r="DT645" t="s">
        <v>94</v>
      </c>
      <c r="DU645" t="s">
        <v>94</v>
      </c>
      <c r="DV645" t="s">
        <v>94</v>
      </c>
      <c r="DW645" t="s">
        <v>94</v>
      </c>
      <c r="DX645" s="2" t="s">
        <v>94</v>
      </c>
      <c r="DY645" t="s">
        <v>94</v>
      </c>
      <c r="DZ645" t="s">
        <v>94</v>
      </c>
      <c r="EA645" t="s">
        <v>94</v>
      </c>
      <c r="EB645" t="s">
        <v>94</v>
      </c>
      <c r="EC645" t="s">
        <v>94</v>
      </c>
      <c r="ED645" t="s">
        <v>94</v>
      </c>
      <c r="EE645" t="s">
        <v>89</v>
      </c>
      <c r="EF645" t="s">
        <v>425</v>
      </c>
      <c r="EG645" t="s">
        <v>7244</v>
      </c>
      <c r="EJ645" t="s">
        <v>166</v>
      </c>
      <c r="EK645" t="b">
        <v>0</v>
      </c>
      <c r="EL645" t="b">
        <v>0</v>
      </c>
      <c r="EM645" t="b">
        <v>0</v>
      </c>
    </row>
    <row r="646" spans="1:143">
      <c r="A646" t="s">
        <v>8368</v>
      </c>
      <c r="C646" s="4">
        <v>232</v>
      </c>
      <c r="D646" s="4">
        <v>9</v>
      </c>
      <c r="E646" s="4">
        <v>1</v>
      </c>
      <c r="F646" s="4">
        <v>9</v>
      </c>
      <c r="G646" s="5" t="s">
        <v>8366</v>
      </c>
      <c r="H646" s="4" t="s">
        <v>8367</v>
      </c>
      <c r="I646" s="4" t="s">
        <v>920</v>
      </c>
      <c r="J646" s="5"/>
      <c r="K646" s="22" t="s">
        <v>8365</v>
      </c>
      <c r="L646" s="84" t="s">
        <v>8352</v>
      </c>
      <c r="M646" s="23" t="s">
        <v>905</v>
      </c>
      <c r="N646" s="23">
        <v>44076</v>
      </c>
      <c r="O646" s="24" t="s">
        <v>102</v>
      </c>
      <c r="P646" s="24" t="s">
        <v>480</v>
      </c>
      <c r="Q646" s="24">
        <v>1</v>
      </c>
      <c r="R646" s="24">
        <v>62</v>
      </c>
      <c r="S646" t="s">
        <v>319</v>
      </c>
      <c r="T646">
        <v>2107.61</v>
      </c>
      <c r="U646" s="2"/>
      <c r="W646" s="2"/>
      <c r="AB646" t="s">
        <v>9</v>
      </c>
      <c r="AC646" t="s">
        <v>1566</v>
      </c>
      <c r="AD646" t="s">
        <v>8353</v>
      </c>
      <c r="AE646">
        <v>895129</v>
      </c>
      <c r="AF646">
        <v>895129</v>
      </c>
      <c r="AG646">
        <v>0</v>
      </c>
      <c r="AH646" t="s">
        <v>8354</v>
      </c>
      <c r="AI646" t="s">
        <v>8354</v>
      </c>
      <c r="AJ646" t="s">
        <v>601</v>
      </c>
      <c r="AK646" t="s">
        <v>602</v>
      </c>
      <c r="AL646" t="s">
        <v>8355</v>
      </c>
      <c r="AO646" t="s">
        <v>8356</v>
      </c>
      <c r="AP646" t="s">
        <v>1570</v>
      </c>
      <c r="AQ646" t="s">
        <v>8356</v>
      </c>
      <c r="AR646">
        <v>64010</v>
      </c>
      <c r="AS646">
        <v>0</v>
      </c>
      <c r="AT646" t="s">
        <v>2001</v>
      </c>
      <c r="AU646" t="s">
        <v>10</v>
      </c>
      <c r="AV646" t="s">
        <v>8357</v>
      </c>
      <c r="AW646" t="s">
        <v>8357</v>
      </c>
      <c r="AX646" t="s">
        <v>8358</v>
      </c>
      <c r="AY646" t="s">
        <v>8359</v>
      </c>
      <c r="BA646" t="s">
        <v>8360</v>
      </c>
      <c r="BB646" t="s">
        <v>8361</v>
      </c>
      <c r="BC646" t="s">
        <v>8360</v>
      </c>
      <c r="BD646">
        <v>362012</v>
      </c>
      <c r="BE646">
        <v>0</v>
      </c>
      <c r="BF646">
        <v>0</v>
      </c>
      <c r="BG646" t="b">
        <v>0</v>
      </c>
      <c r="BH646" s="6" t="s">
        <v>8362</v>
      </c>
      <c r="BI646" t="s">
        <v>8363</v>
      </c>
      <c r="BJ646">
        <v>4453163191</v>
      </c>
      <c r="BK646" t="s">
        <v>162</v>
      </c>
      <c r="BL646" t="s">
        <v>161</v>
      </c>
      <c r="BM646" s="2"/>
      <c r="BR646" t="s">
        <v>180</v>
      </c>
      <c r="BS646" t="s">
        <v>103</v>
      </c>
      <c r="BU646">
        <v>0</v>
      </c>
      <c r="BV646">
        <v>0</v>
      </c>
      <c r="BW646">
        <v>0</v>
      </c>
      <c r="BX646">
        <v>0</v>
      </c>
      <c r="BY646">
        <v>0</v>
      </c>
      <c r="BZ646">
        <v>0</v>
      </c>
      <c r="CA646">
        <v>0</v>
      </c>
      <c r="CF646" s="2"/>
      <c r="CH646" s="2"/>
      <c r="CK646" t="s">
        <v>2648</v>
      </c>
      <c r="CL646">
        <v>44076.556354166663</v>
      </c>
      <c r="CO646" t="s">
        <v>11</v>
      </c>
      <c r="CP646">
        <v>14668.33</v>
      </c>
      <c r="CQ646" t="s">
        <v>11</v>
      </c>
      <c r="CR646">
        <v>14668.33</v>
      </c>
      <c r="CV646" t="s">
        <v>190</v>
      </c>
      <c r="CW646" t="s">
        <v>12</v>
      </c>
      <c r="CX646" t="s">
        <v>12</v>
      </c>
      <c r="CY646" t="s">
        <v>12</v>
      </c>
      <c r="DA646" t="s">
        <v>104</v>
      </c>
      <c r="DD646" t="s">
        <v>93</v>
      </c>
      <c r="DQ646" t="s">
        <v>94</v>
      </c>
      <c r="DR646" t="s">
        <v>94</v>
      </c>
      <c r="DS646" t="s">
        <v>94</v>
      </c>
      <c r="DT646" t="s">
        <v>94</v>
      </c>
      <c r="DU646" t="s">
        <v>94</v>
      </c>
      <c r="DV646" t="s">
        <v>94</v>
      </c>
      <c r="DW646" t="s">
        <v>94</v>
      </c>
      <c r="DX646" s="2" t="s">
        <v>94</v>
      </c>
      <c r="DY646" t="s">
        <v>94</v>
      </c>
      <c r="DZ646" t="s">
        <v>94</v>
      </c>
      <c r="EA646" t="s">
        <v>94</v>
      </c>
      <c r="EB646" t="s">
        <v>94</v>
      </c>
      <c r="EC646" t="s">
        <v>94</v>
      </c>
      <c r="ED646" t="s">
        <v>94</v>
      </c>
      <c r="EE646" t="s">
        <v>89</v>
      </c>
      <c r="EF646" t="s">
        <v>425</v>
      </c>
      <c r="EG646" t="s">
        <v>7244</v>
      </c>
      <c r="EJ646" t="s">
        <v>166</v>
      </c>
      <c r="EK646" t="b">
        <v>0</v>
      </c>
      <c r="EL646" t="b">
        <v>0</v>
      </c>
      <c r="EM646" t="b">
        <v>0</v>
      </c>
    </row>
    <row r="647" spans="1:143" ht="15">
      <c r="A647" t="s">
        <v>8387</v>
      </c>
      <c r="C647" s="82">
        <v>3</v>
      </c>
      <c r="D647" s="5"/>
      <c r="E647" s="4">
        <v>2</v>
      </c>
      <c r="F647" s="5">
        <v>48.15</v>
      </c>
      <c r="G647" s="5" t="s">
        <v>8384</v>
      </c>
      <c r="H647" s="4" t="s">
        <v>8385</v>
      </c>
      <c r="I647" s="81" t="s">
        <v>164</v>
      </c>
      <c r="J647" s="21"/>
      <c r="K647" s="22" t="s">
        <v>8369</v>
      </c>
      <c r="L647" s="84" t="s">
        <v>8348</v>
      </c>
      <c r="M647" s="23" t="s">
        <v>447</v>
      </c>
      <c r="N647" s="23">
        <v>44077</v>
      </c>
      <c r="O647" s="24" t="s">
        <v>102</v>
      </c>
      <c r="P647" s="24" t="s">
        <v>181</v>
      </c>
      <c r="Q647" s="24">
        <v>2</v>
      </c>
      <c r="R647" s="24">
        <v>48.15</v>
      </c>
      <c r="S647" t="s">
        <v>11</v>
      </c>
      <c r="T647">
        <v>2167</v>
      </c>
      <c r="U647" s="2" t="s">
        <v>163</v>
      </c>
      <c r="V647">
        <v>44077.805034722223</v>
      </c>
      <c r="W647" s="2" t="s">
        <v>427</v>
      </c>
      <c r="X647">
        <v>44077.873715277776</v>
      </c>
      <c r="AB647" t="s">
        <v>9</v>
      </c>
      <c r="AC647" t="s">
        <v>8370</v>
      </c>
      <c r="AD647" t="s">
        <v>182</v>
      </c>
      <c r="AE647">
        <v>20114</v>
      </c>
      <c r="AF647">
        <v>20114</v>
      </c>
      <c r="AG647" t="s">
        <v>183</v>
      </c>
      <c r="AH647" t="s">
        <v>8371</v>
      </c>
      <c r="AI647" t="s">
        <v>8371</v>
      </c>
      <c r="AJ647" t="s">
        <v>2983</v>
      </c>
      <c r="AK647" t="s">
        <v>2984</v>
      </c>
      <c r="AL647" t="s">
        <v>8372</v>
      </c>
      <c r="AO647" t="s">
        <v>8373</v>
      </c>
      <c r="AP647" t="s">
        <v>8374</v>
      </c>
      <c r="AR647">
        <v>2831</v>
      </c>
      <c r="AS647">
        <v>34572114</v>
      </c>
      <c r="AT647" t="s">
        <v>8375</v>
      </c>
      <c r="AU647" t="s">
        <v>10</v>
      </c>
      <c r="AV647" t="s">
        <v>8376</v>
      </c>
      <c r="AW647" t="s">
        <v>8376</v>
      </c>
      <c r="AX647" t="s">
        <v>8377</v>
      </c>
      <c r="AY647" s="2" t="s">
        <v>8378</v>
      </c>
      <c r="BA647" t="s">
        <v>1002</v>
      </c>
      <c r="BB647" t="s">
        <v>187</v>
      </c>
      <c r="BC647" t="s">
        <v>188</v>
      </c>
      <c r="BD647">
        <v>518112</v>
      </c>
      <c r="BE647">
        <v>-8613925275313</v>
      </c>
      <c r="BF647" t="s">
        <v>8379</v>
      </c>
      <c r="BG647" t="b">
        <v>0</v>
      </c>
      <c r="BH647" s="6" t="s">
        <v>8380</v>
      </c>
      <c r="BI647" t="s">
        <v>8381</v>
      </c>
      <c r="BJ647">
        <v>4453163191</v>
      </c>
      <c r="BK647" t="s">
        <v>162</v>
      </c>
      <c r="BL647" t="s">
        <v>161</v>
      </c>
      <c r="BM647" s="2"/>
      <c r="BO647" t="s">
        <v>89</v>
      </c>
      <c r="BP647">
        <v>39079100</v>
      </c>
      <c r="BR647" t="s">
        <v>189</v>
      </c>
      <c r="BS647" t="s">
        <v>103</v>
      </c>
      <c r="BU647">
        <v>140.86000000000001</v>
      </c>
      <c r="BV647">
        <v>300.02</v>
      </c>
      <c r="BW647">
        <v>0</v>
      </c>
      <c r="BX647">
        <v>0</v>
      </c>
      <c r="BY647">
        <v>0</v>
      </c>
      <c r="BZ647">
        <v>0</v>
      </c>
      <c r="CA647">
        <v>440.88</v>
      </c>
      <c r="CB647" t="s">
        <v>444</v>
      </c>
      <c r="CF647" s="2"/>
      <c r="CH647" s="2"/>
      <c r="CJ647">
        <v>5.3142020950158598E+17</v>
      </c>
      <c r="CK647" t="s">
        <v>2648</v>
      </c>
      <c r="CL647">
        <v>44077.387962962966</v>
      </c>
      <c r="CO647" t="s">
        <v>11</v>
      </c>
      <c r="CP647">
        <v>2167</v>
      </c>
      <c r="CQ647" t="s">
        <v>11</v>
      </c>
      <c r="CR647">
        <v>2167</v>
      </c>
      <c r="CV647" t="s">
        <v>190</v>
      </c>
      <c r="CW647" t="s">
        <v>12</v>
      </c>
      <c r="CX647" t="s">
        <v>12</v>
      </c>
      <c r="CY647" t="s">
        <v>12</v>
      </c>
      <c r="DA647" t="s">
        <v>104</v>
      </c>
      <c r="DD647" t="s">
        <v>93</v>
      </c>
      <c r="DQ647" t="s">
        <v>94</v>
      </c>
      <c r="DR647" t="s">
        <v>94</v>
      </c>
      <c r="DS647" t="s">
        <v>94</v>
      </c>
      <c r="DT647" t="s">
        <v>94</v>
      </c>
      <c r="DU647" t="s">
        <v>94</v>
      </c>
      <c r="DV647" t="s">
        <v>94</v>
      </c>
      <c r="DW647" t="s">
        <v>94</v>
      </c>
      <c r="DX647" s="2" t="s">
        <v>94</v>
      </c>
      <c r="DY647" t="s">
        <v>94</v>
      </c>
      <c r="DZ647" t="s">
        <v>94</v>
      </c>
      <c r="EA647" t="s">
        <v>94</v>
      </c>
      <c r="EB647" t="s">
        <v>94</v>
      </c>
      <c r="EC647" t="s">
        <v>94</v>
      </c>
      <c r="ED647" t="s">
        <v>94</v>
      </c>
      <c r="EE647" t="s">
        <v>89</v>
      </c>
      <c r="EF647" t="s">
        <v>425</v>
      </c>
      <c r="EG647" t="s">
        <v>7244</v>
      </c>
      <c r="EJ647" t="s">
        <v>166</v>
      </c>
      <c r="EK647" t="b">
        <v>0</v>
      </c>
      <c r="EL647" t="b">
        <v>0</v>
      </c>
      <c r="EM647" t="b">
        <v>0</v>
      </c>
    </row>
    <row r="648" spans="1:143">
      <c r="A648" t="s">
        <v>8387</v>
      </c>
      <c r="C648" s="4">
        <v>3</v>
      </c>
      <c r="D648" s="4"/>
      <c r="E648" s="4">
        <v>2</v>
      </c>
      <c r="F648" s="4">
        <v>48.3</v>
      </c>
      <c r="G648" s="5" t="s">
        <v>8384</v>
      </c>
      <c r="H648" s="4" t="s">
        <v>8386</v>
      </c>
      <c r="I648" s="4" t="s">
        <v>164</v>
      </c>
      <c r="J648" s="5"/>
      <c r="K648" s="22" t="s">
        <v>8382</v>
      </c>
      <c r="L648" s="84" t="s">
        <v>8348</v>
      </c>
      <c r="M648" s="23" t="s">
        <v>447</v>
      </c>
      <c r="N648" s="23">
        <v>44077</v>
      </c>
      <c r="O648" s="24" t="s">
        <v>102</v>
      </c>
      <c r="P648" s="24" t="s">
        <v>181</v>
      </c>
      <c r="Q648" s="24">
        <v>2</v>
      </c>
      <c r="R648" s="24">
        <v>48.3</v>
      </c>
      <c r="S648" t="s">
        <v>11</v>
      </c>
      <c r="T648">
        <v>2173</v>
      </c>
      <c r="U648" s="2" t="s">
        <v>163</v>
      </c>
      <c r="V648">
        <v>44077.805046296293</v>
      </c>
      <c r="W648" s="2" t="s">
        <v>427</v>
      </c>
      <c r="X648">
        <v>44077.873715277776</v>
      </c>
      <c r="AB648" t="s">
        <v>9</v>
      </c>
      <c r="AC648" t="s">
        <v>8370</v>
      </c>
      <c r="AD648" t="s">
        <v>182</v>
      </c>
      <c r="AE648">
        <v>20114</v>
      </c>
      <c r="AF648">
        <v>20114</v>
      </c>
      <c r="AG648" t="s">
        <v>183</v>
      </c>
      <c r="AH648" t="s">
        <v>8371</v>
      </c>
      <c r="AI648" t="s">
        <v>8371</v>
      </c>
      <c r="AJ648" t="s">
        <v>2983</v>
      </c>
      <c r="AK648" t="s">
        <v>2984</v>
      </c>
      <c r="AL648" t="s">
        <v>8372</v>
      </c>
      <c r="AO648" t="s">
        <v>8373</v>
      </c>
      <c r="AP648" t="s">
        <v>8374</v>
      </c>
      <c r="AR648">
        <v>2831</v>
      </c>
      <c r="AS648">
        <v>34572114</v>
      </c>
      <c r="AT648" t="s">
        <v>8375</v>
      </c>
      <c r="AU648" t="s">
        <v>10</v>
      </c>
      <c r="AV648" t="s">
        <v>8376</v>
      </c>
      <c r="AW648" t="s">
        <v>8376</v>
      </c>
      <c r="AX648" t="s">
        <v>8377</v>
      </c>
      <c r="AY648" t="s">
        <v>8378</v>
      </c>
      <c r="BA648" t="s">
        <v>1002</v>
      </c>
      <c r="BB648" t="s">
        <v>187</v>
      </c>
      <c r="BC648" t="s">
        <v>188</v>
      </c>
      <c r="BD648">
        <v>518112</v>
      </c>
      <c r="BE648">
        <v>-8613925275313</v>
      </c>
      <c r="BF648" t="s">
        <v>8379</v>
      </c>
      <c r="BG648" t="b">
        <v>0</v>
      </c>
      <c r="BH648" s="6" t="s">
        <v>8380</v>
      </c>
      <c r="BI648" t="s">
        <v>8383</v>
      </c>
      <c r="BJ648">
        <v>4453163191</v>
      </c>
      <c r="BK648" t="s">
        <v>162</v>
      </c>
      <c r="BL648" t="s">
        <v>161</v>
      </c>
      <c r="BM648" s="2"/>
      <c r="BO648" t="s">
        <v>89</v>
      </c>
      <c r="BP648">
        <v>39079100</v>
      </c>
      <c r="BR648" t="s">
        <v>189</v>
      </c>
      <c r="BS648" t="s">
        <v>103</v>
      </c>
      <c r="BU648">
        <v>141.24</v>
      </c>
      <c r="BV648">
        <v>300.85000000000002</v>
      </c>
      <c r="BW648">
        <v>0</v>
      </c>
      <c r="BX648">
        <v>0</v>
      </c>
      <c r="BY648">
        <v>0</v>
      </c>
      <c r="BZ648">
        <v>0</v>
      </c>
      <c r="CA648">
        <v>442.09</v>
      </c>
      <c r="CB648" t="s">
        <v>444</v>
      </c>
      <c r="CF648" s="2"/>
      <c r="CH648" s="2"/>
      <c r="CJ648">
        <v>5.3142020950158598E+17</v>
      </c>
      <c r="CK648" t="s">
        <v>2648</v>
      </c>
      <c r="CL648">
        <v>44077.387974537036</v>
      </c>
      <c r="CO648" t="s">
        <v>11</v>
      </c>
      <c r="CP648">
        <v>2173</v>
      </c>
      <c r="CQ648" t="s">
        <v>11</v>
      </c>
      <c r="CR648">
        <v>2173</v>
      </c>
      <c r="CV648" t="s">
        <v>190</v>
      </c>
      <c r="CW648" t="s">
        <v>12</v>
      </c>
      <c r="CX648" t="s">
        <v>12</v>
      </c>
      <c r="CY648" t="s">
        <v>12</v>
      </c>
      <c r="DA648" t="s">
        <v>104</v>
      </c>
      <c r="DD648" t="s">
        <v>93</v>
      </c>
      <c r="DQ648" t="s">
        <v>94</v>
      </c>
      <c r="DR648" t="s">
        <v>94</v>
      </c>
      <c r="DS648" t="s">
        <v>94</v>
      </c>
      <c r="DT648" t="s">
        <v>94</v>
      </c>
      <c r="DU648" t="s">
        <v>94</v>
      </c>
      <c r="DV648" t="s">
        <v>94</v>
      </c>
      <c r="DW648" t="s">
        <v>94</v>
      </c>
      <c r="DX648" s="2" t="s">
        <v>94</v>
      </c>
      <c r="DY648" t="s">
        <v>94</v>
      </c>
      <c r="DZ648" t="s">
        <v>94</v>
      </c>
      <c r="EA648" t="s">
        <v>94</v>
      </c>
      <c r="EB648" t="s">
        <v>94</v>
      </c>
      <c r="EC648" t="s">
        <v>94</v>
      </c>
      <c r="ED648" t="s">
        <v>94</v>
      </c>
      <c r="EE648" t="s">
        <v>89</v>
      </c>
      <c r="EF648" t="s">
        <v>425</v>
      </c>
      <c r="EG648" t="s">
        <v>7244</v>
      </c>
      <c r="EJ648" t="s">
        <v>166</v>
      </c>
      <c r="EK648" t="b">
        <v>0</v>
      </c>
      <c r="EL648" t="b">
        <v>0</v>
      </c>
      <c r="EM648" t="b">
        <v>0</v>
      </c>
    </row>
    <row r="649" spans="1:143" ht="15">
      <c r="A649" t="s">
        <v>8389</v>
      </c>
      <c r="C649" s="82">
        <v>3</v>
      </c>
      <c r="D649" s="5">
        <v>323</v>
      </c>
      <c r="E649" s="4">
        <v>2</v>
      </c>
      <c r="F649" s="5">
        <v>323</v>
      </c>
      <c r="G649" s="5" t="s">
        <v>8388</v>
      </c>
      <c r="H649" s="4" t="s">
        <v>8385</v>
      </c>
      <c r="I649" s="81" t="s">
        <v>164</v>
      </c>
      <c r="J649" s="21"/>
      <c r="K649" s="22" t="s">
        <v>8369</v>
      </c>
      <c r="L649" s="84" t="s">
        <v>8348</v>
      </c>
      <c r="M649" s="23" t="s">
        <v>447</v>
      </c>
      <c r="N649" s="23">
        <v>44077</v>
      </c>
      <c r="O649" s="24" t="s">
        <v>102</v>
      </c>
      <c r="P649" s="24" t="s">
        <v>181</v>
      </c>
      <c r="Q649" s="24">
        <v>2</v>
      </c>
      <c r="R649" s="24">
        <v>48.15</v>
      </c>
      <c r="S649" t="s">
        <v>11</v>
      </c>
      <c r="T649">
        <v>2167</v>
      </c>
      <c r="U649" s="2" t="s">
        <v>163</v>
      </c>
      <c r="V649">
        <v>44077.805034722223</v>
      </c>
      <c r="W649" s="2" t="s">
        <v>427</v>
      </c>
      <c r="X649">
        <v>44077.873715277776</v>
      </c>
      <c r="AB649" t="s">
        <v>9</v>
      </c>
      <c r="AC649" t="s">
        <v>8370</v>
      </c>
      <c r="AD649" t="s">
        <v>182</v>
      </c>
      <c r="AE649">
        <v>20114</v>
      </c>
      <c r="AF649">
        <v>20114</v>
      </c>
      <c r="AG649" t="s">
        <v>183</v>
      </c>
      <c r="AH649" t="s">
        <v>8371</v>
      </c>
      <c r="AI649" t="s">
        <v>8371</v>
      </c>
      <c r="AJ649" t="s">
        <v>2983</v>
      </c>
      <c r="AK649" t="s">
        <v>2984</v>
      </c>
      <c r="AL649" t="s">
        <v>8372</v>
      </c>
      <c r="AO649" t="s">
        <v>8373</v>
      </c>
      <c r="AP649" t="s">
        <v>8374</v>
      </c>
      <c r="AR649">
        <v>2831</v>
      </c>
      <c r="AS649">
        <v>34572114</v>
      </c>
      <c r="AT649" t="s">
        <v>8375</v>
      </c>
      <c r="AU649" t="s">
        <v>10</v>
      </c>
      <c r="AV649" t="s">
        <v>8376</v>
      </c>
      <c r="AW649" t="s">
        <v>8376</v>
      </c>
      <c r="AX649" t="s">
        <v>8377</v>
      </c>
      <c r="AY649" s="2" t="s">
        <v>8378</v>
      </c>
      <c r="BA649" t="s">
        <v>1002</v>
      </c>
      <c r="BB649" t="s">
        <v>187</v>
      </c>
      <c r="BC649" t="s">
        <v>188</v>
      </c>
      <c r="BD649">
        <v>518112</v>
      </c>
      <c r="BE649">
        <v>-8613925275313</v>
      </c>
      <c r="BF649" t="s">
        <v>8379</v>
      </c>
      <c r="BG649" t="b">
        <v>0</v>
      </c>
      <c r="BH649" s="6" t="s">
        <v>8380</v>
      </c>
      <c r="BI649" t="s">
        <v>8381</v>
      </c>
      <c r="BJ649">
        <v>4453163191</v>
      </c>
      <c r="BK649" t="s">
        <v>162</v>
      </c>
      <c r="BL649" t="s">
        <v>161</v>
      </c>
      <c r="BM649" s="2"/>
      <c r="BO649" t="s">
        <v>89</v>
      </c>
      <c r="BP649">
        <v>39079100</v>
      </c>
      <c r="BR649" t="s">
        <v>189</v>
      </c>
      <c r="BS649" t="s">
        <v>103</v>
      </c>
      <c r="BU649">
        <v>140.86000000000001</v>
      </c>
      <c r="BV649">
        <v>300.02</v>
      </c>
      <c r="BW649">
        <v>0</v>
      </c>
      <c r="BX649">
        <v>0</v>
      </c>
      <c r="BY649">
        <v>0</v>
      </c>
      <c r="BZ649">
        <v>0</v>
      </c>
      <c r="CA649">
        <v>440.88</v>
      </c>
      <c r="CB649" t="s">
        <v>444</v>
      </c>
      <c r="CF649" s="2"/>
      <c r="CH649" s="2"/>
      <c r="CJ649">
        <v>5.3142020950158598E+17</v>
      </c>
      <c r="CK649" t="s">
        <v>2648</v>
      </c>
      <c r="CL649">
        <v>44077.387962962966</v>
      </c>
      <c r="CO649" t="s">
        <v>11</v>
      </c>
      <c r="CP649">
        <v>2167</v>
      </c>
      <c r="CQ649" t="s">
        <v>11</v>
      </c>
      <c r="CR649">
        <v>2167</v>
      </c>
      <c r="CV649" t="s">
        <v>190</v>
      </c>
      <c r="CW649" t="s">
        <v>12</v>
      </c>
      <c r="CX649" t="s">
        <v>12</v>
      </c>
      <c r="CY649" t="s">
        <v>12</v>
      </c>
      <c r="DA649" t="s">
        <v>104</v>
      </c>
      <c r="DD649" t="s">
        <v>93</v>
      </c>
      <c r="DQ649" t="s">
        <v>94</v>
      </c>
      <c r="DR649" t="s">
        <v>94</v>
      </c>
      <c r="DS649" t="s">
        <v>94</v>
      </c>
      <c r="DT649" t="s">
        <v>94</v>
      </c>
      <c r="DU649" t="s">
        <v>94</v>
      </c>
      <c r="DV649" t="s">
        <v>94</v>
      </c>
      <c r="DW649" t="s">
        <v>94</v>
      </c>
      <c r="DX649" s="2" t="s">
        <v>94</v>
      </c>
      <c r="DY649" t="s">
        <v>94</v>
      </c>
      <c r="DZ649" t="s">
        <v>94</v>
      </c>
      <c r="EA649" t="s">
        <v>94</v>
      </c>
      <c r="EB649" t="s">
        <v>94</v>
      </c>
      <c r="EC649" t="s">
        <v>94</v>
      </c>
      <c r="ED649" t="s">
        <v>94</v>
      </c>
      <c r="EE649" t="s">
        <v>89</v>
      </c>
      <c r="EF649" t="s">
        <v>425</v>
      </c>
      <c r="EG649" t="s">
        <v>7244</v>
      </c>
      <c r="EJ649" t="s">
        <v>166</v>
      </c>
      <c r="EK649" t="b">
        <v>0</v>
      </c>
      <c r="EL649" t="b">
        <v>0</v>
      </c>
      <c r="EM649" t="b">
        <v>0</v>
      </c>
    </row>
    <row r="650" spans="1:143">
      <c r="A650" t="s">
        <v>8389</v>
      </c>
      <c r="C650" s="4">
        <v>3</v>
      </c>
      <c r="D650" s="4">
        <v>34</v>
      </c>
      <c r="E650" s="4">
        <v>2</v>
      </c>
      <c r="F650" s="4">
        <v>34</v>
      </c>
      <c r="G650" s="5" t="s">
        <v>8388</v>
      </c>
      <c r="H650" s="4" t="s">
        <v>8386</v>
      </c>
      <c r="I650" s="4" t="s">
        <v>164</v>
      </c>
      <c r="J650" s="5"/>
      <c r="K650" s="22" t="s">
        <v>8382</v>
      </c>
      <c r="L650" s="84" t="s">
        <v>8348</v>
      </c>
      <c r="M650" s="23" t="s">
        <v>447</v>
      </c>
      <c r="N650" s="23">
        <v>44077</v>
      </c>
      <c r="O650" s="24" t="s">
        <v>102</v>
      </c>
      <c r="P650" s="24" t="s">
        <v>181</v>
      </c>
      <c r="Q650" s="24">
        <v>2</v>
      </c>
      <c r="R650" s="24">
        <v>48.3</v>
      </c>
      <c r="S650" t="s">
        <v>11</v>
      </c>
      <c r="T650">
        <v>2173</v>
      </c>
      <c r="U650" s="2" t="s">
        <v>163</v>
      </c>
      <c r="V650">
        <v>44077.805046296293</v>
      </c>
      <c r="W650" s="2" t="s">
        <v>427</v>
      </c>
      <c r="X650">
        <v>44077.873715277776</v>
      </c>
      <c r="AB650" t="s">
        <v>9</v>
      </c>
      <c r="AC650" t="s">
        <v>8370</v>
      </c>
      <c r="AD650" t="s">
        <v>182</v>
      </c>
      <c r="AE650">
        <v>20114</v>
      </c>
      <c r="AF650">
        <v>20114</v>
      </c>
      <c r="AG650" t="s">
        <v>183</v>
      </c>
      <c r="AH650" t="s">
        <v>8371</v>
      </c>
      <c r="AI650" t="s">
        <v>8371</v>
      </c>
      <c r="AJ650" t="s">
        <v>2983</v>
      </c>
      <c r="AK650" t="s">
        <v>2984</v>
      </c>
      <c r="AL650" t="s">
        <v>8372</v>
      </c>
      <c r="AO650" t="s">
        <v>8373</v>
      </c>
      <c r="AP650" t="s">
        <v>8374</v>
      </c>
      <c r="AR650">
        <v>2831</v>
      </c>
      <c r="AS650">
        <v>34572114</v>
      </c>
      <c r="AT650" t="s">
        <v>8375</v>
      </c>
      <c r="AU650" t="s">
        <v>10</v>
      </c>
      <c r="AV650" t="s">
        <v>8376</v>
      </c>
      <c r="AW650" t="s">
        <v>8376</v>
      </c>
      <c r="AX650" t="s">
        <v>8377</v>
      </c>
      <c r="AY650" t="s">
        <v>8378</v>
      </c>
      <c r="BA650" t="s">
        <v>1002</v>
      </c>
      <c r="BB650" t="s">
        <v>187</v>
      </c>
      <c r="BC650" t="s">
        <v>188</v>
      </c>
      <c r="BD650">
        <v>518112</v>
      </c>
      <c r="BE650">
        <v>-8613925275313</v>
      </c>
      <c r="BF650" t="s">
        <v>8379</v>
      </c>
      <c r="BG650" t="b">
        <v>0</v>
      </c>
      <c r="BH650" s="6" t="s">
        <v>8380</v>
      </c>
      <c r="BI650" t="s">
        <v>8383</v>
      </c>
      <c r="BJ650">
        <v>4453163191</v>
      </c>
      <c r="BK650" t="s">
        <v>162</v>
      </c>
      <c r="BL650" t="s">
        <v>161</v>
      </c>
      <c r="BM650" s="2"/>
      <c r="BO650" t="s">
        <v>89</v>
      </c>
      <c r="BP650">
        <v>39079100</v>
      </c>
      <c r="BR650" t="s">
        <v>189</v>
      </c>
      <c r="BS650" t="s">
        <v>103</v>
      </c>
      <c r="BU650">
        <v>141.24</v>
      </c>
      <c r="BV650">
        <v>300.85000000000002</v>
      </c>
      <c r="BW650">
        <v>0</v>
      </c>
      <c r="BX650">
        <v>0</v>
      </c>
      <c r="BY650">
        <v>0</v>
      </c>
      <c r="BZ650">
        <v>0</v>
      </c>
      <c r="CA650">
        <v>442.09</v>
      </c>
      <c r="CB650" t="s">
        <v>444</v>
      </c>
      <c r="CF650" s="2"/>
      <c r="CH650" s="2"/>
      <c r="CJ650">
        <v>5.3142020950158598E+17</v>
      </c>
      <c r="CK650" t="s">
        <v>2648</v>
      </c>
      <c r="CL650">
        <v>44077.387974537036</v>
      </c>
      <c r="CO650" t="s">
        <v>11</v>
      </c>
      <c r="CP650">
        <v>2173</v>
      </c>
      <c r="CQ650" t="s">
        <v>11</v>
      </c>
      <c r="CR650">
        <v>2173</v>
      </c>
      <c r="CV650" t="s">
        <v>190</v>
      </c>
      <c r="CW650" t="s">
        <v>12</v>
      </c>
      <c r="CX650" t="s">
        <v>12</v>
      </c>
      <c r="CY650" t="s">
        <v>12</v>
      </c>
      <c r="DA650" t="s">
        <v>104</v>
      </c>
      <c r="DD650" t="s">
        <v>93</v>
      </c>
      <c r="DQ650" t="s">
        <v>94</v>
      </c>
      <c r="DR650" t="s">
        <v>94</v>
      </c>
      <c r="DS650" t="s">
        <v>94</v>
      </c>
      <c r="DT650" t="s">
        <v>94</v>
      </c>
      <c r="DU650" t="s">
        <v>94</v>
      </c>
      <c r="DV650" t="s">
        <v>94</v>
      </c>
      <c r="DW650" t="s">
        <v>94</v>
      </c>
      <c r="DX650" s="2" t="s">
        <v>94</v>
      </c>
      <c r="DY650" t="s">
        <v>94</v>
      </c>
      <c r="DZ650" t="s">
        <v>94</v>
      </c>
      <c r="EA650" t="s">
        <v>94</v>
      </c>
      <c r="EB650" t="s">
        <v>94</v>
      </c>
      <c r="EC650" t="s">
        <v>94</v>
      </c>
      <c r="ED650" t="s">
        <v>94</v>
      </c>
      <c r="EE650" t="s">
        <v>89</v>
      </c>
      <c r="EF650" t="s">
        <v>425</v>
      </c>
      <c r="EG650" t="s">
        <v>7244</v>
      </c>
      <c r="EJ650" t="s">
        <v>166</v>
      </c>
      <c r="EK650" t="b">
        <v>0</v>
      </c>
      <c r="EL650" t="b">
        <v>0</v>
      </c>
      <c r="EM650" t="b">
        <v>0</v>
      </c>
    </row>
    <row r="651" spans="1:143" ht="15">
      <c r="A651" t="s">
        <v>8391</v>
      </c>
      <c r="C651" s="82">
        <v>3</v>
      </c>
      <c r="D651" s="5">
        <v>323</v>
      </c>
      <c r="E651" s="4">
        <v>2</v>
      </c>
      <c r="F651" s="5">
        <v>323</v>
      </c>
      <c r="G651" s="5" t="s">
        <v>8390</v>
      </c>
      <c r="H651" s="4" t="s">
        <v>8385</v>
      </c>
      <c r="I651" s="81" t="s">
        <v>164</v>
      </c>
      <c r="J651" s="21"/>
      <c r="K651" s="22" t="s">
        <v>8369</v>
      </c>
      <c r="L651" s="84" t="s">
        <v>8348</v>
      </c>
      <c r="M651" s="23" t="s">
        <v>447</v>
      </c>
      <c r="N651" s="23">
        <v>44077</v>
      </c>
      <c r="O651" s="24" t="s">
        <v>102</v>
      </c>
      <c r="P651" s="24" t="s">
        <v>181</v>
      </c>
      <c r="Q651" s="24">
        <v>2</v>
      </c>
      <c r="R651" s="24">
        <v>48.15</v>
      </c>
      <c r="S651" t="s">
        <v>11</v>
      </c>
      <c r="T651">
        <v>2167</v>
      </c>
      <c r="U651" s="2" t="s">
        <v>163</v>
      </c>
      <c r="V651">
        <v>44077.805034722223</v>
      </c>
      <c r="W651" s="2" t="s">
        <v>427</v>
      </c>
      <c r="X651">
        <v>44077.873715277776</v>
      </c>
      <c r="AB651" t="s">
        <v>9</v>
      </c>
      <c r="AC651" t="s">
        <v>8370</v>
      </c>
      <c r="AD651" t="s">
        <v>182</v>
      </c>
      <c r="AE651">
        <v>20114</v>
      </c>
      <c r="AF651">
        <v>20114</v>
      </c>
      <c r="AG651" t="s">
        <v>183</v>
      </c>
      <c r="AH651" t="s">
        <v>8371</v>
      </c>
      <c r="AI651" t="s">
        <v>8371</v>
      </c>
      <c r="AJ651" t="s">
        <v>2983</v>
      </c>
      <c r="AK651" t="s">
        <v>2984</v>
      </c>
      <c r="AL651" t="s">
        <v>8372</v>
      </c>
      <c r="AO651" t="s">
        <v>8373</v>
      </c>
      <c r="AP651" t="s">
        <v>8374</v>
      </c>
      <c r="AR651">
        <v>2831</v>
      </c>
      <c r="AS651">
        <v>34572114</v>
      </c>
      <c r="AT651" t="s">
        <v>8375</v>
      </c>
      <c r="AU651" t="s">
        <v>10</v>
      </c>
      <c r="AV651" t="s">
        <v>8376</v>
      </c>
      <c r="AW651" t="s">
        <v>8376</v>
      </c>
      <c r="AX651" t="s">
        <v>8377</v>
      </c>
      <c r="AY651" s="2" t="s">
        <v>8378</v>
      </c>
      <c r="BA651" t="s">
        <v>1002</v>
      </c>
      <c r="BB651" t="s">
        <v>187</v>
      </c>
      <c r="BC651" t="s">
        <v>188</v>
      </c>
      <c r="BD651">
        <v>518112</v>
      </c>
      <c r="BE651">
        <v>-8613925275313</v>
      </c>
      <c r="BF651" t="s">
        <v>8379</v>
      </c>
      <c r="BG651" t="b">
        <v>0</v>
      </c>
      <c r="BH651" s="6" t="s">
        <v>8380</v>
      </c>
      <c r="BI651" t="s">
        <v>8381</v>
      </c>
      <c r="BJ651">
        <v>4453163191</v>
      </c>
      <c r="BK651" t="s">
        <v>162</v>
      </c>
      <c r="BL651" t="s">
        <v>161</v>
      </c>
      <c r="BM651" s="2"/>
      <c r="BO651" t="s">
        <v>89</v>
      </c>
      <c r="BP651">
        <v>39079100</v>
      </c>
      <c r="BR651" t="s">
        <v>189</v>
      </c>
      <c r="BS651" t="s">
        <v>103</v>
      </c>
      <c r="BU651">
        <v>140.86000000000001</v>
      </c>
      <c r="BV651">
        <v>300.02</v>
      </c>
      <c r="BW651">
        <v>0</v>
      </c>
      <c r="BX651">
        <v>0</v>
      </c>
      <c r="BY651">
        <v>0</v>
      </c>
      <c r="BZ651">
        <v>0</v>
      </c>
      <c r="CA651">
        <v>440.88</v>
      </c>
      <c r="CB651" t="s">
        <v>444</v>
      </c>
      <c r="CF651" s="2"/>
      <c r="CH651" s="2"/>
      <c r="CJ651">
        <v>5.3142020950158598E+17</v>
      </c>
      <c r="CK651" t="s">
        <v>2648</v>
      </c>
      <c r="CL651">
        <v>44077.387962962966</v>
      </c>
      <c r="CO651" t="s">
        <v>11</v>
      </c>
      <c r="CP651">
        <v>2167</v>
      </c>
      <c r="CQ651" t="s">
        <v>11</v>
      </c>
      <c r="CR651">
        <v>2167</v>
      </c>
      <c r="CV651" t="s">
        <v>190</v>
      </c>
      <c r="CW651" t="s">
        <v>12</v>
      </c>
      <c r="CX651" t="s">
        <v>12</v>
      </c>
      <c r="CY651" t="s">
        <v>12</v>
      </c>
      <c r="DA651" t="s">
        <v>104</v>
      </c>
      <c r="DD651" t="s">
        <v>93</v>
      </c>
      <c r="DQ651" t="s">
        <v>94</v>
      </c>
      <c r="DR651" t="s">
        <v>94</v>
      </c>
      <c r="DS651" t="s">
        <v>94</v>
      </c>
      <c r="DT651" t="s">
        <v>94</v>
      </c>
      <c r="DU651" t="s">
        <v>94</v>
      </c>
      <c r="DV651" t="s">
        <v>94</v>
      </c>
      <c r="DW651" t="s">
        <v>94</v>
      </c>
      <c r="DX651" s="2" t="s">
        <v>94</v>
      </c>
      <c r="DY651" t="s">
        <v>94</v>
      </c>
      <c r="DZ651" t="s">
        <v>94</v>
      </c>
      <c r="EA651" t="s">
        <v>94</v>
      </c>
      <c r="EB651" t="s">
        <v>94</v>
      </c>
      <c r="EC651" t="s">
        <v>94</v>
      </c>
      <c r="ED651" t="s">
        <v>94</v>
      </c>
      <c r="EE651" t="s">
        <v>89</v>
      </c>
      <c r="EF651" t="s">
        <v>425</v>
      </c>
      <c r="EG651" t="s">
        <v>7244</v>
      </c>
      <c r="EJ651" t="s">
        <v>166</v>
      </c>
      <c r="EK651" t="b">
        <v>0</v>
      </c>
      <c r="EL651" t="b">
        <v>0</v>
      </c>
      <c r="EM651" t="b">
        <v>0</v>
      </c>
    </row>
    <row r="652" spans="1:143">
      <c r="A652" t="s">
        <v>8391</v>
      </c>
      <c r="C652" s="4">
        <v>3</v>
      </c>
      <c r="D652" s="4">
        <v>34</v>
      </c>
      <c r="E652" s="4">
        <v>2</v>
      </c>
      <c r="F652" s="4">
        <v>34</v>
      </c>
      <c r="G652" s="5" t="s">
        <v>8390</v>
      </c>
      <c r="H652" s="4" t="s">
        <v>8386</v>
      </c>
      <c r="I652" s="4" t="s">
        <v>164</v>
      </c>
      <c r="J652" s="5"/>
      <c r="K652" s="22" t="s">
        <v>8382</v>
      </c>
      <c r="L652" s="84" t="s">
        <v>8348</v>
      </c>
      <c r="M652" s="23" t="s">
        <v>447</v>
      </c>
      <c r="N652" s="23">
        <v>44077</v>
      </c>
      <c r="O652" s="24" t="s">
        <v>102</v>
      </c>
      <c r="P652" s="24" t="s">
        <v>181</v>
      </c>
      <c r="Q652" s="24">
        <v>2</v>
      </c>
      <c r="R652" s="24">
        <v>48.3</v>
      </c>
      <c r="S652" t="s">
        <v>11</v>
      </c>
      <c r="T652">
        <v>2173</v>
      </c>
      <c r="U652" s="2" t="s">
        <v>163</v>
      </c>
      <c r="V652">
        <v>44077.805046296293</v>
      </c>
      <c r="W652" s="2" t="s">
        <v>427</v>
      </c>
      <c r="X652">
        <v>44077.873715277776</v>
      </c>
      <c r="AB652" t="s">
        <v>9</v>
      </c>
      <c r="AC652" t="s">
        <v>8370</v>
      </c>
      <c r="AD652" t="s">
        <v>182</v>
      </c>
      <c r="AE652">
        <v>20114</v>
      </c>
      <c r="AF652">
        <v>20114</v>
      </c>
      <c r="AG652" t="s">
        <v>183</v>
      </c>
      <c r="AH652" t="s">
        <v>8371</v>
      </c>
      <c r="AI652" t="s">
        <v>8371</v>
      </c>
      <c r="AJ652" t="s">
        <v>2983</v>
      </c>
      <c r="AK652" t="s">
        <v>2984</v>
      </c>
      <c r="AL652" t="s">
        <v>8372</v>
      </c>
      <c r="AO652" t="s">
        <v>8373</v>
      </c>
      <c r="AP652" t="s">
        <v>8374</v>
      </c>
      <c r="AR652">
        <v>2831</v>
      </c>
      <c r="AS652">
        <v>34572114</v>
      </c>
      <c r="AT652" t="s">
        <v>8375</v>
      </c>
      <c r="AU652" t="s">
        <v>10</v>
      </c>
      <c r="AV652" t="s">
        <v>8376</v>
      </c>
      <c r="AW652" t="s">
        <v>8376</v>
      </c>
      <c r="AX652" t="s">
        <v>8377</v>
      </c>
      <c r="AY652" t="s">
        <v>8378</v>
      </c>
      <c r="BA652" t="s">
        <v>1002</v>
      </c>
      <c r="BB652" t="s">
        <v>187</v>
      </c>
      <c r="BC652" t="s">
        <v>188</v>
      </c>
      <c r="BD652">
        <v>518112</v>
      </c>
      <c r="BE652">
        <v>-8613925275313</v>
      </c>
      <c r="BF652" t="s">
        <v>8379</v>
      </c>
      <c r="BG652" t="b">
        <v>0</v>
      </c>
      <c r="BH652" s="6" t="s">
        <v>8380</v>
      </c>
      <c r="BI652" t="s">
        <v>8383</v>
      </c>
      <c r="BJ652">
        <v>4453163191</v>
      </c>
      <c r="BK652" t="s">
        <v>162</v>
      </c>
      <c r="BL652" t="s">
        <v>161</v>
      </c>
      <c r="BM652" s="2"/>
      <c r="BO652" t="s">
        <v>89</v>
      </c>
      <c r="BP652">
        <v>39079100</v>
      </c>
      <c r="BR652" t="s">
        <v>189</v>
      </c>
      <c r="BS652" t="s">
        <v>103</v>
      </c>
      <c r="BU652">
        <v>141.24</v>
      </c>
      <c r="BV652">
        <v>300.85000000000002</v>
      </c>
      <c r="BW652">
        <v>0</v>
      </c>
      <c r="BX652">
        <v>0</v>
      </c>
      <c r="BY652">
        <v>0</v>
      </c>
      <c r="BZ652">
        <v>0</v>
      </c>
      <c r="CA652">
        <v>442.09</v>
      </c>
      <c r="CB652" t="s">
        <v>444</v>
      </c>
      <c r="CF652" s="2"/>
      <c r="CH652" s="2"/>
      <c r="CJ652">
        <v>5.3142020950158598E+17</v>
      </c>
      <c r="CK652" t="s">
        <v>2648</v>
      </c>
      <c r="CL652">
        <v>44077.387974537036</v>
      </c>
      <c r="CO652" t="s">
        <v>11</v>
      </c>
      <c r="CP652">
        <v>2173</v>
      </c>
      <c r="CQ652" t="s">
        <v>11</v>
      </c>
      <c r="CR652">
        <v>2173</v>
      </c>
      <c r="CV652" t="s">
        <v>190</v>
      </c>
      <c r="CW652" t="s">
        <v>12</v>
      </c>
      <c r="CX652" t="s">
        <v>12</v>
      </c>
      <c r="CY652" t="s">
        <v>12</v>
      </c>
      <c r="DA652" t="s">
        <v>104</v>
      </c>
      <c r="DD652" t="s">
        <v>93</v>
      </c>
      <c r="DQ652" t="s">
        <v>94</v>
      </c>
      <c r="DR652" t="s">
        <v>94</v>
      </c>
      <c r="DS652" t="s">
        <v>94</v>
      </c>
      <c r="DT652" t="s">
        <v>94</v>
      </c>
      <c r="DU652" t="s">
        <v>94</v>
      </c>
      <c r="DV652" t="s">
        <v>94</v>
      </c>
      <c r="DW652" t="s">
        <v>94</v>
      </c>
      <c r="DX652" s="2" t="s">
        <v>94</v>
      </c>
      <c r="DY652" t="s">
        <v>94</v>
      </c>
      <c r="DZ652" t="s">
        <v>94</v>
      </c>
      <c r="EA652" t="s">
        <v>94</v>
      </c>
      <c r="EB652" t="s">
        <v>94</v>
      </c>
      <c r="EC652" t="s">
        <v>94</v>
      </c>
      <c r="ED652" t="s">
        <v>94</v>
      </c>
      <c r="EE652" t="s">
        <v>89</v>
      </c>
      <c r="EF652" t="s">
        <v>425</v>
      </c>
      <c r="EG652" t="s">
        <v>7244</v>
      </c>
      <c r="EJ652" t="s">
        <v>166</v>
      </c>
      <c r="EK652" t="b">
        <v>0</v>
      </c>
      <c r="EL652" t="b">
        <v>0</v>
      </c>
      <c r="EM652" t="b">
        <v>0</v>
      </c>
    </row>
    <row r="653" spans="1:143">
      <c r="C653" s="4"/>
      <c r="D653" s="5"/>
      <c r="E653" s="5"/>
      <c r="F653" s="4"/>
      <c r="G653" s="5"/>
      <c r="H653" s="4"/>
      <c r="I653" s="4"/>
      <c r="J653" s="4"/>
      <c r="K653" s="22"/>
      <c r="L653" s="84"/>
      <c r="M653" s="23"/>
      <c r="N653" s="23"/>
      <c r="O653" s="24"/>
      <c r="P653" s="24"/>
      <c r="Q653" s="24"/>
      <c r="R653" s="24"/>
      <c r="U653" s="2"/>
      <c r="W653" s="2"/>
      <c r="BH653" s="6"/>
      <c r="BM653" s="2"/>
      <c r="CF653" s="2"/>
      <c r="CH653" s="2"/>
      <c r="DX653" s="2"/>
    </row>
  </sheetData>
  <autoFilter ref="C1:EQ632"/>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17"/>
  <sheetViews>
    <sheetView view="pageBreakPreview" zoomScale="115" zoomScaleNormal="70" zoomScaleSheetLayoutView="115" workbookViewId="0">
      <selection activeCell="F12" sqref="F12"/>
    </sheetView>
  </sheetViews>
  <sheetFormatPr defaultRowHeight="13.5"/>
  <cols>
    <col min="1" max="1" width="9" style="175"/>
    <col min="2" max="16384" width="9" style="114"/>
  </cols>
  <sheetData>
    <row r="1" spans="1:4" ht="20.25">
      <c r="A1" s="174"/>
      <c r="B1" s="115"/>
      <c r="D1" s="113"/>
    </row>
    <row r="2" spans="1:4">
      <c r="A2" s="174"/>
      <c r="B2" s="115"/>
    </row>
    <row r="3" spans="1:4">
      <c r="A3" s="174">
        <f>报舱数据!I2</f>
        <v>0</v>
      </c>
      <c r="B3" s="115"/>
    </row>
    <row r="4" spans="1:4">
      <c r="A4" s="174">
        <f>报舱数据!I3</f>
        <v>0</v>
      </c>
      <c r="B4" s="115"/>
    </row>
    <row r="5" spans="1:4">
      <c r="A5" s="174">
        <f>报舱数据!I4</f>
        <v>0</v>
      </c>
      <c r="B5" s="115"/>
    </row>
    <row r="6" spans="1:4">
      <c r="A6" s="174">
        <f>报舱数据!I5</f>
        <v>0</v>
      </c>
      <c r="B6" s="115"/>
    </row>
    <row r="7" spans="1:4">
      <c r="A7" s="174">
        <f>报舱数据!I6</f>
        <v>0</v>
      </c>
    </row>
    <row r="8" spans="1:4">
      <c r="A8" s="174">
        <f>报舱数据!I7</f>
        <v>0</v>
      </c>
    </row>
    <row r="9" spans="1:4">
      <c r="A9" s="174">
        <f>报舱数据!I8</f>
        <v>0</v>
      </c>
    </row>
    <row r="10" spans="1:4">
      <c r="A10" s="174">
        <f>报舱数据!I9</f>
        <v>0</v>
      </c>
    </row>
    <row r="11" spans="1:4">
      <c r="A11" s="174">
        <f>报舱数据!I10</f>
        <v>0</v>
      </c>
    </row>
    <row r="12" spans="1:4">
      <c r="A12" s="174">
        <f>报舱数据!I11</f>
        <v>0</v>
      </c>
    </row>
    <row r="13" spans="1:4">
      <c r="A13" s="174">
        <f>报舱数据!I12</f>
        <v>0</v>
      </c>
    </row>
    <row r="14" spans="1:4">
      <c r="A14" s="174">
        <f>报舱数据!I13</f>
        <v>0</v>
      </c>
    </row>
    <row r="15" spans="1:4">
      <c r="A15" s="174">
        <f>报舱数据!I14</f>
        <v>0</v>
      </c>
    </row>
    <row r="16" spans="1:4">
      <c r="A16" s="174"/>
    </row>
    <row r="17" spans="1:1">
      <c r="A17" s="174"/>
    </row>
  </sheetData>
  <phoneticPr fontId="1" type="noConversion"/>
  <pageMargins left="0.15748031496062992" right="0.15748031496062992" top="0.35433070866141736" bottom="0.15748031496062992" header="0.31496062992125984" footer="0.15748031496062992"/>
  <pageSetup paperSize="9" scale="71"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23" r:id="rId4" name="Button 15">
              <controlPr defaultSize="0" print="0" autoFill="0" autoPict="0" macro="[0]!打印原始图片111" altText="另存为">
                <anchor moveWithCells="1">
                  <from>
                    <xdr:col>0</xdr:col>
                    <xdr:colOff>0</xdr:colOff>
                    <xdr:row>0</xdr:row>
                    <xdr:rowOff>0</xdr:rowOff>
                  </from>
                  <to>
                    <xdr:col>0</xdr:col>
                    <xdr:colOff>638175</xdr:colOff>
                    <xdr:row>1</xdr:row>
                    <xdr:rowOff>57150</xdr:rowOff>
                  </to>
                </anchor>
              </controlPr>
            </control>
          </mc:Choice>
        </mc:AlternateContent>
        <mc:AlternateContent xmlns:mc="http://schemas.openxmlformats.org/markup-compatibility/2006">
          <mc:Choice Requires="x14">
            <control shapeId="43024" r:id="rId5" name="Button 16">
              <controlPr defaultSize="0" print="0" autoFill="0" autoPict="0" macro="[0]!打印原始图片999" altText="另存为">
                <anchor moveWithCells="1">
                  <from>
                    <xdr:col>0</xdr:col>
                    <xdr:colOff>0</xdr:colOff>
                    <xdr:row>16</xdr:row>
                    <xdr:rowOff>0</xdr:rowOff>
                  </from>
                  <to>
                    <xdr:col>0</xdr:col>
                    <xdr:colOff>638175</xdr:colOff>
                    <xdr:row>17</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4</vt:i4>
      </vt:variant>
    </vt:vector>
  </HeadingPairs>
  <TitlesOfParts>
    <vt:vector size="15" baseType="lpstr">
      <vt:lpstr>原始数据</vt:lpstr>
      <vt:lpstr>报舱数据</vt:lpstr>
      <vt:lpstr>进口舱单</vt:lpstr>
      <vt:lpstr>新增报告</vt:lpstr>
      <vt:lpstr>删除报告</vt:lpstr>
      <vt:lpstr>多途舱单删除申报</vt:lpstr>
      <vt:lpstr>CUST_ID</vt:lpstr>
      <vt:lpstr>舱单删除</vt:lpstr>
      <vt:lpstr>航次参数</vt:lpstr>
      <vt:lpstr>记录备份</vt:lpstr>
      <vt:lpstr>原始图片</vt:lpstr>
      <vt:lpstr>进口舱单!Print_Area</vt:lpstr>
      <vt:lpstr>删除报告!Print_Area</vt:lpstr>
      <vt:lpstr>新增报告!Print_Area</vt:lpstr>
      <vt:lpstr>原始图片!Print_Area</vt:lpstr>
    </vt:vector>
  </TitlesOfParts>
  <Company>sqmh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Enz</dc:creator>
  <cp:lastModifiedBy>Qinghua Chen</cp:lastModifiedBy>
  <cp:lastPrinted>2020-09-04T08:07:24Z</cp:lastPrinted>
  <dcterms:created xsi:type="dcterms:W3CDTF">2016-11-05T00:26:10Z</dcterms:created>
  <dcterms:modified xsi:type="dcterms:W3CDTF">2020-09-10T07:59:47Z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33cf4ed3-f4b2-4f6a-ba70-10d71890914d</vt:lpwstr>
  </property>
</Properties>
</file>